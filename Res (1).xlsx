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5180" windowHeight="6285"/>
  </bookViews>
  <sheets>
    <sheet name="Prediction" sheetId="9" r:id="rId1"/>
    <sheet name="charts" sheetId="6" r:id="rId2"/>
    <sheet name="2yfiltered" sheetId="8" r:id="rId3"/>
    <sheet name="5 years" sheetId="4" r:id="rId4"/>
  </sheets>
  <calcPr calcId="125725"/>
  <pivotCaches>
    <pivotCache cacheId="0" r:id="rId5"/>
    <pivotCache cacheId="3" r:id="rId6"/>
  </pivotCaches>
</workbook>
</file>

<file path=xl/calcChain.xml><?xml version="1.0" encoding="utf-8"?>
<calcChain xmlns="http://schemas.openxmlformats.org/spreadsheetml/2006/main">
  <c r="M42" i="8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I87"/>
  <c r="J87"/>
  <c r="K87"/>
  <c r="I88"/>
  <c r="J88"/>
  <c r="K88"/>
  <c r="I89"/>
  <c r="J89"/>
  <c r="K89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I42"/>
  <c r="L42" s="1"/>
  <c r="I43"/>
  <c r="L43" s="1"/>
  <c r="I44"/>
  <c r="L44" s="1"/>
  <c r="I45"/>
  <c r="L45" s="1"/>
  <c r="I46"/>
  <c r="L46" s="1"/>
  <c r="I47"/>
  <c r="L47" s="1"/>
  <c r="I48"/>
  <c r="L48" s="1"/>
  <c r="I49"/>
  <c r="L49" s="1"/>
  <c r="I50"/>
  <c r="L50" s="1"/>
  <c r="I51"/>
  <c r="L51" s="1"/>
  <c r="I52"/>
  <c r="L52" s="1"/>
  <c r="I53"/>
  <c r="L53" s="1"/>
  <c r="I54"/>
  <c r="L54" s="1"/>
  <c r="I55"/>
  <c r="L55" s="1"/>
  <c r="I56"/>
  <c r="L56" s="1"/>
  <c r="I57"/>
  <c r="L57" s="1"/>
  <c r="I58"/>
  <c r="L58" s="1"/>
  <c r="I59"/>
  <c r="L59" s="1"/>
  <c r="I60"/>
  <c r="L60" s="1"/>
  <c r="I61"/>
  <c r="L61" s="1"/>
  <c r="I62"/>
  <c r="L62" s="1"/>
  <c r="I63"/>
  <c r="L63" s="1"/>
  <c r="I64"/>
  <c r="L64" s="1"/>
  <c r="I65"/>
  <c r="L65" s="1"/>
  <c r="I66"/>
  <c r="L66" s="1"/>
  <c r="I67"/>
  <c r="L67" s="1"/>
  <c r="I68"/>
  <c r="L68" s="1"/>
  <c r="I69"/>
  <c r="L69" s="1"/>
  <c r="I70"/>
  <c r="L70" s="1"/>
  <c r="I71"/>
  <c r="L71" s="1"/>
  <c r="I72"/>
  <c r="L72" s="1"/>
  <c r="I73"/>
  <c r="L73" s="1"/>
  <c r="I74"/>
  <c r="L74" s="1"/>
  <c r="I75"/>
  <c r="L75" s="1"/>
  <c r="I76"/>
  <c r="L76" s="1"/>
  <c r="I77"/>
  <c r="L77" s="1"/>
  <c r="I78"/>
  <c r="L78" s="1"/>
  <c r="I79"/>
  <c r="L79" s="1"/>
  <c r="I80"/>
  <c r="L80" s="1"/>
  <c r="I81"/>
  <c r="L81" s="1"/>
  <c r="I82"/>
  <c r="L82" s="1"/>
  <c r="I83"/>
  <c r="L83" s="1"/>
  <c r="I84"/>
  <c r="L84" s="1"/>
  <c r="I85"/>
  <c r="L85" s="1"/>
  <c r="I86"/>
  <c r="L86" s="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G36" a="1"/>
  <c r="G36" s="1"/>
  <c r="G37" a="1"/>
  <c r="G37" s="1"/>
  <c r="G38" a="1"/>
  <c r="G38" s="1"/>
  <c r="N31"/>
  <c r="M31"/>
  <c r="L31"/>
  <c r="N30"/>
  <c r="M30"/>
  <c r="L30"/>
  <c r="N29"/>
  <c r="M29"/>
  <c r="L29"/>
  <c r="N28"/>
  <c r="M28"/>
  <c r="L28"/>
  <c r="N27"/>
  <c r="M27"/>
  <c r="L27"/>
  <c r="N26"/>
  <c r="M26"/>
  <c r="L26"/>
  <c r="N25"/>
  <c r="M25"/>
  <c r="L25"/>
  <c r="N24"/>
  <c r="M24"/>
  <c r="L24"/>
  <c r="N23"/>
  <c r="M23"/>
  <c r="L23"/>
  <c r="N22"/>
  <c r="M22"/>
  <c r="L22"/>
  <c r="N21"/>
  <c r="M21"/>
  <c r="L21"/>
  <c r="N20"/>
  <c r="M20"/>
  <c r="L20"/>
  <c r="N19"/>
  <c r="M19"/>
  <c r="L19"/>
  <c r="N18"/>
  <c r="M18"/>
  <c r="L18"/>
  <c r="N17"/>
  <c r="M17"/>
  <c r="L17"/>
  <c r="N16"/>
  <c r="M16"/>
  <c r="L16"/>
  <c r="N15"/>
  <c r="M15"/>
  <c r="L15"/>
  <c r="N14"/>
  <c r="M14"/>
  <c r="L14"/>
  <c r="N13"/>
  <c r="M13"/>
  <c r="L13"/>
  <c r="N12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AG2" i="4"/>
  <c r="AG3"/>
  <c r="AG4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F2"/>
  <c r="AF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E2"/>
  <c r="AE3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2"/>
  <c r="L89" i="8" l="1"/>
  <c r="L87"/>
  <c r="L88"/>
  <c r="H36"/>
  <c r="H37"/>
  <c r="H38"/>
</calcChain>
</file>

<file path=xl/sharedStrings.xml><?xml version="1.0" encoding="utf-8"?>
<sst xmlns="http://schemas.openxmlformats.org/spreadsheetml/2006/main" count="200" uniqueCount="71">
  <si>
    <t>STAT_DATE</t>
  </si>
  <si>
    <t>METER_ID</t>
  </si>
  <si>
    <t>SUM(VALUE)</t>
  </si>
  <si>
    <t>See below  meters for different types of records:</t>
  </si>
  <si>
    <t>Meter Id,  Lob,  Meter Name</t>
  </si>
  <si>
    <t>147         1              Mobility Data Records</t>
  </si>
  <si>
    <t>148         1              Mobility Circuit Switched Records</t>
  </si>
  <si>
    <t>149         1              Mobility Event Records</t>
  </si>
  <si>
    <t>150         1              Mobility Fax Records</t>
  </si>
  <si>
    <t>151         1              Mobility Push To Talk Records</t>
  </si>
  <si>
    <t>152         1              Mobility Voice Calls Records</t>
  </si>
  <si>
    <t>Data</t>
  </si>
  <si>
    <t>Fax</t>
  </si>
  <si>
    <t>PTT</t>
  </si>
  <si>
    <t>Voice</t>
  </si>
  <si>
    <t>meter</t>
  </si>
  <si>
    <t>Row Labels</t>
  </si>
  <si>
    <t>Grand Total</t>
  </si>
  <si>
    <t>Column Labels</t>
  </si>
  <si>
    <t>Sum of SUM(VALUE)</t>
  </si>
  <si>
    <t>SMS/EAM/Mobile applications(ringtones)/VAS</t>
  </si>
  <si>
    <t>mobile browsing</t>
  </si>
  <si>
    <t>SMS/EAM/VAS</t>
  </si>
  <si>
    <t>Month-Year</t>
  </si>
  <si>
    <t xml:space="preserve"> Cycle 1</t>
  </si>
  <si>
    <t xml:space="preserve"> Cycle 2</t>
  </si>
  <si>
    <t xml:space="preserve"> Cycle 3</t>
  </si>
  <si>
    <t xml:space="preserve"> Cycle 4</t>
  </si>
  <si>
    <t xml:space="preserve"> Cycle 5</t>
  </si>
  <si>
    <t xml:space="preserve"> Cycle 6</t>
  </si>
  <si>
    <t xml:space="preserve"> Cycle 7</t>
  </si>
  <si>
    <t xml:space="preserve"> Cycle 9</t>
  </si>
  <si>
    <t xml:space="preserve"> Cycle 10</t>
  </si>
  <si>
    <t>Cycle 11</t>
  </si>
  <si>
    <t>Cycle 12</t>
  </si>
  <si>
    <t>Cycle 13</t>
  </si>
  <si>
    <t>Cycle 14</t>
  </si>
  <si>
    <t>Cycle 15</t>
  </si>
  <si>
    <t>Cycle 16</t>
  </si>
  <si>
    <t>Cycle 17</t>
  </si>
  <si>
    <t>Cycle 18</t>
  </si>
  <si>
    <t>Cycle 19</t>
  </si>
  <si>
    <t>Cycle 20</t>
  </si>
  <si>
    <t>Cycle 21</t>
  </si>
  <si>
    <t>Cycle 22</t>
  </si>
  <si>
    <t>Cycle 23</t>
  </si>
  <si>
    <t>Cycle 24</t>
  </si>
  <si>
    <t>USAGE 1</t>
  </si>
  <si>
    <t>Usage 2</t>
  </si>
  <si>
    <t>Usage 3</t>
  </si>
  <si>
    <t xml:space="preserve">     Jul-05</t>
  </si>
  <si>
    <t>total</t>
  </si>
  <si>
    <t>Period</t>
  </si>
  <si>
    <t>Total2</t>
  </si>
  <si>
    <t>U1 Ratio</t>
  </si>
  <si>
    <t>U2 Ratio</t>
  </si>
  <si>
    <t>U3 Ratio</t>
  </si>
  <si>
    <t>Data%</t>
  </si>
  <si>
    <t>SMS%</t>
  </si>
  <si>
    <t>Voice%</t>
  </si>
  <si>
    <t>Sms</t>
  </si>
  <si>
    <t>Intercept/Coeff</t>
  </si>
  <si>
    <t>Slope/base</t>
  </si>
  <si>
    <t>Date</t>
  </si>
  <si>
    <t>SMS</t>
  </si>
  <si>
    <t>Total</t>
  </si>
  <si>
    <t>Year</t>
  </si>
  <si>
    <t>Values</t>
  </si>
  <si>
    <t>Sum of Voice</t>
  </si>
  <si>
    <t>Sum of SMS</t>
  </si>
  <si>
    <t>Sum of Data</t>
  </si>
</sst>
</file>

<file path=xl/styles.xml><?xml version="1.0" encoding="utf-8"?>
<styleSheet xmlns="http://schemas.openxmlformats.org/spreadsheetml/2006/main">
  <numFmts count="2">
    <numFmt numFmtId="164" formatCode="[$-409]mmm\-yy;@"/>
    <numFmt numFmtId="165" formatCode="0.000E+00"/>
  </numFmts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1" fontId="3" fillId="4" borderId="0" xfId="0" applyNumberFormat="1" applyFont="1" applyFill="1" applyAlignment="1">
      <alignment vertical="center"/>
    </xf>
    <xf numFmtId="1" fontId="3" fillId="3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164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1" fontId="0" fillId="4" borderId="0" xfId="0" applyNumberFormat="1" applyFill="1" applyAlignment="1">
      <alignment vertical="center"/>
    </xf>
    <xf numFmtId="1" fontId="0" fillId="3" borderId="0" xfId="0" applyNumberFormat="1" applyFill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5" borderId="0" xfId="0" applyNumberFormat="1" applyFont="1" applyFill="1" applyAlignment="1">
      <alignment vertical="center"/>
    </xf>
    <xf numFmtId="0" fontId="0" fillId="5" borderId="0" xfId="0" applyFill="1" applyAlignment="1">
      <alignment vertical="center"/>
    </xf>
    <xf numFmtId="1" fontId="0" fillId="5" borderId="0" xfId="0" applyNumberFormat="1" applyFill="1" applyAlignment="1">
      <alignment vertical="center"/>
    </xf>
    <xf numFmtId="164" fontId="2" fillId="0" borderId="0" xfId="0" applyNumberFormat="1" applyFont="1" applyFill="1" applyAlignment="1">
      <alignment vertical="center"/>
    </xf>
    <xf numFmtId="1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3">
    <dxf>
      <alignment horizontal="center" readingOrder="0"/>
    </dxf>
    <dxf>
      <numFmt numFmtId="165" formatCode="0.000E+00"/>
    </dxf>
    <dxf>
      <numFmt numFmtId="1" formatCode="0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center" textRotation="0" wrapText="0" indent="0" relativeIndent="255" justifyLastLine="0" shrinkToFit="0" mergeCell="0" readingOrder="0"/>
    </dxf>
    <dxf>
      <numFmt numFmtId="14" formatCode="0.00%"/>
      <alignment horizontal="center" vertical="center" textRotation="0" wrapText="0" indent="0" relativeIndent="255" justifyLastLine="0" shrinkToFit="0" mergeCell="0" readingOrder="0"/>
    </dxf>
    <dxf>
      <numFmt numFmtId="14" formatCode="0.00%"/>
      <alignment horizontal="center" vertical="center" textRotation="0" wrapText="0" indent="0" relativeIndent="255" justifyLastLine="0" shrinkToFit="0" mergeCell="0" readingOrder="0"/>
    </dxf>
    <dxf>
      <fill>
        <patternFill patternType="none">
          <fgColor indexed="64"/>
          <bgColor indexed="65"/>
        </patternFill>
      </fill>
      <alignment vertical="center" textRotation="0" wrapText="0" indent="0" relativeIndent="255" justifyLastLine="0" shrinkToFit="0" mergeCell="0" readingOrder="0"/>
    </dxf>
    <dxf>
      <fill>
        <patternFill patternType="none">
          <fgColor indexed="64"/>
          <bgColor indexed="65"/>
        </patternFill>
      </fill>
      <alignment vertical="center" textRotation="0" wrapText="0" indent="0" relativeIndent="255" justifyLastLine="0" shrinkToFit="0" mergeCell="0" readingOrder="0"/>
    </dxf>
    <dxf>
      <numFmt numFmtId="1" formatCode="0"/>
      <fill>
        <patternFill patternType="none">
          <fgColor indexed="64"/>
          <bgColor indexed="65"/>
        </patternFill>
      </fill>
      <alignment vertical="center" textRotation="0" wrapText="0" indent="0" relativeIndent="255" justifyLastLine="0" shrinkToFit="0" mergeCell="0" readingOrder="0"/>
    </dxf>
    <dxf>
      <numFmt numFmtId="1" formatCode="0"/>
      <fill>
        <patternFill patternType="none">
          <fgColor indexed="64"/>
          <bgColor indexed="65"/>
        </patternFill>
      </fill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4" tint="0.79998168889431442"/>
        </patternFill>
      </fill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2" tint="-9.9978637043366805E-2"/>
        </patternFill>
      </fill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4" tint="0.79998168889431442"/>
        </patternFill>
      </fill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2" tint="-9.9978637043366805E-2"/>
        </patternFill>
      </fill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4" tint="0.79998168889431442"/>
        </patternFill>
      </fill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2" tint="-9.9978637043366805E-2"/>
        </patternFill>
      </fill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2" tint="-9.9978637043366805E-2"/>
        </patternFill>
      </fill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2" tint="-9.9978637043366805E-2"/>
        </patternFill>
      </fill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4" tint="0.79998168889431442"/>
        </patternFill>
      </fill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4" tint="0.79998168889431442"/>
        </patternFill>
      </fill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4" tint="0.79998168889431442"/>
        </patternFill>
      </fill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4" tint="0.79998168889431442"/>
        </patternFill>
      </fill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2" tint="-9.9978637043366805E-2"/>
        </patternFill>
      </fill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fill>
        <patternFill patternType="solid">
          <fgColor indexed="64"/>
          <bgColor theme="2" tint="-9.9978637043366805E-2"/>
        </patternFill>
      </fill>
      <alignment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alignment vertical="center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0"/>
        <name val="Arial"/>
        <scheme val="none"/>
      </font>
      <numFmt numFmtId="1" formatCode="0"/>
      <alignment horizontal="center" vertical="center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0"/>
        <name val="Arial"/>
        <scheme val="none"/>
      </font>
      <numFmt numFmtId="164" formatCode="[$-409]mmm\-yy;@"/>
      <fill>
        <patternFill patternType="none">
          <fgColor indexed="64"/>
          <bgColor indexed="65"/>
        </patternFill>
      </fill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alignment vertical="center" textRotation="0" wrapText="0" indent="0" relativeIndent="255" justifyLastLine="0" shrinkToFit="0" mergeCell="0" readingOrder="0"/>
    </dxf>
    <dxf>
      <numFmt numFmtId="165" formatCode="0.000E+00"/>
      <alignment horizontal="center" vertical="bottom" textRotation="0" wrapText="0" indent="0" relativeIndent="255" justifyLastLine="0" shrinkToFit="0" mergeCell="0" readingOrder="0"/>
    </dxf>
    <dxf>
      <numFmt numFmtId="15" formatCode="0.00E+00"/>
      <alignment horizontal="center" vertical="bottom" textRotation="0" wrapText="0" indent="0" relativeIndent="255" justifyLastLine="0" shrinkToFit="0" mergeCell="0" readingOrder="0"/>
    </dxf>
    <dxf>
      <numFmt numFmtId="165" formatCode="0.000E+00"/>
      <alignment horizontal="center" vertical="bottom" textRotation="0" wrapText="0" indent="0" relativeIndent="255" justifyLastLine="0" shrinkToFit="0" mergeCell="0" readingOrder="0"/>
    </dxf>
    <dxf>
      <numFmt numFmtId="165" formatCode="0.000E+00"/>
      <alignment horizontal="center" vertical="bottom" textRotation="0" wrapText="0" indent="0" relativeIndent="255" justifyLastLine="0" shrinkToFit="0" mergeCell="0" readingOrder="0"/>
    </dxf>
    <dxf>
      <numFmt numFmtId="19" formatCode="dd/mm/yyyy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1" formatCode="0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19" formatCode="dd/mm/yyyy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vertical="center" readingOrder="0"/>
    </dxf>
    <dxf>
      <alignment horizontal="center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Preeicted Number of Events By Type</a:t>
            </a:r>
          </a:p>
        </c:rich>
      </c:tx>
      <c:layout>
        <c:manualLayout>
          <c:xMode val="edge"/>
          <c:yMode val="edge"/>
          <c:x val="0.27292817679558012"/>
          <c:y val="1.1891488760553404E-2"/>
        </c:manualLayout>
      </c:layout>
    </c:title>
    <c:plotArea>
      <c:layout/>
      <c:barChart>
        <c:barDir val="col"/>
        <c:grouping val="stacked"/>
        <c:ser>
          <c:idx val="0"/>
          <c:order val="0"/>
          <c:tx>
            <c:strRef>
              <c:f>'2yfiltered'!$I$41</c:f>
              <c:strCache>
                <c:ptCount val="1"/>
                <c:pt idx="0">
                  <c:v>Voice</c:v>
                </c:pt>
              </c:strCache>
            </c:strRef>
          </c:tx>
          <c:dLbls>
            <c:dLbl>
              <c:idx val="44"/>
              <c:layout/>
              <c:showVal val="1"/>
              <c:showSerName val="1"/>
            </c:dLbl>
            <c:delete val="1"/>
          </c:dLbls>
          <c:cat>
            <c:numRef>
              <c:f>'2yfiltered'!$H$42:$H$89</c:f>
              <c:numCache>
                <c:formatCode>dd/mm/yyyy</c:formatCode>
                <c:ptCount val="48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</c:numCache>
            </c:numRef>
          </c:cat>
          <c:val>
            <c:numRef>
              <c:f>'2yfiltered'!$I$42:$I$89</c:f>
              <c:numCache>
                <c:formatCode>0.000E+00</c:formatCode>
                <c:ptCount val="48"/>
                <c:pt idx="0">
                  <c:v>847948907.32000005</c:v>
                </c:pt>
                <c:pt idx="1">
                  <c:v>846927122.08000004</c:v>
                </c:pt>
                <c:pt idx="2">
                  <c:v>845905336.84000003</c:v>
                </c:pt>
                <c:pt idx="3">
                  <c:v>844883551.60000002</c:v>
                </c:pt>
                <c:pt idx="4">
                  <c:v>843861766.36000001</c:v>
                </c:pt>
                <c:pt idx="5">
                  <c:v>842839981.12</c:v>
                </c:pt>
                <c:pt idx="6">
                  <c:v>841818195.88</c:v>
                </c:pt>
                <c:pt idx="7">
                  <c:v>840796410.63999999</c:v>
                </c:pt>
                <c:pt idx="8">
                  <c:v>839774625.39999998</c:v>
                </c:pt>
                <c:pt idx="9">
                  <c:v>838752840.15999997</c:v>
                </c:pt>
                <c:pt idx="10">
                  <c:v>837731054.92000008</c:v>
                </c:pt>
                <c:pt idx="11">
                  <c:v>836709269.68000007</c:v>
                </c:pt>
                <c:pt idx="12">
                  <c:v>835687484.44000006</c:v>
                </c:pt>
                <c:pt idx="13">
                  <c:v>834665699.20000005</c:v>
                </c:pt>
                <c:pt idx="14">
                  <c:v>833643913.96000004</c:v>
                </c:pt>
                <c:pt idx="15">
                  <c:v>832622128.72000003</c:v>
                </c:pt>
                <c:pt idx="16">
                  <c:v>831600343.48000002</c:v>
                </c:pt>
                <c:pt idx="17">
                  <c:v>830578558.24000001</c:v>
                </c:pt>
                <c:pt idx="18">
                  <c:v>829556773</c:v>
                </c:pt>
                <c:pt idx="19">
                  <c:v>828534987.75999999</c:v>
                </c:pt>
                <c:pt idx="20">
                  <c:v>827513202.51999998</c:v>
                </c:pt>
                <c:pt idx="21">
                  <c:v>826491417.27999997</c:v>
                </c:pt>
                <c:pt idx="22">
                  <c:v>825469632.03999996</c:v>
                </c:pt>
                <c:pt idx="23">
                  <c:v>824447846.79999995</c:v>
                </c:pt>
                <c:pt idx="24">
                  <c:v>823426061.55999994</c:v>
                </c:pt>
                <c:pt idx="25">
                  <c:v>822404276.32000005</c:v>
                </c:pt>
                <c:pt idx="26">
                  <c:v>821382491.08000004</c:v>
                </c:pt>
                <c:pt idx="27">
                  <c:v>820360705.84000003</c:v>
                </c:pt>
                <c:pt idx="28">
                  <c:v>819338920.60000002</c:v>
                </c:pt>
                <c:pt idx="29">
                  <c:v>818317135.36000001</c:v>
                </c:pt>
                <c:pt idx="30">
                  <c:v>817295350.12</c:v>
                </c:pt>
                <c:pt idx="31">
                  <c:v>816273564.88</c:v>
                </c:pt>
                <c:pt idx="32">
                  <c:v>815251779.63999999</c:v>
                </c:pt>
                <c:pt idx="33">
                  <c:v>814229994.39999998</c:v>
                </c:pt>
                <c:pt idx="34">
                  <c:v>813208209.15999997</c:v>
                </c:pt>
                <c:pt idx="35">
                  <c:v>812186423.91999996</c:v>
                </c:pt>
                <c:pt idx="36">
                  <c:v>811164638.67999995</c:v>
                </c:pt>
                <c:pt idx="37">
                  <c:v>810142853.43999994</c:v>
                </c:pt>
                <c:pt idx="38">
                  <c:v>809121068.20000005</c:v>
                </c:pt>
                <c:pt idx="39">
                  <c:v>808099282.96000004</c:v>
                </c:pt>
                <c:pt idx="40">
                  <c:v>807077497.72000003</c:v>
                </c:pt>
                <c:pt idx="41">
                  <c:v>806055712.48000002</c:v>
                </c:pt>
                <c:pt idx="42">
                  <c:v>805033927.24000001</c:v>
                </c:pt>
                <c:pt idx="43">
                  <c:v>804012142</c:v>
                </c:pt>
                <c:pt idx="44">
                  <c:v>802990356.75999999</c:v>
                </c:pt>
                <c:pt idx="45">
                  <c:v>801968571.51999998</c:v>
                </c:pt>
                <c:pt idx="46">
                  <c:v>800946786.27999997</c:v>
                </c:pt>
                <c:pt idx="47">
                  <c:v>799925001.03999996</c:v>
                </c:pt>
              </c:numCache>
            </c:numRef>
          </c:val>
        </c:ser>
        <c:ser>
          <c:idx val="1"/>
          <c:order val="1"/>
          <c:tx>
            <c:strRef>
              <c:f>'2yfiltered'!$J$41</c:f>
              <c:strCache>
                <c:ptCount val="1"/>
                <c:pt idx="0">
                  <c:v>SMS</c:v>
                </c:pt>
              </c:strCache>
            </c:strRef>
          </c:tx>
          <c:dLbls>
            <c:dLbl>
              <c:idx val="44"/>
              <c:layout/>
              <c:showVal val="1"/>
              <c:showSerName val="1"/>
            </c:dLbl>
            <c:delete val="1"/>
          </c:dLbls>
          <c:cat>
            <c:numRef>
              <c:f>'2yfiltered'!$H$42:$H$89</c:f>
              <c:numCache>
                <c:formatCode>dd/mm/yyyy</c:formatCode>
                <c:ptCount val="48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</c:numCache>
            </c:numRef>
          </c:cat>
          <c:val>
            <c:numRef>
              <c:f>'2yfiltered'!$J$42:$J$89</c:f>
              <c:numCache>
                <c:formatCode>0.000E+00</c:formatCode>
                <c:ptCount val="48"/>
                <c:pt idx="0">
                  <c:v>2466172528.5599999</c:v>
                </c:pt>
                <c:pt idx="1">
                  <c:v>2557473438.9546156</c:v>
                </c:pt>
                <c:pt idx="2">
                  <c:v>2648774349.3492308</c:v>
                </c:pt>
                <c:pt idx="3">
                  <c:v>2740075259.7438459</c:v>
                </c:pt>
                <c:pt idx="4">
                  <c:v>2831376170.1384616</c:v>
                </c:pt>
                <c:pt idx="5">
                  <c:v>2922677080.5330772</c:v>
                </c:pt>
                <c:pt idx="6">
                  <c:v>3013977990.9276924</c:v>
                </c:pt>
                <c:pt idx="7">
                  <c:v>3105278901.3223076</c:v>
                </c:pt>
                <c:pt idx="8">
                  <c:v>3196579811.7169232</c:v>
                </c:pt>
                <c:pt idx="9">
                  <c:v>3287880722.1115389</c:v>
                </c:pt>
                <c:pt idx="10">
                  <c:v>3379181632.5061541</c:v>
                </c:pt>
                <c:pt idx="11">
                  <c:v>3470482542.9007692</c:v>
                </c:pt>
                <c:pt idx="12">
                  <c:v>3561783453.2953844</c:v>
                </c:pt>
                <c:pt idx="13">
                  <c:v>3653084363.6900005</c:v>
                </c:pt>
                <c:pt idx="14">
                  <c:v>3744385274.0846157</c:v>
                </c:pt>
                <c:pt idx="15">
                  <c:v>3835686184.4792309</c:v>
                </c:pt>
                <c:pt idx="16">
                  <c:v>3926987094.8738461</c:v>
                </c:pt>
                <c:pt idx="17">
                  <c:v>4018288005.2684622</c:v>
                </c:pt>
                <c:pt idx="18">
                  <c:v>4109588915.6630774</c:v>
                </c:pt>
                <c:pt idx="19">
                  <c:v>4200889826.0576925</c:v>
                </c:pt>
                <c:pt idx="20">
                  <c:v>4292190736.4523077</c:v>
                </c:pt>
                <c:pt idx="21">
                  <c:v>4383491646.8469229</c:v>
                </c:pt>
                <c:pt idx="22">
                  <c:v>4474792557.241539</c:v>
                </c:pt>
                <c:pt idx="23">
                  <c:v>4566093467.6361542</c:v>
                </c:pt>
                <c:pt idx="24">
                  <c:v>4657394378.0307693</c:v>
                </c:pt>
                <c:pt idx="25">
                  <c:v>4748695288.4253845</c:v>
                </c:pt>
                <c:pt idx="26">
                  <c:v>4839996198.8200006</c:v>
                </c:pt>
                <c:pt idx="27">
                  <c:v>4931297109.2146158</c:v>
                </c:pt>
                <c:pt idx="28">
                  <c:v>5022598019.609231</c:v>
                </c:pt>
                <c:pt idx="29">
                  <c:v>5113898930.0038462</c:v>
                </c:pt>
                <c:pt idx="30">
                  <c:v>5205199840.3984623</c:v>
                </c:pt>
                <c:pt idx="31">
                  <c:v>5296500750.7930775</c:v>
                </c:pt>
                <c:pt idx="32">
                  <c:v>5387801661.1876926</c:v>
                </c:pt>
                <c:pt idx="33">
                  <c:v>5479102571.5823078</c:v>
                </c:pt>
                <c:pt idx="34">
                  <c:v>5570403481.9769239</c:v>
                </c:pt>
                <c:pt idx="35">
                  <c:v>5661704392.3715391</c:v>
                </c:pt>
                <c:pt idx="36">
                  <c:v>5753005302.7661543</c:v>
                </c:pt>
                <c:pt idx="37">
                  <c:v>5844306213.1607695</c:v>
                </c:pt>
                <c:pt idx="38">
                  <c:v>5935607123.5553856</c:v>
                </c:pt>
                <c:pt idx="39">
                  <c:v>6026908033.9500008</c:v>
                </c:pt>
                <c:pt idx="40">
                  <c:v>6118208944.3446159</c:v>
                </c:pt>
                <c:pt idx="41">
                  <c:v>6209509854.7392311</c:v>
                </c:pt>
                <c:pt idx="42">
                  <c:v>6300810765.1338472</c:v>
                </c:pt>
                <c:pt idx="43">
                  <c:v>6392111675.5284624</c:v>
                </c:pt>
                <c:pt idx="44">
                  <c:v>6483412585.9230776</c:v>
                </c:pt>
                <c:pt idx="45">
                  <c:v>6574713496.3176928</c:v>
                </c:pt>
                <c:pt idx="46">
                  <c:v>6666014406.7123089</c:v>
                </c:pt>
                <c:pt idx="47">
                  <c:v>6757315317.1069241</c:v>
                </c:pt>
              </c:numCache>
            </c:numRef>
          </c:val>
        </c:ser>
        <c:ser>
          <c:idx val="2"/>
          <c:order val="2"/>
          <c:tx>
            <c:strRef>
              <c:f>'2yfiltered'!$K$41</c:f>
              <c:strCache>
                <c:ptCount val="1"/>
                <c:pt idx="0">
                  <c:v>Data</c:v>
                </c:pt>
              </c:strCache>
            </c:strRef>
          </c:tx>
          <c:dLbls>
            <c:dLbl>
              <c:idx val="44"/>
              <c:layout/>
              <c:showVal val="1"/>
              <c:showSerName val="1"/>
            </c:dLbl>
            <c:delete val="1"/>
          </c:dLbls>
          <c:cat>
            <c:numRef>
              <c:f>'2yfiltered'!$H$42:$H$89</c:f>
              <c:numCache>
                <c:formatCode>dd/mm/yyyy</c:formatCode>
                <c:ptCount val="48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</c:numCache>
            </c:numRef>
          </c:cat>
          <c:val>
            <c:numRef>
              <c:f>'2yfiltered'!$K$42:$K$89</c:f>
              <c:numCache>
                <c:formatCode>0.00E+00</c:formatCode>
                <c:ptCount val="48"/>
                <c:pt idx="0">
                  <c:v>175787129.79894045</c:v>
                </c:pt>
                <c:pt idx="1">
                  <c:v>187229479.48947236</c:v>
                </c:pt>
                <c:pt idx="2">
                  <c:v>199416635.50678241</c:v>
                </c:pt>
                <c:pt idx="3">
                  <c:v>212397078.84292307</c:v>
                </c:pt>
                <c:pt idx="4">
                  <c:v>226222446.2184979</c:v>
                </c:pt>
                <c:pt idx="5">
                  <c:v>240947735.49559268</c:v>
                </c:pt>
                <c:pt idx="6">
                  <c:v>256631524.46146148</c:v>
                </c:pt>
                <c:pt idx="7">
                  <c:v>273336203.85329735</c:v>
                </c:pt>
                <c:pt idx="8">
                  <c:v>291128225.55107015</c:v>
                </c:pt>
                <c:pt idx="9">
                  <c:v>310078366.92575163</c:v>
                </c:pt>
                <c:pt idx="10">
                  <c:v>330262012.39451623</c:v>
                </c:pt>
                <c:pt idx="11">
                  <c:v>351759453.30295539</c:v>
                </c:pt>
                <c:pt idx="12">
                  <c:v>374656207.32724804</c:v>
                </c:pt>
                <c:pt idx="13">
                  <c:v>399043358.66688299</c:v>
                </c:pt>
                <c:pt idx="14">
                  <c:v>425017920.3812319</c:v>
                </c:pt>
                <c:pt idx="15">
                  <c:v>452683220.31136376</c:v>
                </c:pt>
                <c:pt idx="16">
                  <c:v>482149312.12231243</c:v>
                </c:pt>
                <c:pt idx="17">
                  <c:v>513533413.10093921</c:v>
                </c:pt>
                <c:pt idx="18">
                  <c:v>546960370.4509691</c:v>
                </c:pt>
                <c:pt idx="19">
                  <c:v>582563157.94013941</c:v>
                </c:pt>
                <c:pt idx="20">
                  <c:v>620483404.87514484</c:v>
                </c:pt>
                <c:pt idx="21">
                  <c:v>660871959.50865984</c:v>
                </c:pt>
                <c:pt idx="22">
                  <c:v>703889489.11969709</c:v>
                </c:pt>
                <c:pt idx="23">
                  <c:v>749707119.15444136</c:v>
                </c:pt>
                <c:pt idx="24">
                  <c:v>798507113.97009218</c:v>
                </c:pt>
                <c:pt idx="25">
                  <c:v>850483601.88973451</c:v>
                </c:pt>
                <c:pt idx="26">
                  <c:v>905843347.45254159</c:v>
                </c:pt>
                <c:pt idx="27">
                  <c:v>964806573.93134654</c:v>
                </c:pt>
                <c:pt idx="28">
                  <c:v>1027607839.3895931</c:v>
                </c:pt>
                <c:pt idx="29">
                  <c:v>1094496969.7626553</c:v>
                </c:pt>
                <c:pt idx="30">
                  <c:v>1165740052.6753573</c:v>
                </c:pt>
                <c:pt idx="31">
                  <c:v>1241620495.9491456</c:v>
                </c:pt>
                <c:pt idx="32">
                  <c:v>1322440155.0096889</c:v>
                </c:pt>
                <c:pt idx="33">
                  <c:v>1408520533.6797845</c:v>
                </c:pt>
                <c:pt idx="34">
                  <c:v>1500204063.1343734</c:v>
                </c:pt>
                <c:pt idx="35">
                  <c:v>1597855464.1053894</c:v>
                </c:pt>
                <c:pt idx="36">
                  <c:v>1701863197.7553601</c:v>
                </c:pt>
                <c:pt idx="37">
                  <c:v>1812641010.991384</c:v>
                </c:pt>
                <c:pt idx="38">
                  <c:v>1930629582.3668056</c:v>
                </c:pt>
                <c:pt idx="39">
                  <c:v>2056298275.1180522</c:v>
                </c:pt>
                <c:pt idx="40">
                  <c:v>2190147004.310286</c:v>
                </c:pt>
                <c:pt idx="41">
                  <c:v>2332708225.5194416</c:v>
                </c:pt>
                <c:pt idx="42">
                  <c:v>2484549052.9617167</c:v>
                </c:pt>
                <c:pt idx="43">
                  <c:v>2646273515.4965115</c:v>
                </c:pt>
                <c:pt idx="44">
                  <c:v>2818524959.4772911</c:v>
                </c:pt>
                <c:pt idx="45">
                  <c:v>3001988608.0090055</c:v>
                </c:pt>
                <c:pt idx="46">
                  <c:v>3197394286.7928872</c:v>
                </c:pt>
                <c:pt idx="47">
                  <c:v>3405519327.4021659</c:v>
                </c:pt>
              </c:numCache>
            </c:numRef>
          </c:val>
        </c:ser>
        <c:gapWidth val="55"/>
        <c:overlap val="100"/>
        <c:axId val="194090880"/>
        <c:axId val="194092416"/>
      </c:barChart>
      <c:dateAx>
        <c:axId val="194090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dd/mm/yyyy" sourceLinked="1"/>
        <c:majorTickMark val="none"/>
        <c:tickLblPos val="nextTo"/>
        <c:crossAx val="194092416"/>
        <c:crosses val="autoZero"/>
        <c:auto val="1"/>
        <c:lblOffset val="100"/>
      </c:dateAx>
      <c:valAx>
        <c:axId val="19409241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Events</a:t>
                </a:r>
              </a:p>
            </c:rich>
          </c:tx>
          <c:layout/>
        </c:title>
        <c:numFmt formatCode="0.000E+00" sourceLinked="1"/>
        <c:majorTickMark val="none"/>
        <c:tickLblPos val="nextTo"/>
        <c:crossAx val="194090880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[Res.xlsx]2yfiltered!PivotTable1</c:name>
    <c:fmtId val="3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'2yfiltered'!$H$93:$H$94</c:f>
              <c:strCache>
                <c:ptCount val="1"/>
                <c:pt idx="0">
                  <c:v>Sum of Voice</c:v>
                </c:pt>
              </c:strCache>
            </c:strRef>
          </c:tx>
          <c:cat>
            <c:strRef>
              <c:f>'2yfiltered'!$G$95:$G$99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'2yfiltered'!$H$95:$H$99</c:f>
              <c:numCache>
                <c:formatCode>0.000E+00</c:formatCode>
                <c:ptCount val="4"/>
                <c:pt idx="0">
                  <c:v>10107949062</c:v>
                </c:pt>
                <c:pt idx="1">
                  <c:v>9960811987.4400005</c:v>
                </c:pt>
                <c:pt idx="2">
                  <c:v>9813674912.8800011</c:v>
                </c:pt>
                <c:pt idx="3">
                  <c:v>9666537838.3199997</c:v>
                </c:pt>
              </c:numCache>
            </c:numRef>
          </c:val>
        </c:ser>
        <c:ser>
          <c:idx val="1"/>
          <c:order val="1"/>
          <c:tx>
            <c:strRef>
              <c:f>'2yfiltered'!$I$93:$I$94</c:f>
              <c:strCache>
                <c:ptCount val="1"/>
                <c:pt idx="0">
                  <c:v>Sum of SMS</c:v>
                </c:pt>
              </c:strCache>
            </c:strRef>
          </c:tx>
          <c:cat>
            <c:strRef>
              <c:f>'2yfiltered'!$G$95:$G$99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'2yfiltered'!$I$95:$I$99</c:f>
              <c:numCache>
                <c:formatCode>0.000E+00</c:formatCode>
                <c:ptCount val="4"/>
                <c:pt idx="0">
                  <c:v>35619930428.764618</c:v>
                </c:pt>
                <c:pt idx="1">
                  <c:v>48767261525.589233</c:v>
                </c:pt>
                <c:pt idx="2">
                  <c:v>61914592622.413834</c:v>
                </c:pt>
                <c:pt idx="3">
                  <c:v>75061923719.23848</c:v>
                </c:pt>
              </c:numCache>
            </c:numRef>
          </c:val>
        </c:ser>
        <c:ser>
          <c:idx val="2"/>
          <c:order val="2"/>
          <c:tx>
            <c:strRef>
              <c:f>'2yfiltered'!$J$93:$J$94</c:f>
              <c:strCache>
                <c:ptCount val="1"/>
                <c:pt idx="0">
                  <c:v>Sum of Data</c:v>
                </c:pt>
              </c:strCache>
            </c:strRef>
          </c:tx>
          <c:cat>
            <c:strRef>
              <c:f>'2yfiltered'!$G$95:$G$99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'2yfiltered'!$J$95:$J$99</c:f>
              <c:numCache>
                <c:formatCode>0.000E+00</c:formatCode>
                <c:ptCount val="4"/>
                <c:pt idx="0">
                  <c:v>3055196291.8412619</c:v>
                </c:pt>
                <c:pt idx="1">
                  <c:v>6511558932.9590302</c:v>
                </c:pt>
                <c:pt idx="2">
                  <c:v>13878126210.949701</c:v>
                </c:pt>
                <c:pt idx="3">
                  <c:v>29578537046.200909</c:v>
                </c:pt>
              </c:numCache>
            </c:numRef>
          </c:val>
        </c:ser>
        <c:overlap val="100"/>
        <c:axId val="212886656"/>
        <c:axId val="212888192"/>
      </c:barChart>
      <c:catAx>
        <c:axId val="212886656"/>
        <c:scaling>
          <c:orientation val="minMax"/>
        </c:scaling>
        <c:axPos val="b"/>
        <c:tickLblPos val="nextTo"/>
        <c:crossAx val="212888192"/>
        <c:crosses val="autoZero"/>
        <c:auto val="1"/>
        <c:lblAlgn val="ctr"/>
        <c:lblOffset val="100"/>
      </c:catAx>
      <c:valAx>
        <c:axId val="212888192"/>
        <c:scaling>
          <c:orientation val="minMax"/>
        </c:scaling>
        <c:axPos val="l"/>
        <c:majorGridlines/>
        <c:numFmt formatCode="0.000E+00" sourceLinked="1"/>
        <c:tickLblPos val="nextTo"/>
        <c:crossAx val="2128866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[Res.xlsx]2yfiltered!PivotTable1</c:name>
    <c:fmtId val="6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percentStacked"/>
        <c:ser>
          <c:idx val="0"/>
          <c:order val="0"/>
          <c:tx>
            <c:strRef>
              <c:f>'2yfiltered'!$H$93:$H$94</c:f>
              <c:strCache>
                <c:ptCount val="1"/>
                <c:pt idx="0">
                  <c:v>Sum of Voice</c:v>
                </c:pt>
              </c:strCache>
            </c:strRef>
          </c:tx>
          <c:cat>
            <c:strRef>
              <c:f>'2yfiltered'!$G$95:$G$99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'2yfiltered'!$H$95:$H$99</c:f>
              <c:numCache>
                <c:formatCode>0.000E+00</c:formatCode>
                <c:ptCount val="4"/>
                <c:pt idx="0">
                  <c:v>10107949062</c:v>
                </c:pt>
                <c:pt idx="1">
                  <c:v>9960811987.4400005</c:v>
                </c:pt>
                <c:pt idx="2">
                  <c:v>9813674912.8800011</c:v>
                </c:pt>
                <c:pt idx="3">
                  <c:v>9666537838.3199997</c:v>
                </c:pt>
              </c:numCache>
            </c:numRef>
          </c:val>
        </c:ser>
        <c:ser>
          <c:idx val="1"/>
          <c:order val="1"/>
          <c:tx>
            <c:strRef>
              <c:f>'2yfiltered'!$I$93:$I$94</c:f>
              <c:strCache>
                <c:ptCount val="1"/>
                <c:pt idx="0">
                  <c:v>Sum of SMS</c:v>
                </c:pt>
              </c:strCache>
            </c:strRef>
          </c:tx>
          <c:cat>
            <c:strRef>
              <c:f>'2yfiltered'!$G$95:$G$99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'2yfiltered'!$I$95:$I$99</c:f>
              <c:numCache>
                <c:formatCode>0.000E+00</c:formatCode>
                <c:ptCount val="4"/>
                <c:pt idx="0">
                  <c:v>35619930428.764618</c:v>
                </c:pt>
                <c:pt idx="1">
                  <c:v>48767261525.589233</c:v>
                </c:pt>
                <c:pt idx="2">
                  <c:v>61914592622.413834</c:v>
                </c:pt>
                <c:pt idx="3">
                  <c:v>75061923719.23848</c:v>
                </c:pt>
              </c:numCache>
            </c:numRef>
          </c:val>
        </c:ser>
        <c:ser>
          <c:idx val="2"/>
          <c:order val="2"/>
          <c:tx>
            <c:strRef>
              <c:f>'2yfiltered'!$J$93:$J$94</c:f>
              <c:strCache>
                <c:ptCount val="1"/>
                <c:pt idx="0">
                  <c:v>Sum of Data</c:v>
                </c:pt>
              </c:strCache>
            </c:strRef>
          </c:tx>
          <c:cat>
            <c:strRef>
              <c:f>'2yfiltered'!$G$95:$G$99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'2yfiltered'!$J$95:$J$99</c:f>
              <c:numCache>
                <c:formatCode>0.000E+00</c:formatCode>
                <c:ptCount val="4"/>
                <c:pt idx="0">
                  <c:v>3055196291.8412619</c:v>
                </c:pt>
                <c:pt idx="1">
                  <c:v>6511558932.9590302</c:v>
                </c:pt>
                <c:pt idx="2">
                  <c:v>13878126210.949701</c:v>
                </c:pt>
                <c:pt idx="3">
                  <c:v>29578537046.200909</c:v>
                </c:pt>
              </c:numCache>
            </c:numRef>
          </c:val>
        </c:ser>
        <c:overlap val="100"/>
        <c:axId val="206720000"/>
        <c:axId val="211611648"/>
      </c:barChart>
      <c:catAx>
        <c:axId val="206720000"/>
        <c:scaling>
          <c:orientation val="minMax"/>
        </c:scaling>
        <c:axPos val="b"/>
        <c:tickLblPos val="nextTo"/>
        <c:crossAx val="211611648"/>
        <c:crosses val="autoZero"/>
        <c:auto val="1"/>
        <c:lblAlgn val="ctr"/>
        <c:lblOffset val="100"/>
      </c:catAx>
      <c:valAx>
        <c:axId val="211611648"/>
        <c:scaling>
          <c:orientation val="minMax"/>
        </c:scaling>
        <c:axPos val="l"/>
        <c:majorGridlines/>
        <c:numFmt formatCode="0%" sourceLinked="1"/>
        <c:tickLblPos val="nextTo"/>
        <c:crossAx val="2067200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tx>
            <c:strRef>
              <c:f>'5 years'!$AB$1</c:f>
              <c:strCache>
                <c:ptCount val="1"/>
                <c:pt idx="0">
                  <c:v>USAGE 1</c:v>
                </c:pt>
              </c:strCache>
            </c:strRef>
          </c:tx>
          <c:cat>
            <c:strRef>
              <c:f>'5 years'!$A$2:$A$67</c:f>
              <c:strCache>
                <c:ptCount val="66"/>
                <c:pt idx="0">
                  <c:v>     Jul-05</c:v>
                </c:pt>
                <c:pt idx="1">
                  <c:v>Aug-05</c:v>
                </c:pt>
                <c:pt idx="2">
                  <c:v>Sep-05</c:v>
                </c:pt>
                <c:pt idx="3">
                  <c:v>Oct-05</c:v>
                </c:pt>
                <c:pt idx="4">
                  <c:v>Nov-05</c:v>
                </c:pt>
                <c:pt idx="5">
                  <c:v>Dec-05</c:v>
                </c:pt>
                <c:pt idx="6">
                  <c:v>Jan-06</c:v>
                </c:pt>
                <c:pt idx="7">
                  <c:v>Feb-06</c:v>
                </c:pt>
                <c:pt idx="8">
                  <c:v>Mar-06</c:v>
                </c:pt>
                <c:pt idx="9">
                  <c:v>Apr-06</c:v>
                </c:pt>
                <c:pt idx="10">
                  <c:v>May-06</c:v>
                </c:pt>
                <c:pt idx="11">
                  <c:v>Jun-06</c:v>
                </c:pt>
                <c:pt idx="12">
                  <c:v>Jul-06</c:v>
                </c:pt>
                <c:pt idx="13">
                  <c:v>Aug-06</c:v>
                </c:pt>
                <c:pt idx="14">
                  <c:v>Sep-06</c:v>
                </c:pt>
                <c:pt idx="15">
                  <c:v>Oct-06</c:v>
                </c:pt>
                <c:pt idx="16">
                  <c:v>Nov-06</c:v>
                </c:pt>
                <c:pt idx="17">
                  <c:v>Dec-06</c:v>
                </c:pt>
                <c:pt idx="18">
                  <c:v>Jan-07</c:v>
                </c:pt>
                <c:pt idx="19">
                  <c:v>Feb-07</c:v>
                </c:pt>
                <c:pt idx="20">
                  <c:v>Mar-07</c:v>
                </c:pt>
                <c:pt idx="21">
                  <c:v>Apr-07</c:v>
                </c:pt>
                <c:pt idx="22">
                  <c:v>May-07</c:v>
                </c:pt>
                <c:pt idx="23">
                  <c:v>Jun-07</c:v>
                </c:pt>
                <c:pt idx="24">
                  <c:v>Jul-07</c:v>
                </c:pt>
                <c:pt idx="25">
                  <c:v>Aug-07</c:v>
                </c:pt>
                <c:pt idx="26">
                  <c:v>Sep-07</c:v>
                </c:pt>
                <c:pt idx="27">
                  <c:v>Oct-07</c:v>
                </c:pt>
                <c:pt idx="28">
                  <c:v>Nov-07</c:v>
                </c:pt>
                <c:pt idx="29">
                  <c:v>Dec-07</c:v>
                </c:pt>
                <c:pt idx="30">
                  <c:v>Jan-08</c:v>
                </c:pt>
                <c:pt idx="31">
                  <c:v>Feb-08</c:v>
                </c:pt>
                <c:pt idx="32">
                  <c:v>Mar-08</c:v>
                </c:pt>
                <c:pt idx="33">
                  <c:v>Apr-08</c:v>
                </c:pt>
                <c:pt idx="34">
                  <c:v>May-08</c:v>
                </c:pt>
                <c:pt idx="35">
                  <c:v>Jun-08</c:v>
                </c:pt>
                <c:pt idx="36">
                  <c:v>Jul-08</c:v>
                </c:pt>
                <c:pt idx="37">
                  <c:v>Aug-08</c:v>
                </c:pt>
                <c:pt idx="38">
                  <c:v>Sep-08</c:v>
                </c:pt>
                <c:pt idx="39">
                  <c:v>Oct-08</c:v>
                </c:pt>
                <c:pt idx="40">
                  <c:v>Nov-08</c:v>
                </c:pt>
                <c:pt idx="41">
                  <c:v>Dec-08</c:v>
                </c:pt>
                <c:pt idx="42">
                  <c:v>Jan-09</c:v>
                </c:pt>
                <c:pt idx="43">
                  <c:v>Feb-09</c:v>
                </c:pt>
                <c:pt idx="44">
                  <c:v>Mar-09</c:v>
                </c:pt>
                <c:pt idx="45">
                  <c:v>Apr-09</c:v>
                </c:pt>
                <c:pt idx="46">
                  <c:v>May-09</c:v>
                </c:pt>
                <c:pt idx="47">
                  <c:v>Jun-09</c:v>
                </c:pt>
                <c:pt idx="48">
                  <c:v>Jul-09</c:v>
                </c:pt>
                <c:pt idx="49">
                  <c:v>Aug-09</c:v>
                </c:pt>
                <c:pt idx="50">
                  <c:v>Sep-09</c:v>
                </c:pt>
                <c:pt idx="51">
                  <c:v>Oct-09</c:v>
                </c:pt>
                <c:pt idx="52">
                  <c:v>Nov-09</c:v>
                </c:pt>
                <c:pt idx="53">
                  <c:v>Dec-09</c:v>
                </c:pt>
                <c:pt idx="54">
                  <c:v>Jan-10</c:v>
                </c:pt>
                <c:pt idx="55">
                  <c:v>Feb-10</c:v>
                </c:pt>
                <c:pt idx="56">
                  <c:v>Mar-10</c:v>
                </c:pt>
                <c:pt idx="57">
                  <c:v>Apr-10</c:v>
                </c:pt>
                <c:pt idx="58">
                  <c:v>May-10</c:v>
                </c:pt>
                <c:pt idx="59">
                  <c:v>Jun-10</c:v>
                </c:pt>
                <c:pt idx="60">
                  <c:v>Jul-10</c:v>
                </c:pt>
                <c:pt idx="61">
                  <c:v>Aug-10</c:v>
                </c:pt>
                <c:pt idx="62">
                  <c:v>Sep-10</c:v>
                </c:pt>
                <c:pt idx="63">
                  <c:v>Oct-10</c:v>
                </c:pt>
                <c:pt idx="64">
                  <c:v>Nov-10</c:v>
                </c:pt>
                <c:pt idx="65">
                  <c:v>Dec-10</c:v>
                </c:pt>
              </c:strCache>
            </c:strRef>
          </c:cat>
          <c:val>
            <c:numRef>
              <c:f>'5 years'!$AB$2:$AB$67</c:f>
              <c:numCache>
                <c:formatCode>0</c:formatCode>
                <c:ptCount val="66"/>
                <c:pt idx="0">
                  <c:v>209244071</c:v>
                </c:pt>
                <c:pt idx="1">
                  <c:v>209294772</c:v>
                </c:pt>
                <c:pt idx="2">
                  <c:v>215063535</c:v>
                </c:pt>
                <c:pt idx="3">
                  <c:v>212942017</c:v>
                </c:pt>
                <c:pt idx="4">
                  <c:v>219777402</c:v>
                </c:pt>
                <c:pt idx="5">
                  <c:v>218289195</c:v>
                </c:pt>
                <c:pt idx="6">
                  <c:v>220991799</c:v>
                </c:pt>
                <c:pt idx="7">
                  <c:v>233446477</c:v>
                </c:pt>
                <c:pt idx="8">
                  <c:v>230163454</c:v>
                </c:pt>
                <c:pt idx="9">
                  <c:v>258321219</c:v>
                </c:pt>
                <c:pt idx="10">
                  <c:v>270744301</c:v>
                </c:pt>
                <c:pt idx="11">
                  <c:v>288086318</c:v>
                </c:pt>
                <c:pt idx="12">
                  <c:v>284104195</c:v>
                </c:pt>
                <c:pt idx="13">
                  <c:v>295002626</c:v>
                </c:pt>
                <c:pt idx="14">
                  <c:v>308017152</c:v>
                </c:pt>
                <c:pt idx="15">
                  <c:v>311225527</c:v>
                </c:pt>
                <c:pt idx="16">
                  <c:v>313327606</c:v>
                </c:pt>
                <c:pt idx="17">
                  <c:v>330414682</c:v>
                </c:pt>
                <c:pt idx="18">
                  <c:v>330252061</c:v>
                </c:pt>
                <c:pt idx="19">
                  <c:v>328296149</c:v>
                </c:pt>
                <c:pt idx="20">
                  <c:v>314760132</c:v>
                </c:pt>
                <c:pt idx="21">
                  <c:v>339772090</c:v>
                </c:pt>
                <c:pt idx="22">
                  <c:v>352495820</c:v>
                </c:pt>
                <c:pt idx="23">
                  <c:v>382223561</c:v>
                </c:pt>
                <c:pt idx="24">
                  <c:v>393484150</c:v>
                </c:pt>
                <c:pt idx="25">
                  <c:v>403019805</c:v>
                </c:pt>
                <c:pt idx="26">
                  <c:v>417825768</c:v>
                </c:pt>
                <c:pt idx="27">
                  <c:v>426290920</c:v>
                </c:pt>
                <c:pt idx="28">
                  <c:v>436708366</c:v>
                </c:pt>
                <c:pt idx="29">
                  <c:v>411815392</c:v>
                </c:pt>
                <c:pt idx="30">
                  <c:v>451611272</c:v>
                </c:pt>
                <c:pt idx="31">
                  <c:v>482809225</c:v>
                </c:pt>
                <c:pt idx="32">
                  <c:v>477093345</c:v>
                </c:pt>
                <c:pt idx="33">
                  <c:v>558583970</c:v>
                </c:pt>
                <c:pt idx="34">
                  <c:v>603671627</c:v>
                </c:pt>
                <c:pt idx="35">
                  <c:v>642697711</c:v>
                </c:pt>
                <c:pt idx="36">
                  <c:v>639751275</c:v>
                </c:pt>
                <c:pt idx="37">
                  <c:v>641894151</c:v>
                </c:pt>
                <c:pt idx="38">
                  <c:v>681255000</c:v>
                </c:pt>
                <c:pt idx="39">
                  <c:v>685765752</c:v>
                </c:pt>
                <c:pt idx="40">
                  <c:v>715392410</c:v>
                </c:pt>
                <c:pt idx="41">
                  <c:v>725614026</c:v>
                </c:pt>
                <c:pt idx="42">
                  <c:v>761837412</c:v>
                </c:pt>
                <c:pt idx="43">
                  <c:v>771464259</c:v>
                </c:pt>
                <c:pt idx="44">
                  <c:v>740493568</c:v>
                </c:pt>
                <c:pt idx="45">
                  <c:v>827492881</c:v>
                </c:pt>
                <c:pt idx="46">
                  <c:v>836297748</c:v>
                </c:pt>
                <c:pt idx="47">
                  <c:v>889799950</c:v>
                </c:pt>
                <c:pt idx="48">
                  <c:v>898170186</c:v>
                </c:pt>
                <c:pt idx="49">
                  <c:v>893547527</c:v>
                </c:pt>
                <c:pt idx="50">
                  <c:v>935763957</c:v>
                </c:pt>
                <c:pt idx="51">
                  <c:v>955425707</c:v>
                </c:pt>
                <c:pt idx="52">
                  <c:v>987022708</c:v>
                </c:pt>
                <c:pt idx="53">
                  <c:v>998378219</c:v>
                </c:pt>
                <c:pt idx="54">
                  <c:v>1052898996</c:v>
                </c:pt>
                <c:pt idx="55">
                  <c:v>1068963333</c:v>
                </c:pt>
                <c:pt idx="56">
                  <c:v>1054777174</c:v>
                </c:pt>
                <c:pt idx="57">
                  <c:v>1176108074</c:v>
                </c:pt>
                <c:pt idx="58">
                  <c:v>1218658186</c:v>
                </c:pt>
                <c:pt idx="59">
                  <c:v>1299981708</c:v>
                </c:pt>
                <c:pt idx="60">
                  <c:v>1300331625</c:v>
                </c:pt>
                <c:pt idx="61">
                  <c:v>1358018737</c:v>
                </c:pt>
                <c:pt idx="62">
                  <c:v>1454746724</c:v>
                </c:pt>
                <c:pt idx="63">
                  <c:v>1534818293</c:v>
                </c:pt>
                <c:pt idx="64">
                  <c:v>1634864708</c:v>
                </c:pt>
                <c:pt idx="65">
                  <c:v>1648816201</c:v>
                </c:pt>
              </c:numCache>
            </c:numRef>
          </c:val>
        </c:ser>
        <c:ser>
          <c:idx val="1"/>
          <c:order val="1"/>
          <c:tx>
            <c:strRef>
              <c:f>'5 years'!$AC$1</c:f>
              <c:strCache>
                <c:ptCount val="1"/>
                <c:pt idx="0">
                  <c:v>Usage 2</c:v>
                </c:pt>
              </c:strCache>
            </c:strRef>
          </c:tx>
          <c:cat>
            <c:strRef>
              <c:f>'5 years'!$A$2:$A$67</c:f>
              <c:strCache>
                <c:ptCount val="66"/>
                <c:pt idx="0">
                  <c:v>     Jul-05</c:v>
                </c:pt>
                <c:pt idx="1">
                  <c:v>Aug-05</c:v>
                </c:pt>
                <c:pt idx="2">
                  <c:v>Sep-05</c:v>
                </c:pt>
                <c:pt idx="3">
                  <c:v>Oct-05</c:v>
                </c:pt>
                <c:pt idx="4">
                  <c:v>Nov-05</c:v>
                </c:pt>
                <c:pt idx="5">
                  <c:v>Dec-05</c:v>
                </c:pt>
                <c:pt idx="6">
                  <c:v>Jan-06</c:v>
                </c:pt>
                <c:pt idx="7">
                  <c:v>Feb-06</c:v>
                </c:pt>
                <c:pt idx="8">
                  <c:v>Mar-06</c:v>
                </c:pt>
                <c:pt idx="9">
                  <c:v>Apr-06</c:v>
                </c:pt>
                <c:pt idx="10">
                  <c:v>May-06</c:v>
                </c:pt>
                <c:pt idx="11">
                  <c:v>Jun-06</c:v>
                </c:pt>
                <c:pt idx="12">
                  <c:v>Jul-06</c:v>
                </c:pt>
                <c:pt idx="13">
                  <c:v>Aug-06</c:v>
                </c:pt>
                <c:pt idx="14">
                  <c:v>Sep-06</c:v>
                </c:pt>
                <c:pt idx="15">
                  <c:v>Oct-06</c:v>
                </c:pt>
                <c:pt idx="16">
                  <c:v>Nov-06</c:v>
                </c:pt>
                <c:pt idx="17">
                  <c:v>Dec-06</c:v>
                </c:pt>
                <c:pt idx="18">
                  <c:v>Jan-07</c:v>
                </c:pt>
                <c:pt idx="19">
                  <c:v>Feb-07</c:v>
                </c:pt>
                <c:pt idx="20">
                  <c:v>Mar-07</c:v>
                </c:pt>
                <c:pt idx="21">
                  <c:v>Apr-07</c:v>
                </c:pt>
                <c:pt idx="22">
                  <c:v>May-07</c:v>
                </c:pt>
                <c:pt idx="23">
                  <c:v>Jun-07</c:v>
                </c:pt>
                <c:pt idx="24">
                  <c:v>Jul-07</c:v>
                </c:pt>
                <c:pt idx="25">
                  <c:v>Aug-07</c:v>
                </c:pt>
                <c:pt idx="26">
                  <c:v>Sep-07</c:v>
                </c:pt>
                <c:pt idx="27">
                  <c:v>Oct-07</c:v>
                </c:pt>
                <c:pt idx="28">
                  <c:v>Nov-07</c:v>
                </c:pt>
                <c:pt idx="29">
                  <c:v>Dec-07</c:v>
                </c:pt>
                <c:pt idx="30">
                  <c:v>Jan-08</c:v>
                </c:pt>
                <c:pt idx="31">
                  <c:v>Feb-08</c:v>
                </c:pt>
                <c:pt idx="32">
                  <c:v>Mar-08</c:v>
                </c:pt>
                <c:pt idx="33">
                  <c:v>Apr-08</c:v>
                </c:pt>
                <c:pt idx="34">
                  <c:v>May-08</c:v>
                </c:pt>
                <c:pt idx="35">
                  <c:v>Jun-08</c:v>
                </c:pt>
                <c:pt idx="36">
                  <c:v>Jul-08</c:v>
                </c:pt>
                <c:pt idx="37">
                  <c:v>Aug-08</c:v>
                </c:pt>
                <c:pt idx="38">
                  <c:v>Sep-08</c:v>
                </c:pt>
                <c:pt idx="39">
                  <c:v>Oct-08</c:v>
                </c:pt>
                <c:pt idx="40">
                  <c:v>Nov-08</c:v>
                </c:pt>
                <c:pt idx="41">
                  <c:v>Dec-08</c:v>
                </c:pt>
                <c:pt idx="42">
                  <c:v>Jan-09</c:v>
                </c:pt>
                <c:pt idx="43">
                  <c:v>Feb-09</c:v>
                </c:pt>
                <c:pt idx="44">
                  <c:v>Mar-09</c:v>
                </c:pt>
                <c:pt idx="45">
                  <c:v>Apr-09</c:v>
                </c:pt>
                <c:pt idx="46">
                  <c:v>May-09</c:v>
                </c:pt>
                <c:pt idx="47">
                  <c:v>Jun-09</c:v>
                </c:pt>
                <c:pt idx="48">
                  <c:v>Jul-09</c:v>
                </c:pt>
                <c:pt idx="49">
                  <c:v>Aug-09</c:v>
                </c:pt>
                <c:pt idx="50">
                  <c:v>Sep-09</c:v>
                </c:pt>
                <c:pt idx="51">
                  <c:v>Oct-09</c:v>
                </c:pt>
                <c:pt idx="52">
                  <c:v>Nov-09</c:v>
                </c:pt>
                <c:pt idx="53">
                  <c:v>Dec-09</c:v>
                </c:pt>
                <c:pt idx="54">
                  <c:v>Jan-10</c:v>
                </c:pt>
                <c:pt idx="55">
                  <c:v>Feb-10</c:v>
                </c:pt>
                <c:pt idx="56">
                  <c:v>Mar-10</c:v>
                </c:pt>
                <c:pt idx="57">
                  <c:v>Apr-10</c:v>
                </c:pt>
                <c:pt idx="58">
                  <c:v>May-10</c:v>
                </c:pt>
                <c:pt idx="59">
                  <c:v>Jun-10</c:v>
                </c:pt>
                <c:pt idx="60">
                  <c:v>Jul-10</c:v>
                </c:pt>
                <c:pt idx="61">
                  <c:v>Aug-10</c:v>
                </c:pt>
                <c:pt idx="62">
                  <c:v>Sep-10</c:v>
                </c:pt>
                <c:pt idx="63">
                  <c:v>Oct-10</c:v>
                </c:pt>
                <c:pt idx="64">
                  <c:v>Nov-10</c:v>
                </c:pt>
                <c:pt idx="65">
                  <c:v>Dec-10</c:v>
                </c:pt>
              </c:strCache>
            </c:strRef>
          </c:cat>
          <c:val>
            <c:numRef>
              <c:f>'5 years'!$AC$2:$AC$67</c:f>
              <c:numCache>
                <c:formatCode>General</c:formatCode>
                <c:ptCount val="66"/>
                <c:pt idx="0">
                  <c:v>157274396</c:v>
                </c:pt>
                <c:pt idx="1">
                  <c:v>156273044</c:v>
                </c:pt>
                <c:pt idx="2">
                  <c:v>161306368</c:v>
                </c:pt>
                <c:pt idx="3">
                  <c:v>157385149</c:v>
                </c:pt>
                <c:pt idx="4">
                  <c:v>162564280</c:v>
                </c:pt>
                <c:pt idx="5">
                  <c:v>165667474</c:v>
                </c:pt>
                <c:pt idx="6">
                  <c:v>165274893</c:v>
                </c:pt>
                <c:pt idx="7">
                  <c:v>177908412</c:v>
                </c:pt>
                <c:pt idx="8">
                  <c:v>167704911</c:v>
                </c:pt>
                <c:pt idx="9">
                  <c:v>195288453</c:v>
                </c:pt>
                <c:pt idx="10">
                  <c:v>201092889</c:v>
                </c:pt>
                <c:pt idx="11">
                  <c:v>217595690</c:v>
                </c:pt>
                <c:pt idx="12">
                  <c:v>233045421</c:v>
                </c:pt>
                <c:pt idx="13">
                  <c:v>231534642</c:v>
                </c:pt>
                <c:pt idx="14">
                  <c:v>236175306</c:v>
                </c:pt>
                <c:pt idx="15">
                  <c:v>243680088</c:v>
                </c:pt>
                <c:pt idx="16">
                  <c:v>238062811</c:v>
                </c:pt>
                <c:pt idx="17">
                  <c:v>231753129</c:v>
                </c:pt>
                <c:pt idx="18">
                  <c:v>224334682</c:v>
                </c:pt>
                <c:pt idx="19">
                  <c:v>248322755</c:v>
                </c:pt>
                <c:pt idx="20">
                  <c:v>250244337</c:v>
                </c:pt>
                <c:pt idx="21">
                  <c:v>226434823</c:v>
                </c:pt>
                <c:pt idx="22">
                  <c:v>222583416</c:v>
                </c:pt>
                <c:pt idx="23">
                  <c:v>239230182</c:v>
                </c:pt>
                <c:pt idx="24">
                  <c:v>282884007</c:v>
                </c:pt>
                <c:pt idx="25">
                  <c:v>288484342</c:v>
                </c:pt>
                <c:pt idx="26">
                  <c:v>302173946</c:v>
                </c:pt>
                <c:pt idx="27">
                  <c:v>298135627</c:v>
                </c:pt>
                <c:pt idx="28">
                  <c:v>312289701</c:v>
                </c:pt>
                <c:pt idx="29">
                  <c:v>290619136</c:v>
                </c:pt>
                <c:pt idx="30">
                  <c:v>311816412</c:v>
                </c:pt>
                <c:pt idx="31">
                  <c:v>340307855</c:v>
                </c:pt>
                <c:pt idx="32">
                  <c:v>328594148</c:v>
                </c:pt>
                <c:pt idx="33">
                  <c:v>361964034</c:v>
                </c:pt>
                <c:pt idx="34">
                  <c:v>457033815</c:v>
                </c:pt>
                <c:pt idx="35">
                  <c:v>501118337</c:v>
                </c:pt>
                <c:pt idx="36">
                  <c:v>497487473</c:v>
                </c:pt>
                <c:pt idx="37">
                  <c:v>504759094</c:v>
                </c:pt>
                <c:pt idx="38">
                  <c:v>532047294</c:v>
                </c:pt>
                <c:pt idx="39">
                  <c:v>523474361</c:v>
                </c:pt>
                <c:pt idx="40">
                  <c:v>555732598</c:v>
                </c:pt>
                <c:pt idx="41">
                  <c:v>553818897</c:v>
                </c:pt>
                <c:pt idx="42">
                  <c:v>586414931</c:v>
                </c:pt>
                <c:pt idx="43">
                  <c:v>601714551</c:v>
                </c:pt>
                <c:pt idx="44">
                  <c:v>556414249</c:v>
                </c:pt>
                <c:pt idx="45">
                  <c:v>636750111</c:v>
                </c:pt>
                <c:pt idx="46">
                  <c:v>636437168</c:v>
                </c:pt>
                <c:pt idx="47">
                  <c:v>679283636</c:v>
                </c:pt>
                <c:pt idx="48">
                  <c:v>687843338</c:v>
                </c:pt>
                <c:pt idx="49">
                  <c:v>689301060</c:v>
                </c:pt>
                <c:pt idx="50">
                  <c:v>704747374</c:v>
                </c:pt>
                <c:pt idx="51">
                  <c:v>720342192</c:v>
                </c:pt>
                <c:pt idx="52">
                  <c:v>745288421</c:v>
                </c:pt>
                <c:pt idx="53">
                  <c:v>746004443</c:v>
                </c:pt>
                <c:pt idx="54">
                  <c:v>795028640</c:v>
                </c:pt>
                <c:pt idx="55">
                  <c:v>812454443</c:v>
                </c:pt>
                <c:pt idx="56">
                  <c:v>771448945</c:v>
                </c:pt>
                <c:pt idx="57">
                  <c:v>876509831</c:v>
                </c:pt>
                <c:pt idx="58">
                  <c:v>907128887</c:v>
                </c:pt>
                <c:pt idx="59">
                  <c:v>973937444</c:v>
                </c:pt>
                <c:pt idx="60">
                  <c:v>989429593</c:v>
                </c:pt>
                <c:pt idx="61">
                  <c:v>1017219300</c:v>
                </c:pt>
                <c:pt idx="62">
                  <c:v>1077797427</c:v>
                </c:pt>
                <c:pt idx="63">
                  <c:v>1108704483</c:v>
                </c:pt>
                <c:pt idx="64">
                  <c:v>1186034008</c:v>
                </c:pt>
                <c:pt idx="65">
                  <c:v>1183878072</c:v>
                </c:pt>
              </c:numCache>
            </c:numRef>
          </c:val>
        </c:ser>
        <c:ser>
          <c:idx val="2"/>
          <c:order val="2"/>
          <c:tx>
            <c:strRef>
              <c:f>'5 years'!$AD$1</c:f>
              <c:strCache>
                <c:ptCount val="1"/>
                <c:pt idx="0">
                  <c:v>Usage 3</c:v>
                </c:pt>
              </c:strCache>
            </c:strRef>
          </c:tx>
          <c:cat>
            <c:strRef>
              <c:f>'5 years'!$A$2:$A$67</c:f>
              <c:strCache>
                <c:ptCount val="66"/>
                <c:pt idx="0">
                  <c:v>     Jul-05</c:v>
                </c:pt>
                <c:pt idx="1">
                  <c:v>Aug-05</c:v>
                </c:pt>
                <c:pt idx="2">
                  <c:v>Sep-05</c:v>
                </c:pt>
                <c:pt idx="3">
                  <c:v>Oct-05</c:v>
                </c:pt>
                <c:pt idx="4">
                  <c:v>Nov-05</c:v>
                </c:pt>
                <c:pt idx="5">
                  <c:v>Dec-05</c:v>
                </c:pt>
                <c:pt idx="6">
                  <c:v>Jan-06</c:v>
                </c:pt>
                <c:pt idx="7">
                  <c:v>Feb-06</c:v>
                </c:pt>
                <c:pt idx="8">
                  <c:v>Mar-06</c:v>
                </c:pt>
                <c:pt idx="9">
                  <c:v>Apr-06</c:v>
                </c:pt>
                <c:pt idx="10">
                  <c:v>May-06</c:v>
                </c:pt>
                <c:pt idx="11">
                  <c:v>Jun-06</c:v>
                </c:pt>
                <c:pt idx="12">
                  <c:v>Jul-06</c:v>
                </c:pt>
                <c:pt idx="13">
                  <c:v>Aug-06</c:v>
                </c:pt>
                <c:pt idx="14">
                  <c:v>Sep-06</c:v>
                </c:pt>
                <c:pt idx="15">
                  <c:v>Oct-06</c:v>
                </c:pt>
                <c:pt idx="16">
                  <c:v>Nov-06</c:v>
                </c:pt>
                <c:pt idx="17">
                  <c:v>Dec-06</c:v>
                </c:pt>
                <c:pt idx="18">
                  <c:v>Jan-07</c:v>
                </c:pt>
                <c:pt idx="19">
                  <c:v>Feb-07</c:v>
                </c:pt>
                <c:pt idx="20">
                  <c:v>Mar-07</c:v>
                </c:pt>
                <c:pt idx="21">
                  <c:v>Apr-07</c:v>
                </c:pt>
                <c:pt idx="22">
                  <c:v>May-07</c:v>
                </c:pt>
                <c:pt idx="23">
                  <c:v>Jun-07</c:v>
                </c:pt>
                <c:pt idx="24">
                  <c:v>Jul-07</c:v>
                </c:pt>
                <c:pt idx="25">
                  <c:v>Aug-07</c:v>
                </c:pt>
                <c:pt idx="26">
                  <c:v>Sep-07</c:v>
                </c:pt>
                <c:pt idx="27">
                  <c:v>Oct-07</c:v>
                </c:pt>
                <c:pt idx="28">
                  <c:v>Nov-07</c:v>
                </c:pt>
                <c:pt idx="29">
                  <c:v>Dec-07</c:v>
                </c:pt>
                <c:pt idx="30">
                  <c:v>Jan-08</c:v>
                </c:pt>
                <c:pt idx="31">
                  <c:v>Feb-08</c:v>
                </c:pt>
                <c:pt idx="32">
                  <c:v>Mar-08</c:v>
                </c:pt>
                <c:pt idx="33">
                  <c:v>Apr-08</c:v>
                </c:pt>
                <c:pt idx="34">
                  <c:v>May-08</c:v>
                </c:pt>
                <c:pt idx="35">
                  <c:v>Jun-08</c:v>
                </c:pt>
                <c:pt idx="36">
                  <c:v>Jul-08</c:v>
                </c:pt>
                <c:pt idx="37">
                  <c:v>Aug-08</c:v>
                </c:pt>
                <c:pt idx="38">
                  <c:v>Sep-08</c:v>
                </c:pt>
                <c:pt idx="39">
                  <c:v>Oct-08</c:v>
                </c:pt>
                <c:pt idx="40">
                  <c:v>Nov-08</c:v>
                </c:pt>
                <c:pt idx="41">
                  <c:v>Dec-08</c:v>
                </c:pt>
                <c:pt idx="42">
                  <c:v>Jan-09</c:v>
                </c:pt>
                <c:pt idx="43">
                  <c:v>Feb-09</c:v>
                </c:pt>
                <c:pt idx="44">
                  <c:v>Mar-09</c:v>
                </c:pt>
                <c:pt idx="45">
                  <c:v>Apr-09</c:v>
                </c:pt>
                <c:pt idx="46">
                  <c:v>May-09</c:v>
                </c:pt>
                <c:pt idx="47">
                  <c:v>Jun-09</c:v>
                </c:pt>
                <c:pt idx="48">
                  <c:v>Jul-09</c:v>
                </c:pt>
                <c:pt idx="49">
                  <c:v>Aug-09</c:v>
                </c:pt>
                <c:pt idx="50">
                  <c:v>Sep-09</c:v>
                </c:pt>
                <c:pt idx="51">
                  <c:v>Oct-09</c:v>
                </c:pt>
                <c:pt idx="52">
                  <c:v>Nov-09</c:v>
                </c:pt>
                <c:pt idx="53">
                  <c:v>Dec-09</c:v>
                </c:pt>
                <c:pt idx="54">
                  <c:v>Jan-10</c:v>
                </c:pt>
                <c:pt idx="55">
                  <c:v>Feb-10</c:v>
                </c:pt>
                <c:pt idx="56">
                  <c:v>Mar-10</c:v>
                </c:pt>
                <c:pt idx="57">
                  <c:v>Apr-10</c:v>
                </c:pt>
                <c:pt idx="58">
                  <c:v>May-10</c:v>
                </c:pt>
                <c:pt idx="59">
                  <c:v>Jun-10</c:v>
                </c:pt>
                <c:pt idx="60">
                  <c:v>Jul-10</c:v>
                </c:pt>
                <c:pt idx="61">
                  <c:v>Aug-10</c:v>
                </c:pt>
                <c:pt idx="62">
                  <c:v>Sep-10</c:v>
                </c:pt>
                <c:pt idx="63">
                  <c:v>Oct-10</c:v>
                </c:pt>
                <c:pt idx="64">
                  <c:v>Nov-10</c:v>
                </c:pt>
                <c:pt idx="65">
                  <c:v>Dec-10</c:v>
                </c:pt>
              </c:strCache>
            </c:strRef>
          </c:cat>
          <c:val>
            <c:numRef>
              <c:f>'5 years'!$AD$2:$AD$67</c:f>
              <c:numCache>
                <c:formatCode>General</c:formatCode>
                <c:ptCount val="66"/>
                <c:pt idx="0">
                  <c:v>194868358</c:v>
                </c:pt>
                <c:pt idx="1">
                  <c:v>193794795</c:v>
                </c:pt>
                <c:pt idx="2">
                  <c:v>202950325</c:v>
                </c:pt>
                <c:pt idx="3">
                  <c:v>197401389</c:v>
                </c:pt>
                <c:pt idx="4">
                  <c:v>206700619</c:v>
                </c:pt>
                <c:pt idx="5">
                  <c:v>208716673</c:v>
                </c:pt>
                <c:pt idx="6">
                  <c:v>211722151</c:v>
                </c:pt>
                <c:pt idx="7">
                  <c:v>231194047</c:v>
                </c:pt>
                <c:pt idx="8">
                  <c:v>218415391</c:v>
                </c:pt>
                <c:pt idx="9">
                  <c:v>256462045</c:v>
                </c:pt>
                <c:pt idx="10">
                  <c:v>263042816</c:v>
                </c:pt>
                <c:pt idx="11">
                  <c:v>285648692</c:v>
                </c:pt>
                <c:pt idx="12">
                  <c:v>282939303</c:v>
                </c:pt>
                <c:pt idx="13">
                  <c:v>294106380</c:v>
                </c:pt>
                <c:pt idx="14">
                  <c:v>308092245</c:v>
                </c:pt>
                <c:pt idx="15">
                  <c:v>303379308</c:v>
                </c:pt>
                <c:pt idx="16">
                  <c:v>315847244</c:v>
                </c:pt>
                <c:pt idx="17">
                  <c:v>322776593</c:v>
                </c:pt>
                <c:pt idx="18">
                  <c:v>317763854</c:v>
                </c:pt>
                <c:pt idx="19">
                  <c:v>333702231</c:v>
                </c:pt>
                <c:pt idx="20">
                  <c:v>306827146</c:v>
                </c:pt>
                <c:pt idx="21">
                  <c:v>353552522</c:v>
                </c:pt>
                <c:pt idx="22">
                  <c:v>347857294</c:v>
                </c:pt>
                <c:pt idx="23">
                  <c:v>381698186</c:v>
                </c:pt>
                <c:pt idx="24">
                  <c:v>380435470</c:v>
                </c:pt>
                <c:pt idx="25">
                  <c:v>387589276</c:v>
                </c:pt>
                <c:pt idx="26">
                  <c:v>404709671</c:v>
                </c:pt>
                <c:pt idx="27">
                  <c:v>401238363</c:v>
                </c:pt>
                <c:pt idx="28">
                  <c:v>418670744</c:v>
                </c:pt>
                <c:pt idx="29">
                  <c:v>384015219</c:v>
                </c:pt>
                <c:pt idx="30">
                  <c:v>417640311</c:v>
                </c:pt>
                <c:pt idx="31">
                  <c:v>453840216</c:v>
                </c:pt>
                <c:pt idx="32">
                  <c:v>436806561</c:v>
                </c:pt>
                <c:pt idx="33">
                  <c:v>483803883</c:v>
                </c:pt>
                <c:pt idx="34">
                  <c:v>532334269</c:v>
                </c:pt>
                <c:pt idx="35">
                  <c:v>565773295</c:v>
                </c:pt>
                <c:pt idx="36">
                  <c:v>560289096</c:v>
                </c:pt>
                <c:pt idx="37">
                  <c:v>570598910</c:v>
                </c:pt>
                <c:pt idx="38">
                  <c:v>593987513</c:v>
                </c:pt>
                <c:pt idx="39">
                  <c:v>596152962</c:v>
                </c:pt>
                <c:pt idx="40">
                  <c:v>635164630</c:v>
                </c:pt>
                <c:pt idx="41">
                  <c:v>633362008</c:v>
                </c:pt>
                <c:pt idx="42">
                  <c:v>671960956</c:v>
                </c:pt>
                <c:pt idx="43">
                  <c:v>698165348</c:v>
                </c:pt>
                <c:pt idx="44">
                  <c:v>640433765</c:v>
                </c:pt>
                <c:pt idx="45">
                  <c:v>732407694</c:v>
                </c:pt>
                <c:pt idx="46">
                  <c:v>726242195</c:v>
                </c:pt>
                <c:pt idx="47">
                  <c:v>777807800</c:v>
                </c:pt>
                <c:pt idx="48">
                  <c:v>782714350</c:v>
                </c:pt>
                <c:pt idx="49">
                  <c:v>790992222</c:v>
                </c:pt>
                <c:pt idx="50">
                  <c:v>807913427</c:v>
                </c:pt>
                <c:pt idx="51">
                  <c:v>832142621</c:v>
                </c:pt>
                <c:pt idx="52">
                  <c:v>862957684</c:v>
                </c:pt>
                <c:pt idx="53">
                  <c:v>858437977</c:v>
                </c:pt>
                <c:pt idx="54">
                  <c:v>911735850</c:v>
                </c:pt>
                <c:pt idx="55">
                  <c:v>943158865</c:v>
                </c:pt>
                <c:pt idx="56">
                  <c:v>883190992</c:v>
                </c:pt>
                <c:pt idx="57">
                  <c:v>1001628593</c:v>
                </c:pt>
                <c:pt idx="58">
                  <c:v>1031000332</c:v>
                </c:pt>
                <c:pt idx="59">
                  <c:v>1106740060</c:v>
                </c:pt>
                <c:pt idx="60">
                  <c:v>1121991725</c:v>
                </c:pt>
                <c:pt idx="61">
                  <c:v>1127861236</c:v>
                </c:pt>
                <c:pt idx="62">
                  <c:v>1173688666</c:v>
                </c:pt>
                <c:pt idx="63">
                  <c:v>1187864439</c:v>
                </c:pt>
                <c:pt idx="64">
                  <c:v>1280776874</c:v>
                </c:pt>
                <c:pt idx="65">
                  <c:v>1262618988</c:v>
                </c:pt>
              </c:numCache>
            </c:numRef>
          </c:val>
        </c:ser>
        <c:overlap val="100"/>
        <c:axId val="194433792"/>
        <c:axId val="194435328"/>
      </c:barChart>
      <c:catAx>
        <c:axId val="194433792"/>
        <c:scaling>
          <c:orientation val="minMax"/>
        </c:scaling>
        <c:axPos val="b"/>
        <c:tickLblPos val="nextTo"/>
        <c:crossAx val="194435328"/>
        <c:crosses val="autoZero"/>
        <c:auto val="1"/>
        <c:lblAlgn val="ctr"/>
        <c:lblOffset val="100"/>
      </c:catAx>
      <c:valAx>
        <c:axId val="194435328"/>
        <c:scaling>
          <c:orientation val="minMax"/>
        </c:scaling>
        <c:axPos val="l"/>
        <c:majorGridlines/>
        <c:numFmt formatCode="0" sourceLinked="1"/>
        <c:tickLblPos val="nextTo"/>
        <c:crossAx val="19443379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tx>
            <c:strRef>
              <c:f>'5 years'!$AE$1</c:f>
              <c:strCache>
                <c:ptCount val="1"/>
                <c:pt idx="0">
                  <c:v>U1 Ratio</c:v>
                </c:pt>
              </c:strCache>
            </c:strRef>
          </c:tx>
          <c:cat>
            <c:strRef>
              <c:f>'5 years'!$A$2:$A$67</c:f>
              <c:strCache>
                <c:ptCount val="66"/>
                <c:pt idx="0">
                  <c:v>     Jul-05</c:v>
                </c:pt>
                <c:pt idx="1">
                  <c:v>Aug-05</c:v>
                </c:pt>
                <c:pt idx="2">
                  <c:v>Sep-05</c:v>
                </c:pt>
                <c:pt idx="3">
                  <c:v>Oct-05</c:v>
                </c:pt>
                <c:pt idx="4">
                  <c:v>Nov-05</c:v>
                </c:pt>
                <c:pt idx="5">
                  <c:v>Dec-05</c:v>
                </c:pt>
                <c:pt idx="6">
                  <c:v>Jan-06</c:v>
                </c:pt>
                <c:pt idx="7">
                  <c:v>Feb-06</c:v>
                </c:pt>
                <c:pt idx="8">
                  <c:v>Mar-06</c:v>
                </c:pt>
                <c:pt idx="9">
                  <c:v>Apr-06</c:v>
                </c:pt>
                <c:pt idx="10">
                  <c:v>May-06</c:v>
                </c:pt>
                <c:pt idx="11">
                  <c:v>Jun-06</c:v>
                </c:pt>
                <c:pt idx="12">
                  <c:v>Jul-06</c:v>
                </c:pt>
                <c:pt idx="13">
                  <c:v>Aug-06</c:v>
                </c:pt>
                <c:pt idx="14">
                  <c:v>Sep-06</c:v>
                </c:pt>
                <c:pt idx="15">
                  <c:v>Oct-06</c:v>
                </c:pt>
                <c:pt idx="16">
                  <c:v>Nov-06</c:v>
                </c:pt>
                <c:pt idx="17">
                  <c:v>Dec-06</c:v>
                </c:pt>
                <c:pt idx="18">
                  <c:v>Jan-07</c:v>
                </c:pt>
                <c:pt idx="19">
                  <c:v>Feb-07</c:v>
                </c:pt>
                <c:pt idx="20">
                  <c:v>Mar-07</c:v>
                </c:pt>
                <c:pt idx="21">
                  <c:v>Apr-07</c:v>
                </c:pt>
                <c:pt idx="22">
                  <c:v>May-07</c:v>
                </c:pt>
                <c:pt idx="23">
                  <c:v>Jun-07</c:v>
                </c:pt>
                <c:pt idx="24">
                  <c:v>Jul-07</c:v>
                </c:pt>
                <c:pt idx="25">
                  <c:v>Aug-07</c:v>
                </c:pt>
                <c:pt idx="26">
                  <c:v>Sep-07</c:v>
                </c:pt>
                <c:pt idx="27">
                  <c:v>Oct-07</c:v>
                </c:pt>
                <c:pt idx="28">
                  <c:v>Nov-07</c:v>
                </c:pt>
                <c:pt idx="29">
                  <c:v>Dec-07</c:v>
                </c:pt>
                <c:pt idx="30">
                  <c:v>Jan-08</c:v>
                </c:pt>
                <c:pt idx="31">
                  <c:v>Feb-08</c:v>
                </c:pt>
                <c:pt idx="32">
                  <c:v>Mar-08</c:v>
                </c:pt>
                <c:pt idx="33">
                  <c:v>Apr-08</c:v>
                </c:pt>
                <c:pt idx="34">
                  <c:v>May-08</c:v>
                </c:pt>
                <c:pt idx="35">
                  <c:v>Jun-08</c:v>
                </c:pt>
                <c:pt idx="36">
                  <c:v>Jul-08</c:v>
                </c:pt>
                <c:pt idx="37">
                  <c:v>Aug-08</c:v>
                </c:pt>
                <c:pt idx="38">
                  <c:v>Sep-08</c:v>
                </c:pt>
                <c:pt idx="39">
                  <c:v>Oct-08</c:v>
                </c:pt>
                <c:pt idx="40">
                  <c:v>Nov-08</c:v>
                </c:pt>
                <c:pt idx="41">
                  <c:v>Dec-08</c:v>
                </c:pt>
                <c:pt idx="42">
                  <c:v>Jan-09</c:v>
                </c:pt>
                <c:pt idx="43">
                  <c:v>Feb-09</c:v>
                </c:pt>
                <c:pt idx="44">
                  <c:v>Mar-09</c:v>
                </c:pt>
                <c:pt idx="45">
                  <c:v>Apr-09</c:v>
                </c:pt>
                <c:pt idx="46">
                  <c:v>May-09</c:v>
                </c:pt>
                <c:pt idx="47">
                  <c:v>Jun-09</c:v>
                </c:pt>
                <c:pt idx="48">
                  <c:v>Jul-09</c:v>
                </c:pt>
                <c:pt idx="49">
                  <c:v>Aug-09</c:v>
                </c:pt>
                <c:pt idx="50">
                  <c:v>Sep-09</c:v>
                </c:pt>
                <c:pt idx="51">
                  <c:v>Oct-09</c:v>
                </c:pt>
                <c:pt idx="52">
                  <c:v>Nov-09</c:v>
                </c:pt>
                <c:pt idx="53">
                  <c:v>Dec-09</c:v>
                </c:pt>
                <c:pt idx="54">
                  <c:v>Jan-10</c:v>
                </c:pt>
                <c:pt idx="55">
                  <c:v>Feb-10</c:v>
                </c:pt>
                <c:pt idx="56">
                  <c:v>Mar-10</c:v>
                </c:pt>
                <c:pt idx="57">
                  <c:v>Apr-10</c:v>
                </c:pt>
                <c:pt idx="58">
                  <c:v>May-10</c:v>
                </c:pt>
                <c:pt idx="59">
                  <c:v>Jun-10</c:v>
                </c:pt>
                <c:pt idx="60">
                  <c:v>Jul-10</c:v>
                </c:pt>
                <c:pt idx="61">
                  <c:v>Aug-10</c:v>
                </c:pt>
                <c:pt idx="62">
                  <c:v>Sep-10</c:v>
                </c:pt>
                <c:pt idx="63">
                  <c:v>Oct-10</c:v>
                </c:pt>
                <c:pt idx="64">
                  <c:v>Nov-10</c:v>
                </c:pt>
                <c:pt idx="65">
                  <c:v>Dec-10</c:v>
                </c:pt>
              </c:strCache>
            </c:strRef>
          </c:cat>
          <c:val>
            <c:numRef>
              <c:f>'5 years'!$AE$2:$AE$67</c:f>
              <c:numCache>
                <c:formatCode>0.00%</c:formatCode>
                <c:ptCount val="66"/>
                <c:pt idx="0">
                  <c:v>0.37272707816041106</c:v>
                </c:pt>
                <c:pt idx="1">
                  <c:v>0.37416653863552563</c:v>
                </c:pt>
                <c:pt idx="2">
                  <c:v>0.37123429254743717</c:v>
                </c:pt>
                <c:pt idx="3">
                  <c:v>0.375077165177996</c:v>
                </c:pt>
                <c:pt idx="4">
                  <c:v>0.37310970982370922</c:v>
                </c:pt>
                <c:pt idx="5">
                  <c:v>0.36831282855303454</c:v>
                </c:pt>
                <c:pt idx="6">
                  <c:v>0.36955839826596898</c:v>
                </c:pt>
                <c:pt idx="7">
                  <c:v>0.3633131484945763</c:v>
                </c:pt>
                <c:pt idx="8">
                  <c:v>0.37346993452152583</c:v>
                </c:pt>
                <c:pt idx="9">
                  <c:v>0.36379595583864099</c:v>
                </c:pt>
                <c:pt idx="10">
                  <c:v>0.36841974035146086</c:v>
                </c:pt>
                <c:pt idx="11">
                  <c:v>0.36405300337772817</c:v>
                </c:pt>
                <c:pt idx="12">
                  <c:v>0.35509077585412729</c:v>
                </c:pt>
                <c:pt idx="13">
                  <c:v>0.35947713324651237</c:v>
                </c:pt>
                <c:pt idx="14">
                  <c:v>0.36140171343659561</c:v>
                </c:pt>
                <c:pt idx="15">
                  <c:v>0.36261329852114854</c:v>
                </c:pt>
                <c:pt idx="16">
                  <c:v>0.36129381839656982</c:v>
                </c:pt>
                <c:pt idx="17">
                  <c:v>0.37337337860605307</c:v>
                </c:pt>
                <c:pt idx="18">
                  <c:v>0.37857721670132588</c:v>
                </c:pt>
                <c:pt idx="19">
                  <c:v>0.36063773143089772</c:v>
                </c:pt>
                <c:pt idx="20">
                  <c:v>0.36103317037889249</c:v>
                </c:pt>
                <c:pt idx="21">
                  <c:v>0.36941408489057792</c:v>
                </c:pt>
                <c:pt idx="22">
                  <c:v>0.38192856013619919</c:v>
                </c:pt>
                <c:pt idx="23">
                  <c:v>0.38102260480226818</c:v>
                </c:pt>
                <c:pt idx="24">
                  <c:v>0.37233421607096734</c:v>
                </c:pt>
                <c:pt idx="25">
                  <c:v>0.3734799938633302</c:v>
                </c:pt>
                <c:pt idx="26">
                  <c:v>0.37149664933221838</c:v>
                </c:pt>
                <c:pt idx="27">
                  <c:v>0.37870143789060634</c:v>
                </c:pt>
                <c:pt idx="28">
                  <c:v>0.37400019756115588</c:v>
                </c:pt>
                <c:pt idx="29">
                  <c:v>0.37904688471523018</c:v>
                </c:pt>
                <c:pt idx="30">
                  <c:v>0.38237533648517841</c:v>
                </c:pt>
                <c:pt idx="31">
                  <c:v>0.37809347776340985</c:v>
                </c:pt>
                <c:pt idx="32">
                  <c:v>0.3839803848268557</c:v>
                </c:pt>
                <c:pt idx="33">
                  <c:v>0.39775214116260876</c:v>
                </c:pt>
                <c:pt idx="34">
                  <c:v>0.37894323840870031</c:v>
                </c:pt>
                <c:pt idx="35">
                  <c:v>0.37593689597537461</c:v>
                </c:pt>
                <c:pt idx="36">
                  <c:v>0.37687233070210541</c:v>
                </c:pt>
                <c:pt idx="37">
                  <c:v>0.37379143716957514</c:v>
                </c:pt>
                <c:pt idx="38">
                  <c:v>0.37694839939967634</c:v>
                </c:pt>
                <c:pt idx="39">
                  <c:v>0.37984290595553549</c:v>
                </c:pt>
                <c:pt idx="40">
                  <c:v>0.37528001817738466</c:v>
                </c:pt>
                <c:pt idx="41">
                  <c:v>0.37934752661679866</c:v>
                </c:pt>
                <c:pt idx="42">
                  <c:v>0.37710741354742461</c:v>
                </c:pt>
                <c:pt idx="43">
                  <c:v>0.37244619925685957</c:v>
                </c:pt>
                <c:pt idx="44">
                  <c:v>0.3822214806516242</c:v>
                </c:pt>
                <c:pt idx="45">
                  <c:v>0.37670663172524099</c:v>
                </c:pt>
                <c:pt idx="46">
                  <c:v>0.38031216596869799</c:v>
                </c:pt>
                <c:pt idx="47">
                  <c:v>0.37913980821948445</c:v>
                </c:pt>
                <c:pt idx="48">
                  <c:v>0.37917829053249869</c:v>
                </c:pt>
                <c:pt idx="49">
                  <c:v>0.37641425811380091</c:v>
                </c:pt>
                <c:pt idx="50">
                  <c:v>0.38219020369830781</c:v>
                </c:pt>
                <c:pt idx="51">
                  <c:v>0.38096483083455468</c:v>
                </c:pt>
                <c:pt idx="52">
                  <c:v>0.38031617497805614</c:v>
                </c:pt>
                <c:pt idx="53">
                  <c:v>0.38357549653654793</c:v>
                </c:pt>
                <c:pt idx="54">
                  <c:v>0.38153166186436982</c:v>
                </c:pt>
                <c:pt idx="55">
                  <c:v>0.37845081541903186</c:v>
                </c:pt>
                <c:pt idx="56">
                  <c:v>0.38930040329253685</c:v>
                </c:pt>
                <c:pt idx="57">
                  <c:v>0.38507306950180548</c:v>
                </c:pt>
                <c:pt idx="58">
                  <c:v>0.38604379378534676</c:v>
                </c:pt>
                <c:pt idx="59">
                  <c:v>0.38453497571881257</c:v>
                </c:pt>
                <c:pt idx="60">
                  <c:v>0.38113299723766075</c:v>
                </c:pt>
                <c:pt idx="61">
                  <c:v>0.38766207611268</c:v>
                </c:pt>
                <c:pt idx="62">
                  <c:v>0.39251358342284087</c:v>
                </c:pt>
                <c:pt idx="63">
                  <c:v>0.40059075391574589</c:v>
                </c:pt>
                <c:pt idx="64">
                  <c:v>0.39858459600896912</c:v>
                </c:pt>
                <c:pt idx="65">
                  <c:v>0.40261051985981394</c:v>
                </c:pt>
              </c:numCache>
            </c:numRef>
          </c:val>
        </c:ser>
        <c:ser>
          <c:idx val="1"/>
          <c:order val="1"/>
          <c:tx>
            <c:strRef>
              <c:f>'5 years'!$AF$1</c:f>
              <c:strCache>
                <c:ptCount val="1"/>
                <c:pt idx="0">
                  <c:v>U2 Ratio</c:v>
                </c:pt>
              </c:strCache>
            </c:strRef>
          </c:tx>
          <c:cat>
            <c:strRef>
              <c:f>'5 years'!$A$2:$A$67</c:f>
              <c:strCache>
                <c:ptCount val="66"/>
                <c:pt idx="0">
                  <c:v>     Jul-05</c:v>
                </c:pt>
                <c:pt idx="1">
                  <c:v>Aug-05</c:v>
                </c:pt>
                <c:pt idx="2">
                  <c:v>Sep-05</c:v>
                </c:pt>
                <c:pt idx="3">
                  <c:v>Oct-05</c:v>
                </c:pt>
                <c:pt idx="4">
                  <c:v>Nov-05</c:v>
                </c:pt>
                <c:pt idx="5">
                  <c:v>Dec-05</c:v>
                </c:pt>
                <c:pt idx="6">
                  <c:v>Jan-06</c:v>
                </c:pt>
                <c:pt idx="7">
                  <c:v>Feb-06</c:v>
                </c:pt>
                <c:pt idx="8">
                  <c:v>Mar-06</c:v>
                </c:pt>
                <c:pt idx="9">
                  <c:v>Apr-06</c:v>
                </c:pt>
                <c:pt idx="10">
                  <c:v>May-06</c:v>
                </c:pt>
                <c:pt idx="11">
                  <c:v>Jun-06</c:v>
                </c:pt>
                <c:pt idx="12">
                  <c:v>Jul-06</c:v>
                </c:pt>
                <c:pt idx="13">
                  <c:v>Aug-06</c:v>
                </c:pt>
                <c:pt idx="14">
                  <c:v>Sep-06</c:v>
                </c:pt>
                <c:pt idx="15">
                  <c:v>Oct-06</c:v>
                </c:pt>
                <c:pt idx="16">
                  <c:v>Nov-06</c:v>
                </c:pt>
                <c:pt idx="17">
                  <c:v>Dec-06</c:v>
                </c:pt>
                <c:pt idx="18">
                  <c:v>Jan-07</c:v>
                </c:pt>
                <c:pt idx="19">
                  <c:v>Feb-07</c:v>
                </c:pt>
                <c:pt idx="20">
                  <c:v>Mar-07</c:v>
                </c:pt>
                <c:pt idx="21">
                  <c:v>Apr-07</c:v>
                </c:pt>
                <c:pt idx="22">
                  <c:v>May-07</c:v>
                </c:pt>
                <c:pt idx="23">
                  <c:v>Jun-07</c:v>
                </c:pt>
                <c:pt idx="24">
                  <c:v>Jul-07</c:v>
                </c:pt>
                <c:pt idx="25">
                  <c:v>Aug-07</c:v>
                </c:pt>
                <c:pt idx="26">
                  <c:v>Sep-07</c:v>
                </c:pt>
                <c:pt idx="27">
                  <c:v>Oct-07</c:v>
                </c:pt>
                <c:pt idx="28">
                  <c:v>Nov-07</c:v>
                </c:pt>
                <c:pt idx="29">
                  <c:v>Dec-07</c:v>
                </c:pt>
                <c:pt idx="30">
                  <c:v>Jan-08</c:v>
                </c:pt>
                <c:pt idx="31">
                  <c:v>Feb-08</c:v>
                </c:pt>
                <c:pt idx="32">
                  <c:v>Mar-08</c:v>
                </c:pt>
                <c:pt idx="33">
                  <c:v>Apr-08</c:v>
                </c:pt>
                <c:pt idx="34">
                  <c:v>May-08</c:v>
                </c:pt>
                <c:pt idx="35">
                  <c:v>Jun-08</c:v>
                </c:pt>
                <c:pt idx="36">
                  <c:v>Jul-08</c:v>
                </c:pt>
                <c:pt idx="37">
                  <c:v>Aug-08</c:v>
                </c:pt>
                <c:pt idx="38">
                  <c:v>Sep-08</c:v>
                </c:pt>
                <c:pt idx="39">
                  <c:v>Oct-08</c:v>
                </c:pt>
                <c:pt idx="40">
                  <c:v>Nov-08</c:v>
                </c:pt>
                <c:pt idx="41">
                  <c:v>Dec-08</c:v>
                </c:pt>
                <c:pt idx="42">
                  <c:v>Jan-09</c:v>
                </c:pt>
                <c:pt idx="43">
                  <c:v>Feb-09</c:v>
                </c:pt>
                <c:pt idx="44">
                  <c:v>Mar-09</c:v>
                </c:pt>
                <c:pt idx="45">
                  <c:v>Apr-09</c:v>
                </c:pt>
                <c:pt idx="46">
                  <c:v>May-09</c:v>
                </c:pt>
                <c:pt idx="47">
                  <c:v>Jun-09</c:v>
                </c:pt>
                <c:pt idx="48">
                  <c:v>Jul-09</c:v>
                </c:pt>
                <c:pt idx="49">
                  <c:v>Aug-09</c:v>
                </c:pt>
                <c:pt idx="50">
                  <c:v>Sep-09</c:v>
                </c:pt>
                <c:pt idx="51">
                  <c:v>Oct-09</c:v>
                </c:pt>
                <c:pt idx="52">
                  <c:v>Nov-09</c:v>
                </c:pt>
                <c:pt idx="53">
                  <c:v>Dec-09</c:v>
                </c:pt>
                <c:pt idx="54">
                  <c:v>Jan-10</c:v>
                </c:pt>
                <c:pt idx="55">
                  <c:v>Feb-10</c:v>
                </c:pt>
                <c:pt idx="56">
                  <c:v>Mar-10</c:v>
                </c:pt>
                <c:pt idx="57">
                  <c:v>Apr-10</c:v>
                </c:pt>
                <c:pt idx="58">
                  <c:v>May-10</c:v>
                </c:pt>
                <c:pt idx="59">
                  <c:v>Jun-10</c:v>
                </c:pt>
                <c:pt idx="60">
                  <c:v>Jul-10</c:v>
                </c:pt>
                <c:pt idx="61">
                  <c:v>Aug-10</c:v>
                </c:pt>
                <c:pt idx="62">
                  <c:v>Sep-10</c:v>
                </c:pt>
                <c:pt idx="63">
                  <c:v>Oct-10</c:v>
                </c:pt>
                <c:pt idx="64">
                  <c:v>Nov-10</c:v>
                </c:pt>
                <c:pt idx="65">
                  <c:v>Dec-10</c:v>
                </c:pt>
              </c:strCache>
            </c:strRef>
          </c:cat>
          <c:val>
            <c:numRef>
              <c:f>'5 years'!$AF$2:$AF$67</c:f>
              <c:numCache>
                <c:formatCode>0.00%</c:formatCode>
                <c:ptCount val="66"/>
                <c:pt idx="0">
                  <c:v>0.28015334346330623</c:v>
                </c:pt>
                <c:pt idx="1">
                  <c:v>0.2793769925391027</c:v>
                </c:pt>
                <c:pt idx="2">
                  <c:v>0.27844076592471412</c:v>
                </c:pt>
                <c:pt idx="3">
                  <c:v>0.27721901182159142</c:v>
                </c:pt>
                <c:pt idx="4">
                  <c:v>0.27598065491055457</c:v>
                </c:pt>
                <c:pt idx="5">
                  <c:v>0.27952577290037789</c:v>
                </c:pt>
                <c:pt idx="6">
                  <c:v>0.27638457629217006</c:v>
                </c:pt>
                <c:pt idx="7">
                  <c:v>0.27687916364396564</c:v>
                </c:pt>
                <c:pt idx="8">
                  <c:v>0.27212288068160601</c:v>
                </c:pt>
                <c:pt idx="9">
                  <c:v>0.27502637877914521</c:v>
                </c:pt>
                <c:pt idx="10">
                  <c:v>0.27364044110352348</c:v>
                </c:pt>
                <c:pt idx="11">
                  <c:v>0.27497440703362069</c:v>
                </c:pt>
                <c:pt idx="12">
                  <c:v>0.29127440146437023</c:v>
                </c:pt>
                <c:pt idx="13">
                  <c:v>0.28213785918440448</c:v>
                </c:pt>
                <c:pt idx="14">
                  <c:v>0.27710846524485844</c:v>
                </c:pt>
                <c:pt idx="15">
                  <c:v>0.28391514457489775</c:v>
                </c:pt>
                <c:pt idx="16">
                  <c:v>0.27450700275803636</c:v>
                </c:pt>
                <c:pt idx="17">
                  <c:v>0.26188439403928926</c:v>
                </c:pt>
                <c:pt idx="18">
                  <c:v>0.25716114916580951</c:v>
                </c:pt>
                <c:pt idx="19">
                  <c:v>0.27278588341245091</c:v>
                </c:pt>
                <c:pt idx="20">
                  <c:v>0.2870328773291847</c:v>
                </c:pt>
                <c:pt idx="21">
                  <c:v>0.24618918206585183</c:v>
                </c:pt>
                <c:pt idx="22">
                  <c:v>0.24116871395262685</c:v>
                </c:pt>
                <c:pt idx="23">
                  <c:v>0.23847851465378581</c:v>
                </c:pt>
                <c:pt idx="24">
                  <c:v>0.26767887597342621</c:v>
                </c:pt>
                <c:pt idx="25">
                  <c:v>0.2673395424818561</c:v>
                </c:pt>
                <c:pt idx="26">
                  <c:v>0.26866846674352235</c:v>
                </c:pt>
                <c:pt idx="27">
                  <c:v>0.26485290991259558</c:v>
                </c:pt>
                <c:pt idx="28">
                  <c:v>0.26744715458534246</c:v>
                </c:pt>
                <c:pt idx="29">
                  <c:v>0.26749431973497434</c:v>
                </c:pt>
                <c:pt idx="30">
                  <c:v>0.26401224427387859</c:v>
                </c:pt>
                <c:pt idx="31">
                  <c:v>0.26649900984629327</c:v>
                </c:pt>
                <c:pt idx="32">
                  <c:v>0.26446335653852554</c:v>
                </c:pt>
                <c:pt idx="33">
                  <c:v>0.25774454205579034</c:v>
                </c:pt>
                <c:pt idx="34">
                  <c:v>0.28689417586025262</c:v>
                </c:pt>
                <c:pt idx="35">
                  <c:v>0.29312205241092215</c:v>
                </c:pt>
                <c:pt idx="36">
                  <c:v>0.2930658691451779</c:v>
                </c:pt>
                <c:pt idx="37">
                  <c:v>0.29393417415743467</c:v>
                </c:pt>
                <c:pt idx="38">
                  <c:v>0.29438958375091417</c:v>
                </c:pt>
                <c:pt idx="39">
                  <c:v>0.28995035388623058</c:v>
                </c:pt>
                <c:pt idx="40">
                  <c:v>0.29152579278721336</c:v>
                </c:pt>
                <c:pt idx="41">
                  <c:v>0.28953385855663372</c:v>
                </c:pt>
                <c:pt idx="42">
                  <c:v>0.29027377024508938</c:v>
                </c:pt>
                <c:pt idx="43">
                  <c:v>0.29049472473033622</c:v>
                </c:pt>
                <c:pt idx="44">
                  <c:v>0.28720503094017624</c:v>
                </c:pt>
                <c:pt idx="45">
                  <c:v>0.28987317603942425</c:v>
                </c:pt>
                <c:pt idx="46">
                  <c:v>0.28942418946351645</c:v>
                </c:pt>
                <c:pt idx="47">
                  <c:v>0.28943974146062162</c:v>
                </c:pt>
                <c:pt idx="48">
                  <c:v>0.29038512424749724</c:v>
                </c:pt>
                <c:pt idx="49">
                  <c:v>0.29037375100581142</c:v>
                </c:pt>
                <c:pt idx="50">
                  <c:v>0.28783705592638842</c:v>
                </c:pt>
                <c:pt idx="51">
                  <c:v>0.28722802757731564</c:v>
                </c:pt>
                <c:pt idx="52">
                  <c:v>0.28717195585550315</c:v>
                </c:pt>
                <c:pt idx="53">
                  <c:v>0.28661384953771302</c:v>
                </c:pt>
                <c:pt idx="54">
                  <c:v>0.28808898042578224</c:v>
                </c:pt>
                <c:pt idx="55">
                  <c:v>0.28763759892610397</c:v>
                </c:pt>
                <c:pt idx="56">
                  <c:v>0.28472874917190999</c:v>
                </c:pt>
                <c:pt idx="57">
                  <c:v>0.28698071081491339</c:v>
                </c:pt>
                <c:pt idx="58">
                  <c:v>0.28735824451250941</c:v>
                </c:pt>
                <c:pt idx="59">
                  <c:v>0.28809098549268386</c:v>
                </c:pt>
                <c:pt idx="60">
                  <c:v>0.29000622540094634</c:v>
                </c:pt>
                <c:pt idx="61">
                  <c:v>0.29037695501243077</c:v>
                </c:pt>
                <c:pt idx="62">
                  <c:v>0.29080672483830095</c:v>
                </c:pt>
                <c:pt idx="63">
                  <c:v>0.28937416679248379</c:v>
                </c:pt>
                <c:pt idx="64">
                  <c:v>0.28915841391542135</c:v>
                </c:pt>
                <c:pt idx="65">
                  <c:v>0.28908120003277082</c:v>
                </c:pt>
              </c:numCache>
            </c:numRef>
          </c:val>
        </c:ser>
        <c:ser>
          <c:idx val="2"/>
          <c:order val="2"/>
          <c:tx>
            <c:strRef>
              <c:f>'5 years'!$AG$1</c:f>
              <c:strCache>
                <c:ptCount val="1"/>
                <c:pt idx="0">
                  <c:v>U3 Ratio</c:v>
                </c:pt>
              </c:strCache>
            </c:strRef>
          </c:tx>
          <c:cat>
            <c:strRef>
              <c:f>'5 years'!$A$2:$A$67</c:f>
              <c:strCache>
                <c:ptCount val="66"/>
                <c:pt idx="0">
                  <c:v>     Jul-05</c:v>
                </c:pt>
                <c:pt idx="1">
                  <c:v>Aug-05</c:v>
                </c:pt>
                <c:pt idx="2">
                  <c:v>Sep-05</c:v>
                </c:pt>
                <c:pt idx="3">
                  <c:v>Oct-05</c:v>
                </c:pt>
                <c:pt idx="4">
                  <c:v>Nov-05</c:v>
                </c:pt>
                <c:pt idx="5">
                  <c:v>Dec-05</c:v>
                </c:pt>
                <c:pt idx="6">
                  <c:v>Jan-06</c:v>
                </c:pt>
                <c:pt idx="7">
                  <c:v>Feb-06</c:v>
                </c:pt>
                <c:pt idx="8">
                  <c:v>Mar-06</c:v>
                </c:pt>
                <c:pt idx="9">
                  <c:v>Apr-06</c:v>
                </c:pt>
                <c:pt idx="10">
                  <c:v>May-06</c:v>
                </c:pt>
                <c:pt idx="11">
                  <c:v>Jun-06</c:v>
                </c:pt>
                <c:pt idx="12">
                  <c:v>Jul-06</c:v>
                </c:pt>
                <c:pt idx="13">
                  <c:v>Aug-06</c:v>
                </c:pt>
                <c:pt idx="14">
                  <c:v>Sep-06</c:v>
                </c:pt>
                <c:pt idx="15">
                  <c:v>Oct-06</c:v>
                </c:pt>
                <c:pt idx="16">
                  <c:v>Nov-06</c:v>
                </c:pt>
                <c:pt idx="17">
                  <c:v>Dec-06</c:v>
                </c:pt>
                <c:pt idx="18">
                  <c:v>Jan-07</c:v>
                </c:pt>
                <c:pt idx="19">
                  <c:v>Feb-07</c:v>
                </c:pt>
                <c:pt idx="20">
                  <c:v>Mar-07</c:v>
                </c:pt>
                <c:pt idx="21">
                  <c:v>Apr-07</c:v>
                </c:pt>
                <c:pt idx="22">
                  <c:v>May-07</c:v>
                </c:pt>
                <c:pt idx="23">
                  <c:v>Jun-07</c:v>
                </c:pt>
                <c:pt idx="24">
                  <c:v>Jul-07</c:v>
                </c:pt>
                <c:pt idx="25">
                  <c:v>Aug-07</c:v>
                </c:pt>
                <c:pt idx="26">
                  <c:v>Sep-07</c:v>
                </c:pt>
                <c:pt idx="27">
                  <c:v>Oct-07</c:v>
                </c:pt>
                <c:pt idx="28">
                  <c:v>Nov-07</c:v>
                </c:pt>
                <c:pt idx="29">
                  <c:v>Dec-07</c:v>
                </c:pt>
                <c:pt idx="30">
                  <c:v>Jan-08</c:v>
                </c:pt>
                <c:pt idx="31">
                  <c:v>Feb-08</c:v>
                </c:pt>
                <c:pt idx="32">
                  <c:v>Mar-08</c:v>
                </c:pt>
                <c:pt idx="33">
                  <c:v>Apr-08</c:v>
                </c:pt>
                <c:pt idx="34">
                  <c:v>May-08</c:v>
                </c:pt>
                <c:pt idx="35">
                  <c:v>Jun-08</c:v>
                </c:pt>
                <c:pt idx="36">
                  <c:v>Jul-08</c:v>
                </c:pt>
                <c:pt idx="37">
                  <c:v>Aug-08</c:v>
                </c:pt>
                <c:pt idx="38">
                  <c:v>Sep-08</c:v>
                </c:pt>
                <c:pt idx="39">
                  <c:v>Oct-08</c:v>
                </c:pt>
                <c:pt idx="40">
                  <c:v>Nov-08</c:v>
                </c:pt>
                <c:pt idx="41">
                  <c:v>Dec-08</c:v>
                </c:pt>
                <c:pt idx="42">
                  <c:v>Jan-09</c:v>
                </c:pt>
                <c:pt idx="43">
                  <c:v>Feb-09</c:v>
                </c:pt>
                <c:pt idx="44">
                  <c:v>Mar-09</c:v>
                </c:pt>
                <c:pt idx="45">
                  <c:v>Apr-09</c:v>
                </c:pt>
                <c:pt idx="46">
                  <c:v>May-09</c:v>
                </c:pt>
                <c:pt idx="47">
                  <c:v>Jun-09</c:v>
                </c:pt>
                <c:pt idx="48">
                  <c:v>Jul-09</c:v>
                </c:pt>
                <c:pt idx="49">
                  <c:v>Aug-09</c:v>
                </c:pt>
                <c:pt idx="50">
                  <c:v>Sep-09</c:v>
                </c:pt>
                <c:pt idx="51">
                  <c:v>Oct-09</c:v>
                </c:pt>
                <c:pt idx="52">
                  <c:v>Nov-09</c:v>
                </c:pt>
                <c:pt idx="53">
                  <c:v>Dec-09</c:v>
                </c:pt>
                <c:pt idx="54">
                  <c:v>Jan-10</c:v>
                </c:pt>
                <c:pt idx="55">
                  <c:v>Feb-10</c:v>
                </c:pt>
                <c:pt idx="56">
                  <c:v>Mar-10</c:v>
                </c:pt>
                <c:pt idx="57">
                  <c:v>Apr-10</c:v>
                </c:pt>
                <c:pt idx="58">
                  <c:v>May-10</c:v>
                </c:pt>
                <c:pt idx="59">
                  <c:v>Jun-10</c:v>
                </c:pt>
                <c:pt idx="60">
                  <c:v>Jul-10</c:v>
                </c:pt>
                <c:pt idx="61">
                  <c:v>Aug-10</c:v>
                </c:pt>
                <c:pt idx="62">
                  <c:v>Sep-10</c:v>
                </c:pt>
                <c:pt idx="63">
                  <c:v>Oct-10</c:v>
                </c:pt>
                <c:pt idx="64">
                  <c:v>Nov-10</c:v>
                </c:pt>
                <c:pt idx="65">
                  <c:v>Dec-10</c:v>
                </c:pt>
              </c:strCache>
            </c:strRef>
          </c:cat>
          <c:val>
            <c:numRef>
              <c:f>'5 years'!$AG$2:$AG$67</c:f>
              <c:numCache>
                <c:formatCode>0.00%</c:formatCode>
                <c:ptCount val="66"/>
                <c:pt idx="0">
                  <c:v>0.34711957837628271</c:v>
                </c:pt>
                <c:pt idx="1">
                  <c:v>0.34645646882537168</c:v>
                </c:pt>
                <c:pt idx="2">
                  <c:v>0.35032494152784877</c:v>
                </c:pt>
                <c:pt idx="3">
                  <c:v>0.34770382300041258</c:v>
                </c:pt>
                <c:pt idx="4">
                  <c:v>0.35090963526573621</c:v>
                </c:pt>
                <c:pt idx="5">
                  <c:v>0.35216139854658757</c:v>
                </c:pt>
                <c:pt idx="6">
                  <c:v>0.35405702544186096</c:v>
                </c:pt>
                <c:pt idx="7">
                  <c:v>0.35980768786145806</c:v>
                </c:pt>
                <c:pt idx="8">
                  <c:v>0.35440718479686817</c:v>
                </c:pt>
                <c:pt idx="9">
                  <c:v>0.3611776653822138</c:v>
                </c:pt>
                <c:pt idx="10">
                  <c:v>0.35793981854501561</c:v>
                </c:pt>
                <c:pt idx="11">
                  <c:v>0.36097258958865114</c:v>
                </c:pt>
                <c:pt idx="12">
                  <c:v>0.35363482268150248</c:v>
                </c:pt>
                <c:pt idx="13">
                  <c:v>0.35838500756908315</c:v>
                </c:pt>
                <c:pt idx="14">
                  <c:v>0.36148982131854596</c:v>
                </c:pt>
                <c:pt idx="15">
                  <c:v>0.35347155690395365</c:v>
                </c:pt>
                <c:pt idx="16">
                  <c:v>0.36419917884539382</c:v>
                </c:pt>
                <c:pt idx="17">
                  <c:v>0.36474222735465761</c:v>
                </c:pt>
                <c:pt idx="18">
                  <c:v>0.36426163413286461</c:v>
                </c:pt>
                <c:pt idx="19">
                  <c:v>0.36657638515665136</c:v>
                </c:pt>
                <c:pt idx="20">
                  <c:v>0.35193395229192281</c:v>
                </c:pt>
                <c:pt idx="21">
                  <c:v>0.38439673304357025</c:v>
                </c:pt>
                <c:pt idx="22">
                  <c:v>0.37690272591117396</c:v>
                </c:pt>
                <c:pt idx="23">
                  <c:v>0.38049888054394598</c:v>
                </c:pt>
                <c:pt idx="24">
                  <c:v>0.35998690795560639</c:v>
                </c:pt>
                <c:pt idx="25">
                  <c:v>0.35918046365481371</c:v>
                </c:pt>
                <c:pt idx="26">
                  <c:v>0.35983488392425922</c:v>
                </c:pt>
                <c:pt idx="27">
                  <c:v>0.35644565219679808</c:v>
                </c:pt>
                <c:pt idx="28">
                  <c:v>0.35855264785350166</c:v>
                </c:pt>
                <c:pt idx="29">
                  <c:v>0.35345879554979548</c:v>
                </c:pt>
                <c:pt idx="30">
                  <c:v>0.353612419240943</c:v>
                </c:pt>
                <c:pt idx="31">
                  <c:v>0.35540751239029689</c:v>
                </c:pt>
                <c:pt idx="32">
                  <c:v>0.35155625863461881</c:v>
                </c:pt>
                <c:pt idx="33">
                  <c:v>0.3445033167816009</c:v>
                </c:pt>
                <c:pt idx="34">
                  <c:v>0.33416258573104712</c:v>
                </c:pt>
                <c:pt idx="35">
                  <c:v>0.33094105161370324</c:v>
                </c:pt>
                <c:pt idx="36">
                  <c:v>0.33006180015271669</c:v>
                </c:pt>
                <c:pt idx="37">
                  <c:v>0.3322743886729902</c:v>
                </c:pt>
                <c:pt idx="38">
                  <c:v>0.32866201684940949</c:v>
                </c:pt>
                <c:pt idx="39">
                  <c:v>0.33020674015823398</c:v>
                </c:pt>
                <c:pt idx="40">
                  <c:v>0.33319418903540199</c:v>
                </c:pt>
                <c:pt idx="41">
                  <c:v>0.33111861482656763</c:v>
                </c:pt>
                <c:pt idx="42">
                  <c:v>0.33261881620748601</c:v>
                </c:pt>
                <c:pt idx="43">
                  <c:v>0.33705907601280422</c:v>
                </c:pt>
                <c:pt idx="44">
                  <c:v>0.33057348840819956</c:v>
                </c:pt>
                <c:pt idx="45">
                  <c:v>0.33342019223533476</c:v>
                </c:pt>
                <c:pt idx="46">
                  <c:v>0.33026364456778556</c:v>
                </c:pt>
                <c:pt idx="47">
                  <c:v>0.33142045031989392</c:v>
                </c:pt>
                <c:pt idx="48">
                  <c:v>0.33043658522000402</c:v>
                </c:pt>
                <c:pt idx="49">
                  <c:v>0.33321199088038761</c:v>
                </c:pt>
                <c:pt idx="50">
                  <c:v>0.32997274037530377</c:v>
                </c:pt>
                <c:pt idx="51">
                  <c:v>0.33180714158812968</c:v>
                </c:pt>
                <c:pt idx="52">
                  <c:v>0.33251186916644077</c:v>
                </c:pt>
                <c:pt idx="53">
                  <c:v>0.32981065392573905</c:v>
                </c:pt>
                <c:pt idx="54">
                  <c:v>0.33037935770984794</c:v>
                </c:pt>
                <c:pt idx="55">
                  <c:v>0.33391158565486417</c:v>
                </c:pt>
                <c:pt idx="56">
                  <c:v>0.32597084753555317</c:v>
                </c:pt>
                <c:pt idx="57">
                  <c:v>0.32794621968328114</c:v>
                </c:pt>
                <c:pt idx="58">
                  <c:v>0.32659796170214384</c:v>
                </c:pt>
                <c:pt idx="59">
                  <c:v>0.32737403878850357</c:v>
                </c:pt>
                <c:pt idx="60">
                  <c:v>0.32886077736139291</c:v>
                </c:pt>
                <c:pt idx="61">
                  <c:v>0.32196096887488923</c:v>
                </c:pt>
                <c:pt idx="62">
                  <c:v>0.31667969173885818</c:v>
                </c:pt>
                <c:pt idx="63">
                  <c:v>0.31003507929177032</c:v>
                </c:pt>
                <c:pt idx="64">
                  <c:v>0.31225699007560959</c:v>
                </c:pt>
                <c:pt idx="65">
                  <c:v>0.30830828010741523</c:v>
                </c:pt>
              </c:numCache>
            </c:numRef>
          </c:val>
        </c:ser>
        <c:overlap val="100"/>
        <c:axId val="194464768"/>
        <c:axId val="194474752"/>
      </c:barChart>
      <c:catAx>
        <c:axId val="194464768"/>
        <c:scaling>
          <c:orientation val="minMax"/>
        </c:scaling>
        <c:axPos val="b"/>
        <c:tickLblPos val="nextTo"/>
        <c:crossAx val="194474752"/>
        <c:crosses val="autoZero"/>
        <c:auto val="1"/>
        <c:lblAlgn val="ctr"/>
        <c:lblOffset val="100"/>
      </c:catAx>
      <c:valAx>
        <c:axId val="194474752"/>
        <c:scaling>
          <c:orientation val="minMax"/>
        </c:scaling>
        <c:axPos val="l"/>
        <c:majorGridlines/>
        <c:numFmt formatCode="0.00%" sourceLinked="1"/>
        <c:tickLblPos val="nextTo"/>
        <c:crossAx val="19446476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[Res.xlsx]2yfiltered!PivotTable5</c:name>
    <c:fmtId val="2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'2yfiltered'!$H$4:$H$5</c:f>
              <c:strCache>
                <c:ptCount val="1"/>
                <c:pt idx="0">
                  <c:v>Data</c:v>
                </c:pt>
              </c:strCache>
            </c:strRef>
          </c:tx>
          <c:cat>
            <c:strRef>
              <c:f>'2yfiltered'!$G$6:$G$31</c:f>
              <c:strCache>
                <c:ptCount val="25"/>
                <c:pt idx="0">
                  <c:v>01/01/2009</c:v>
                </c:pt>
                <c:pt idx="1">
                  <c:v>01/02/2009</c:v>
                </c:pt>
                <c:pt idx="2">
                  <c:v>01/03/2009</c:v>
                </c:pt>
                <c:pt idx="3">
                  <c:v>01/04/2009</c:v>
                </c:pt>
                <c:pt idx="4">
                  <c:v>01/05/2009</c:v>
                </c:pt>
                <c:pt idx="5">
                  <c:v>01/06/2009</c:v>
                </c:pt>
                <c:pt idx="6">
                  <c:v>01/07/2009</c:v>
                </c:pt>
                <c:pt idx="7">
                  <c:v>01/08/2009</c:v>
                </c:pt>
                <c:pt idx="8">
                  <c:v>01/09/2009</c:v>
                </c:pt>
                <c:pt idx="9">
                  <c:v>01/10/2009</c:v>
                </c:pt>
                <c:pt idx="10">
                  <c:v>01/11/2009</c:v>
                </c:pt>
                <c:pt idx="11">
                  <c:v>01/12/2009</c:v>
                </c:pt>
                <c:pt idx="12">
                  <c:v>01/01/2010</c:v>
                </c:pt>
                <c:pt idx="13">
                  <c:v>01/02/2010</c:v>
                </c:pt>
                <c:pt idx="14">
                  <c:v>01/03/2010</c:v>
                </c:pt>
                <c:pt idx="15">
                  <c:v>01/04/2010</c:v>
                </c:pt>
                <c:pt idx="16">
                  <c:v>01/05/2010</c:v>
                </c:pt>
                <c:pt idx="17">
                  <c:v>01/06/2010</c:v>
                </c:pt>
                <c:pt idx="18">
                  <c:v>01/07/2010</c:v>
                </c:pt>
                <c:pt idx="19">
                  <c:v>01/08/2010</c:v>
                </c:pt>
                <c:pt idx="20">
                  <c:v>01/09/2010</c:v>
                </c:pt>
                <c:pt idx="21">
                  <c:v>01/10/2010</c:v>
                </c:pt>
                <c:pt idx="22">
                  <c:v>01/11/2010</c:v>
                </c:pt>
                <c:pt idx="23">
                  <c:v>01/12/2010</c:v>
                </c:pt>
                <c:pt idx="24">
                  <c:v>01/01/2011</c:v>
                </c:pt>
              </c:strCache>
            </c:strRef>
          </c:cat>
          <c:val>
            <c:numRef>
              <c:f>'2yfiltered'!$H$6:$H$31</c:f>
              <c:numCache>
                <c:formatCode>0</c:formatCode>
                <c:ptCount val="25"/>
                <c:pt idx="0">
                  <c:v>90745985</c:v>
                </c:pt>
                <c:pt idx="1">
                  <c:v>88234254</c:v>
                </c:pt>
                <c:pt idx="2">
                  <c:v>102652144</c:v>
                </c:pt>
                <c:pt idx="3">
                  <c:v>102853275</c:v>
                </c:pt>
                <c:pt idx="4">
                  <c:v>112015906</c:v>
                </c:pt>
                <c:pt idx="5">
                  <c:v>116378654</c:v>
                </c:pt>
                <c:pt idx="6">
                  <c:v>128796425</c:v>
                </c:pt>
                <c:pt idx="7">
                  <c:v>133513869</c:v>
                </c:pt>
                <c:pt idx="8">
                  <c:v>127852092</c:v>
                </c:pt>
                <c:pt idx="9">
                  <c:v>149317552</c:v>
                </c:pt>
                <c:pt idx="10">
                  <c:v>135641989</c:v>
                </c:pt>
                <c:pt idx="11">
                  <c:v>149153271</c:v>
                </c:pt>
                <c:pt idx="12">
                  <c:v>161969839</c:v>
                </c:pt>
                <c:pt idx="13">
                  <c:v>155395491</c:v>
                </c:pt>
                <c:pt idx="14">
                  <c:v>199786509</c:v>
                </c:pt>
                <c:pt idx="15">
                  <c:v>181885315</c:v>
                </c:pt>
                <c:pt idx="16">
                  <c:v>208415506</c:v>
                </c:pt>
                <c:pt idx="17">
                  <c:v>220541638</c:v>
                </c:pt>
                <c:pt idx="18">
                  <c:v>243653121</c:v>
                </c:pt>
                <c:pt idx="19">
                  <c:v>296421904</c:v>
                </c:pt>
                <c:pt idx="20">
                  <c:v>318082595</c:v>
                </c:pt>
                <c:pt idx="21">
                  <c:v>336389189</c:v>
                </c:pt>
                <c:pt idx="22">
                  <c:v>352549612</c:v>
                </c:pt>
                <c:pt idx="23">
                  <c:v>384978714</c:v>
                </c:pt>
                <c:pt idx="24">
                  <c:v>412875487</c:v>
                </c:pt>
              </c:numCache>
            </c:numRef>
          </c:val>
        </c:ser>
        <c:ser>
          <c:idx val="1"/>
          <c:order val="1"/>
          <c:tx>
            <c:strRef>
              <c:f>'2yfiltered'!$I$4:$I$5</c:f>
              <c:strCache>
                <c:ptCount val="1"/>
                <c:pt idx="0">
                  <c:v>SMS/EAM/VAS</c:v>
                </c:pt>
              </c:strCache>
            </c:strRef>
          </c:tx>
          <c:cat>
            <c:strRef>
              <c:f>'2yfiltered'!$G$6:$G$31</c:f>
              <c:strCache>
                <c:ptCount val="25"/>
                <c:pt idx="0">
                  <c:v>01/01/2009</c:v>
                </c:pt>
                <c:pt idx="1">
                  <c:v>01/02/2009</c:v>
                </c:pt>
                <c:pt idx="2">
                  <c:v>01/03/2009</c:v>
                </c:pt>
                <c:pt idx="3">
                  <c:v>01/04/2009</c:v>
                </c:pt>
                <c:pt idx="4">
                  <c:v>01/05/2009</c:v>
                </c:pt>
                <c:pt idx="5">
                  <c:v>01/06/2009</c:v>
                </c:pt>
                <c:pt idx="6">
                  <c:v>01/07/2009</c:v>
                </c:pt>
                <c:pt idx="7">
                  <c:v>01/08/2009</c:v>
                </c:pt>
                <c:pt idx="8">
                  <c:v>01/09/2009</c:v>
                </c:pt>
                <c:pt idx="9">
                  <c:v>01/10/2009</c:v>
                </c:pt>
                <c:pt idx="10">
                  <c:v>01/11/2009</c:v>
                </c:pt>
                <c:pt idx="11">
                  <c:v>01/12/2009</c:v>
                </c:pt>
                <c:pt idx="12">
                  <c:v>01/01/2010</c:v>
                </c:pt>
                <c:pt idx="13">
                  <c:v>01/02/2010</c:v>
                </c:pt>
                <c:pt idx="14">
                  <c:v>01/03/2010</c:v>
                </c:pt>
                <c:pt idx="15">
                  <c:v>01/04/2010</c:v>
                </c:pt>
                <c:pt idx="16">
                  <c:v>01/05/2010</c:v>
                </c:pt>
                <c:pt idx="17">
                  <c:v>01/06/2010</c:v>
                </c:pt>
                <c:pt idx="18">
                  <c:v>01/07/2010</c:v>
                </c:pt>
                <c:pt idx="19">
                  <c:v>01/08/2010</c:v>
                </c:pt>
                <c:pt idx="20">
                  <c:v>01/09/2010</c:v>
                </c:pt>
                <c:pt idx="21">
                  <c:v>01/10/2010</c:v>
                </c:pt>
                <c:pt idx="22">
                  <c:v>01/11/2010</c:v>
                </c:pt>
                <c:pt idx="23">
                  <c:v>01/12/2010</c:v>
                </c:pt>
                <c:pt idx="24">
                  <c:v>01/01/2011</c:v>
                </c:pt>
              </c:strCache>
            </c:strRef>
          </c:cat>
          <c:val>
            <c:numRef>
              <c:f>'2yfiltered'!$I$6:$I$31</c:f>
              <c:numCache>
                <c:formatCode>0</c:formatCode>
                <c:ptCount val="25"/>
                <c:pt idx="0">
                  <c:v>1577749928</c:v>
                </c:pt>
                <c:pt idx="1">
                  <c:v>1424844332</c:v>
                </c:pt>
                <c:pt idx="2">
                  <c:v>1640329409</c:v>
                </c:pt>
                <c:pt idx="3">
                  <c:v>1626681935</c:v>
                </c:pt>
                <c:pt idx="4">
                  <c:v>1727627616</c:v>
                </c:pt>
                <c:pt idx="5">
                  <c:v>1778683249</c:v>
                </c:pt>
                <c:pt idx="6">
                  <c:v>1913331896</c:v>
                </c:pt>
                <c:pt idx="7">
                  <c:v>1817991335</c:v>
                </c:pt>
                <c:pt idx="8">
                  <c:v>1851854008</c:v>
                </c:pt>
                <c:pt idx="9">
                  <c:v>2196033108</c:v>
                </c:pt>
                <c:pt idx="10">
                  <c:v>2219405692</c:v>
                </c:pt>
                <c:pt idx="11">
                  <c:v>2460006734</c:v>
                </c:pt>
                <c:pt idx="12">
                  <c:v>2685894944</c:v>
                </c:pt>
                <c:pt idx="13">
                  <c:v>2435420248</c:v>
                </c:pt>
                <c:pt idx="14">
                  <c:v>2767645393</c:v>
                </c:pt>
                <c:pt idx="15">
                  <c:v>2874562861</c:v>
                </c:pt>
                <c:pt idx="16">
                  <c:v>2952291253</c:v>
                </c:pt>
                <c:pt idx="17">
                  <c:v>2884666870</c:v>
                </c:pt>
                <c:pt idx="18">
                  <c:v>2970778325</c:v>
                </c:pt>
                <c:pt idx="19">
                  <c:v>2849731400</c:v>
                </c:pt>
                <c:pt idx="20">
                  <c:v>3065229977</c:v>
                </c:pt>
                <c:pt idx="21">
                  <c:v>3357870413</c:v>
                </c:pt>
                <c:pt idx="22">
                  <c:v>3317683574</c:v>
                </c:pt>
                <c:pt idx="23">
                  <c:v>3538195568</c:v>
                </c:pt>
                <c:pt idx="24">
                  <c:v>3719803146</c:v>
                </c:pt>
              </c:numCache>
            </c:numRef>
          </c:val>
        </c:ser>
        <c:ser>
          <c:idx val="2"/>
          <c:order val="2"/>
          <c:tx>
            <c:strRef>
              <c:f>'2yfiltered'!$J$4:$J$5</c:f>
              <c:strCache>
                <c:ptCount val="1"/>
                <c:pt idx="0">
                  <c:v>Voice</c:v>
                </c:pt>
              </c:strCache>
            </c:strRef>
          </c:tx>
          <c:cat>
            <c:strRef>
              <c:f>'2yfiltered'!$G$6:$G$31</c:f>
              <c:strCache>
                <c:ptCount val="25"/>
                <c:pt idx="0">
                  <c:v>01/01/2009</c:v>
                </c:pt>
                <c:pt idx="1">
                  <c:v>01/02/2009</c:v>
                </c:pt>
                <c:pt idx="2">
                  <c:v>01/03/2009</c:v>
                </c:pt>
                <c:pt idx="3">
                  <c:v>01/04/2009</c:v>
                </c:pt>
                <c:pt idx="4">
                  <c:v>01/05/2009</c:v>
                </c:pt>
                <c:pt idx="5">
                  <c:v>01/06/2009</c:v>
                </c:pt>
                <c:pt idx="6">
                  <c:v>01/07/2009</c:v>
                </c:pt>
                <c:pt idx="7">
                  <c:v>01/08/2009</c:v>
                </c:pt>
                <c:pt idx="8">
                  <c:v>01/09/2009</c:v>
                </c:pt>
                <c:pt idx="9">
                  <c:v>01/10/2009</c:v>
                </c:pt>
                <c:pt idx="10">
                  <c:v>01/11/2009</c:v>
                </c:pt>
                <c:pt idx="11">
                  <c:v>01/12/2009</c:v>
                </c:pt>
                <c:pt idx="12">
                  <c:v>01/01/2010</c:v>
                </c:pt>
                <c:pt idx="13">
                  <c:v>01/02/2010</c:v>
                </c:pt>
                <c:pt idx="14">
                  <c:v>01/03/2010</c:v>
                </c:pt>
                <c:pt idx="15">
                  <c:v>01/04/2010</c:v>
                </c:pt>
                <c:pt idx="16">
                  <c:v>01/05/2010</c:v>
                </c:pt>
                <c:pt idx="17">
                  <c:v>01/06/2010</c:v>
                </c:pt>
                <c:pt idx="18">
                  <c:v>01/07/2010</c:v>
                </c:pt>
                <c:pt idx="19">
                  <c:v>01/08/2010</c:v>
                </c:pt>
                <c:pt idx="20">
                  <c:v>01/09/2010</c:v>
                </c:pt>
                <c:pt idx="21">
                  <c:v>01/10/2010</c:v>
                </c:pt>
                <c:pt idx="22">
                  <c:v>01/11/2010</c:v>
                </c:pt>
                <c:pt idx="23">
                  <c:v>01/12/2010</c:v>
                </c:pt>
                <c:pt idx="24">
                  <c:v>01/01/2011</c:v>
                </c:pt>
              </c:strCache>
            </c:strRef>
          </c:cat>
          <c:val>
            <c:numRef>
              <c:f>'2yfiltered'!$J$6:$J$31</c:f>
              <c:numCache>
                <c:formatCode>0</c:formatCode>
                <c:ptCount val="25"/>
                <c:pt idx="0">
                  <c:v>806392680</c:v>
                </c:pt>
                <c:pt idx="1">
                  <c:v>743232632</c:v>
                </c:pt>
                <c:pt idx="2">
                  <c:v>827832213</c:v>
                </c:pt>
                <c:pt idx="3">
                  <c:v>849285243</c:v>
                </c:pt>
                <c:pt idx="4">
                  <c:v>918454795</c:v>
                </c:pt>
                <c:pt idx="5">
                  <c:v>928917743</c:v>
                </c:pt>
                <c:pt idx="6">
                  <c:v>925416356</c:v>
                </c:pt>
                <c:pt idx="7">
                  <c:v>925808769</c:v>
                </c:pt>
                <c:pt idx="8">
                  <c:v>842464753</c:v>
                </c:pt>
                <c:pt idx="9">
                  <c:v>911376510</c:v>
                </c:pt>
                <c:pt idx="10">
                  <c:v>822638458</c:v>
                </c:pt>
                <c:pt idx="11">
                  <c:v>851645852</c:v>
                </c:pt>
                <c:pt idx="12">
                  <c:v>775951357</c:v>
                </c:pt>
                <c:pt idx="13">
                  <c:v>714695021</c:v>
                </c:pt>
                <c:pt idx="14">
                  <c:v>819368646</c:v>
                </c:pt>
                <c:pt idx="15">
                  <c:v>859331812</c:v>
                </c:pt>
                <c:pt idx="16">
                  <c:v>899251702</c:v>
                </c:pt>
                <c:pt idx="17">
                  <c:v>917155703</c:v>
                </c:pt>
                <c:pt idx="18">
                  <c:v>906803120</c:v>
                </c:pt>
                <c:pt idx="19">
                  <c:v>878322349</c:v>
                </c:pt>
                <c:pt idx="20">
                  <c:v>864891082</c:v>
                </c:pt>
                <c:pt idx="21">
                  <c:v>879562528</c:v>
                </c:pt>
                <c:pt idx="22">
                  <c:v>811886043</c:v>
                </c:pt>
                <c:pt idx="23">
                  <c:v>795432396</c:v>
                </c:pt>
                <c:pt idx="24">
                  <c:v>722604920</c:v>
                </c:pt>
              </c:numCache>
            </c:numRef>
          </c:val>
        </c:ser>
        <c:overlap val="100"/>
        <c:axId val="194508288"/>
        <c:axId val="194509824"/>
      </c:barChart>
      <c:catAx>
        <c:axId val="194508288"/>
        <c:scaling>
          <c:orientation val="minMax"/>
        </c:scaling>
        <c:axPos val="b"/>
        <c:tickLblPos val="nextTo"/>
        <c:crossAx val="194509824"/>
        <c:crosses val="autoZero"/>
        <c:auto val="1"/>
        <c:lblAlgn val="ctr"/>
        <c:lblOffset val="100"/>
      </c:catAx>
      <c:valAx>
        <c:axId val="194509824"/>
        <c:scaling>
          <c:orientation val="minMax"/>
        </c:scaling>
        <c:axPos val="l"/>
        <c:majorGridlines/>
        <c:numFmt formatCode="0" sourceLinked="1"/>
        <c:tickLblPos val="nextTo"/>
        <c:crossAx val="1945082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tx>
            <c:strRef>
              <c:f>'2yfiltered'!$L$5</c:f>
              <c:strCache>
                <c:ptCount val="1"/>
                <c:pt idx="0">
                  <c:v>Data%</c:v>
                </c:pt>
              </c:strCache>
            </c:strRef>
          </c:tx>
          <c:cat>
            <c:strRef>
              <c:f>'2yfiltered'!$G$6:$G$32</c:f>
              <c:strCache>
                <c:ptCount val="26"/>
                <c:pt idx="0">
                  <c:v>01/01/2009</c:v>
                </c:pt>
                <c:pt idx="1">
                  <c:v>01/02/2009</c:v>
                </c:pt>
                <c:pt idx="2">
                  <c:v>01/03/2009</c:v>
                </c:pt>
                <c:pt idx="3">
                  <c:v>01/04/2009</c:v>
                </c:pt>
                <c:pt idx="4">
                  <c:v>01/05/2009</c:v>
                </c:pt>
                <c:pt idx="5">
                  <c:v>01/06/2009</c:v>
                </c:pt>
                <c:pt idx="6">
                  <c:v>01/07/2009</c:v>
                </c:pt>
                <c:pt idx="7">
                  <c:v>01/08/2009</c:v>
                </c:pt>
                <c:pt idx="8">
                  <c:v>01/09/2009</c:v>
                </c:pt>
                <c:pt idx="9">
                  <c:v>01/10/2009</c:v>
                </c:pt>
                <c:pt idx="10">
                  <c:v>01/11/2009</c:v>
                </c:pt>
                <c:pt idx="11">
                  <c:v>01/12/2009</c:v>
                </c:pt>
                <c:pt idx="12">
                  <c:v>01/01/2010</c:v>
                </c:pt>
                <c:pt idx="13">
                  <c:v>01/02/2010</c:v>
                </c:pt>
                <c:pt idx="14">
                  <c:v>01/03/2010</c:v>
                </c:pt>
                <c:pt idx="15">
                  <c:v>01/04/2010</c:v>
                </c:pt>
                <c:pt idx="16">
                  <c:v>01/05/2010</c:v>
                </c:pt>
                <c:pt idx="17">
                  <c:v>01/06/2010</c:v>
                </c:pt>
                <c:pt idx="18">
                  <c:v>01/07/2010</c:v>
                </c:pt>
                <c:pt idx="19">
                  <c:v>01/08/2010</c:v>
                </c:pt>
                <c:pt idx="20">
                  <c:v>01/09/2010</c:v>
                </c:pt>
                <c:pt idx="21">
                  <c:v>01/10/2010</c:v>
                </c:pt>
                <c:pt idx="22">
                  <c:v>01/11/2010</c:v>
                </c:pt>
                <c:pt idx="23">
                  <c:v>01/12/2010</c:v>
                </c:pt>
                <c:pt idx="24">
                  <c:v>01/01/2011</c:v>
                </c:pt>
                <c:pt idx="25">
                  <c:v>Grand Total</c:v>
                </c:pt>
              </c:strCache>
            </c:strRef>
          </c:cat>
          <c:val>
            <c:numRef>
              <c:f>'2yfiltered'!$L$6:$L$32</c:f>
              <c:numCache>
                <c:formatCode>0.00%</c:formatCode>
                <c:ptCount val="27"/>
                <c:pt idx="0">
                  <c:v>3.6666694919790271E-2</c:v>
                </c:pt>
                <c:pt idx="1">
                  <c:v>3.9105533534603026E-2</c:v>
                </c:pt>
                <c:pt idx="2">
                  <c:v>3.9929825084031388E-2</c:v>
                </c:pt>
                <c:pt idx="3">
                  <c:v>3.9883844910702668E-2</c:v>
                </c:pt>
                <c:pt idx="4">
                  <c:v>4.0613456492675129E-2</c:v>
                </c:pt>
                <c:pt idx="5">
                  <c:v>4.1210868557372028E-2</c:v>
                </c:pt>
                <c:pt idx="6">
                  <c:v>4.3401680183027619E-2</c:v>
                </c:pt>
                <c:pt idx="7">
                  <c:v>4.6402259278223022E-2</c:v>
                </c:pt>
                <c:pt idx="8">
                  <c:v>4.5302746948892823E-2</c:v>
                </c:pt>
                <c:pt idx="9">
                  <c:v>4.5848959463190155E-2</c:v>
                </c:pt>
                <c:pt idx="10">
                  <c:v>4.268577293876033E-2</c:v>
                </c:pt>
                <c:pt idx="11">
                  <c:v>4.3097844017547272E-2</c:v>
                </c:pt>
                <c:pt idx="12">
                  <c:v>4.4695931786428875E-2</c:v>
                </c:pt>
                <c:pt idx="13">
                  <c:v>4.7011037713276117E-2</c:v>
                </c:pt>
                <c:pt idx="14">
                  <c:v>5.2758656408644841E-2</c:v>
                </c:pt>
                <c:pt idx="15">
                  <c:v>4.6449319307364519E-2</c:v>
                </c:pt>
                <c:pt idx="16">
                  <c:v>5.1334393689502329E-2</c:v>
                </c:pt>
                <c:pt idx="17">
                  <c:v>5.4828858460127146E-2</c:v>
                </c:pt>
                <c:pt idx="18">
                  <c:v>5.9121391199163306E-2</c:v>
                </c:pt>
                <c:pt idx="19">
                  <c:v>7.3654788737269564E-2</c:v>
                </c:pt>
                <c:pt idx="20">
                  <c:v>7.487461075471312E-2</c:v>
                </c:pt>
                <c:pt idx="21">
                  <c:v>7.3546626746501836E-2</c:v>
                </c:pt>
                <c:pt idx="22">
                  <c:v>7.865690178854455E-2</c:v>
                </c:pt>
                <c:pt idx="23">
                  <c:v>8.158737107606831E-2</c:v>
                </c:pt>
                <c:pt idx="24">
                  <c:v>8.5036328464254365E-2</c:v>
                </c:pt>
                <c:pt idx="25">
                  <c:v>5.5947184054183141E-2</c:v>
                </c:pt>
              </c:numCache>
            </c:numRef>
          </c:val>
        </c:ser>
        <c:ser>
          <c:idx val="1"/>
          <c:order val="1"/>
          <c:tx>
            <c:strRef>
              <c:f>'2yfiltered'!$M$5</c:f>
              <c:strCache>
                <c:ptCount val="1"/>
                <c:pt idx="0">
                  <c:v>SMS%</c:v>
                </c:pt>
              </c:strCache>
            </c:strRef>
          </c:tx>
          <c:cat>
            <c:strRef>
              <c:f>'2yfiltered'!$G$6:$G$32</c:f>
              <c:strCache>
                <c:ptCount val="26"/>
                <c:pt idx="0">
                  <c:v>01/01/2009</c:v>
                </c:pt>
                <c:pt idx="1">
                  <c:v>01/02/2009</c:v>
                </c:pt>
                <c:pt idx="2">
                  <c:v>01/03/2009</c:v>
                </c:pt>
                <c:pt idx="3">
                  <c:v>01/04/2009</c:v>
                </c:pt>
                <c:pt idx="4">
                  <c:v>01/05/2009</c:v>
                </c:pt>
                <c:pt idx="5">
                  <c:v>01/06/2009</c:v>
                </c:pt>
                <c:pt idx="6">
                  <c:v>01/07/2009</c:v>
                </c:pt>
                <c:pt idx="7">
                  <c:v>01/08/2009</c:v>
                </c:pt>
                <c:pt idx="8">
                  <c:v>01/09/2009</c:v>
                </c:pt>
                <c:pt idx="9">
                  <c:v>01/10/2009</c:v>
                </c:pt>
                <c:pt idx="10">
                  <c:v>01/11/2009</c:v>
                </c:pt>
                <c:pt idx="11">
                  <c:v>01/12/2009</c:v>
                </c:pt>
                <c:pt idx="12">
                  <c:v>01/01/2010</c:v>
                </c:pt>
                <c:pt idx="13">
                  <c:v>01/02/2010</c:v>
                </c:pt>
                <c:pt idx="14">
                  <c:v>01/03/2010</c:v>
                </c:pt>
                <c:pt idx="15">
                  <c:v>01/04/2010</c:v>
                </c:pt>
                <c:pt idx="16">
                  <c:v>01/05/2010</c:v>
                </c:pt>
                <c:pt idx="17">
                  <c:v>01/06/2010</c:v>
                </c:pt>
                <c:pt idx="18">
                  <c:v>01/07/2010</c:v>
                </c:pt>
                <c:pt idx="19">
                  <c:v>01/08/2010</c:v>
                </c:pt>
                <c:pt idx="20">
                  <c:v>01/09/2010</c:v>
                </c:pt>
                <c:pt idx="21">
                  <c:v>01/10/2010</c:v>
                </c:pt>
                <c:pt idx="22">
                  <c:v>01/11/2010</c:v>
                </c:pt>
                <c:pt idx="23">
                  <c:v>01/12/2010</c:v>
                </c:pt>
                <c:pt idx="24">
                  <c:v>01/01/2011</c:v>
                </c:pt>
                <c:pt idx="25">
                  <c:v>Grand Total</c:v>
                </c:pt>
              </c:strCache>
            </c:strRef>
          </c:cat>
          <c:val>
            <c:numRef>
              <c:f>'2yfiltered'!$M$6:$M$32</c:f>
              <c:numCache>
                <c:formatCode>0.00%</c:formatCode>
                <c:ptCount val="27"/>
                <c:pt idx="0">
                  <c:v>0.63750341427994939</c:v>
                </c:pt>
                <c:pt idx="1">
                  <c:v>0.63149281917898969</c:v>
                </c:pt>
                <c:pt idx="2">
                  <c:v>0.6380584353071338</c:v>
                </c:pt>
                <c:pt idx="3">
                  <c:v>0.63078526196255513</c:v>
                </c:pt>
                <c:pt idx="4">
                  <c:v>0.62638362285763294</c:v>
                </c:pt>
                <c:pt idx="5">
                  <c:v>0.62984988277780241</c:v>
                </c:pt>
                <c:pt idx="6">
                  <c:v>0.64475251571755865</c:v>
                </c:pt>
                <c:pt idx="7">
                  <c:v>0.63183627232188744</c:v>
                </c:pt>
                <c:pt idx="8">
                  <c:v>0.65618068659147899</c:v>
                </c:pt>
                <c:pt idx="9">
                  <c:v>0.67430674826838499</c:v>
                </c:pt>
                <c:pt idx="10">
                  <c:v>0.69843451962138547</c:v>
                </c:pt>
                <c:pt idx="11">
                  <c:v>0.7108190507203016</c:v>
                </c:pt>
                <c:pt idx="12">
                  <c:v>0.74117859191388225</c:v>
                </c:pt>
                <c:pt idx="13">
                  <c:v>0.73677577379902404</c:v>
                </c:pt>
                <c:pt idx="14">
                  <c:v>0.73086642877500718</c:v>
                </c:pt>
                <c:pt idx="15">
                  <c:v>0.73409713257873666</c:v>
                </c:pt>
                <c:pt idx="16">
                  <c:v>0.72717277316005524</c:v>
                </c:pt>
                <c:pt idx="17">
                  <c:v>0.71715705457782075</c:v>
                </c:pt>
                <c:pt idx="18">
                  <c:v>0.72084669713022109</c:v>
                </c:pt>
                <c:pt idx="19">
                  <c:v>0.70810004723862596</c:v>
                </c:pt>
                <c:pt idx="20">
                  <c:v>0.72153555400147962</c:v>
                </c:pt>
                <c:pt idx="21">
                  <c:v>0.73414975868333554</c:v>
                </c:pt>
                <c:pt idx="22">
                  <c:v>0.74020422137235387</c:v>
                </c:pt>
                <c:pt idx="23">
                  <c:v>0.74983905407849716</c:v>
                </c:pt>
                <c:pt idx="24">
                  <c:v>0.76613509909253286</c:v>
                </c:pt>
                <c:pt idx="25">
                  <c:v>0.70250809007458004</c:v>
                </c:pt>
              </c:numCache>
            </c:numRef>
          </c:val>
        </c:ser>
        <c:ser>
          <c:idx val="2"/>
          <c:order val="2"/>
          <c:tx>
            <c:strRef>
              <c:f>'2yfiltered'!$N$5</c:f>
              <c:strCache>
                <c:ptCount val="1"/>
                <c:pt idx="0">
                  <c:v>Voice%</c:v>
                </c:pt>
              </c:strCache>
            </c:strRef>
          </c:tx>
          <c:cat>
            <c:strRef>
              <c:f>'2yfiltered'!$G$6:$G$32</c:f>
              <c:strCache>
                <c:ptCount val="26"/>
                <c:pt idx="0">
                  <c:v>01/01/2009</c:v>
                </c:pt>
                <c:pt idx="1">
                  <c:v>01/02/2009</c:v>
                </c:pt>
                <c:pt idx="2">
                  <c:v>01/03/2009</c:v>
                </c:pt>
                <c:pt idx="3">
                  <c:v>01/04/2009</c:v>
                </c:pt>
                <c:pt idx="4">
                  <c:v>01/05/2009</c:v>
                </c:pt>
                <c:pt idx="5">
                  <c:v>01/06/2009</c:v>
                </c:pt>
                <c:pt idx="6">
                  <c:v>01/07/2009</c:v>
                </c:pt>
                <c:pt idx="7">
                  <c:v>01/08/2009</c:v>
                </c:pt>
                <c:pt idx="8">
                  <c:v>01/09/2009</c:v>
                </c:pt>
                <c:pt idx="9">
                  <c:v>01/10/2009</c:v>
                </c:pt>
                <c:pt idx="10">
                  <c:v>01/11/2009</c:v>
                </c:pt>
                <c:pt idx="11">
                  <c:v>01/12/2009</c:v>
                </c:pt>
                <c:pt idx="12">
                  <c:v>01/01/2010</c:v>
                </c:pt>
                <c:pt idx="13">
                  <c:v>01/02/2010</c:v>
                </c:pt>
                <c:pt idx="14">
                  <c:v>01/03/2010</c:v>
                </c:pt>
                <c:pt idx="15">
                  <c:v>01/04/2010</c:v>
                </c:pt>
                <c:pt idx="16">
                  <c:v>01/05/2010</c:v>
                </c:pt>
                <c:pt idx="17">
                  <c:v>01/06/2010</c:v>
                </c:pt>
                <c:pt idx="18">
                  <c:v>01/07/2010</c:v>
                </c:pt>
                <c:pt idx="19">
                  <c:v>01/08/2010</c:v>
                </c:pt>
                <c:pt idx="20">
                  <c:v>01/09/2010</c:v>
                </c:pt>
                <c:pt idx="21">
                  <c:v>01/10/2010</c:v>
                </c:pt>
                <c:pt idx="22">
                  <c:v>01/11/2010</c:v>
                </c:pt>
                <c:pt idx="23">
                  <c:v>01/12/2010</c:v>
                </c:pt>
                <c:pt idx="24">
                  <c:v>01/01/2011</c:v>
                </c:pt>
                <c:pt idx="25">
                  <c:v>Grand Total</c:v>
                </c:pt>
              </c:strCache>
            </c:strRef>
          </c:cat>
          <c:val>
            <c:numRef>
              <c:f>'2yfiltered'!$N$6:$N$32</c:f>
              <c:numCache>
                <c:formatCode>0.00%</c:formatCode>
                <c:ptCount val="27"/>
                <c:pt idx="0">
                  <c:v>0.32582989080026037</c:v>
                </c:pt>
                <c:pt idx="1">
                  <c:v>0.32940164728640725</c:v>
                </c:pt>
                <c:pt idx="2">
                  <c:v>0.32201173960883483</c:v>
                </c:pt>
                <c:pt idx="3">
                  <c:v>0.32933089312674224</c:v>
                </c:pt>
                <c:pt idx="4">
                  <c:v>0.333002920649692</c:v>
                </c:pt>
                <c:pt idx="5">
                  <c:v>0.32893924866482555</c:v>
                </c:pt>
                <c:pt idx="6">
                  <c:v>0.31184580409941376</c:v>
                </c:pt>
                <c:pt idx="7">
                  <c:v>0.32176146839988951</c:v>
                </c:pt>
                <c:pt idx="8">
                  <c:v>0.29851656645962815</c:v>
                </c:pt>
                <c:pt idx="9">
                  <c:v>0.27984429226842483</c:v>
                </c:pt>
                <c:pt idx="10">
                  <c:v>0.25887970743985422</c:v>
                </c:pt>
                <c:pt idx="11">
                  <c:v>0.24608310526215108</c:v>
                </c:pt>
                <c:pt idx="12">
                  <c:v>0.21412547629968887</c:v>
                </c:pt>
                <c:pt idx="13">
                  <c:v>0.21621318848769985</c:v>
                </c:pt>
                <c:pt idx="14">
                  <c:v>0.21637491481634802</c:v>
                </c:pt>
                <c:pt idx="15">
                  <c:v>0.21945354811389878</c:v>
                </c:pt>
                <c:pt idx="16">
                  <c:v>0.22149283315044244</c:v>
                </c:pt>
                <c:pt idx="17">
                  <c:v>0.22801408696205208</c:v>
                </c:pt>
                <c:pt idx="18">
                  <c:v>0.22003191167061564</c:v>
                </c:pt>
                <c:pt idx="19">
                  <c:v>0.21824516402410449</c:v>
                </c:pt>
                <c:pt idx="20">
                  <c:v>0.20358983524380728</c:v>
                </c:pt>
                <c:pt idx="21">
                  <c:v>0.19230361457016257</c:v>
                </c:pt>
                <c:pt idx="22">
                  <c:v>0.1811388768391016</c:v>
                </c:pt>
                <c:pt idx="23">
                  <c:v>0.16857357484543448</c:v>
                </c:pt>
                <c:pt idx="24">
                  <c:v>0.14882857244321276</c:v>
                </c:pt>
                <c:pt idx="25">
                  <c:v>0.24154472587123685</c:v>
                </c:pt>
              </c:numCache>
            </c:numRef>
          </c:val>
        </c:ser>
        <c:overlap val="100"/>
        <c:axId val="194543616"/>
        <c:axId val="194545152"/>
      </c:barChart>
      <c:catAx>
        <c:axId val="194543616"/>
        <c:scaling>
          <c:orientation val="minMax"/>
        </c:scaling>
        <c:axPos val="b"/>
        <c:numFmt formatCode="dd/mm/yyyy" sourceLinked="1"/>
        <c:tickLblPos val="nextTo"/>
        <c:crossAx val="194545152"/>
        <c:crosses val="autoZero"/>
        <c:auto val="1"/>
        <c:lblAlgn val="ctr"/>
        <c:lblOffset val="100"/>
      </c:catAx>
      <c:valAx>
        <c:axId val="194545152"/>
        <c:scaling>
          <c:orientation val="minMax"/>
        </c:scaling>
        <c:axPos val="l"/>
        <c:majorGridlines/>
        <c:numFmt formatCode="0.00%" sourceLinked="1"/>
        <c:tickLblPos val="nextTo"/>
        <c:crossAx val="1945436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'5 years'!$AE$1</c:f>
              <c:strCache>
                <c:ptCount val="1"/>
                <c:pt idx="0">
                  <c:v>U1 Ratio</c:v>
                </c:pt>
              </c:strCache>
            </c:strRef>
          </c:tx>
          <c:marker>
            <c:symbol val="none"/>
          </c:marker>
          <c:cat>
            <c:strRef>
              <c:f>'5 years'!$A$2:$A$67</c:f>
              <c:strCache>
                <c:ptCount val="66"/>
                <c:pt idx="0">
                  <c:v>     Jul-05</c:v>
                </c:pt>
                <c:pt idx="1">
                  <c:v>Aug-05</c:v>
                </c:pt>
                <c:pt idx="2">
                  <c:v>Sep-05</c:v>
                </c:pt>
                <c:pt idx="3">
                  <c:v>Oct-05</c:v>
                </c:pt>
                <c:pt idx="4">
                  <c:v>Nov-05</c:v>
                </c:pt>
                <c:pt idx="5">
                  <c:v>Dec-05</c:v>
                </c:pt>
                <c:pt idx="6">
                  <c:v>Jan-06</c:v>
                </c:pt>
                <c:pt idx="7">
                  <c:v>Feb-06</c:v>
                </c:pt>
                <c:pt idx="8">
                  <c:v>Mar-06</c:v>
                </c:pt>
                <c:pt idx="9">
                  <c:v>Apr-06</c:v>
                </c:pt>
                <c:pt idx="10">
                  <c:v>May-06</c:v>
                </c:pt>
                <c:pt idx="11">
                  <c:v>Jun-06</c:v>
                </c:pt>
                <c:pt idx="12">
                  <c:v>Jul-06</c:v>
                </c:pt>
                <c:pt idx="13">
                  <c:v>Aug-06</c:v>
                </c:pt>
                <c:pt idx="14">
                  <c:v>Sep-06</c:v>
                </c:pt>
                <c:pt idx="15">
                  <c:v>Oct-06</c:v>
                </c:pt>
                <c:pt idx="16">
                  <c:v>Nov-06</c:v>
                </c:pt>
                <c:pt idx="17">
                  <c:v>Dec-06</c:v>
                </c:pt>
                <c:pt idx="18">
                  <c:v>Jan-07</c:v>
                </c:pt>
                <c:pt idx="19">
                  <c:v>Feb-07</c:v>
                </c:pt>
                <c:pt idx="20">
                  <c:v>Mar-07</c:v>
                </c:pt>
                <c:pt idx="21">
                  <c:v>Apr-07</c:v>
                </c:pt>
                <c:pt idx="22">
                  <c:v>May-07</c:v>
                </c:pt>
                <c:pt idx="23">
                  <c:v>Jun-07</c:v>
                </c:pt>
                <c:pt idx="24">
                  <c:v>Jul-07</c:v>
                </c:pt>
                <c:pt idx="25">
                  <c:v>Aug-07</c:v>
                </c:pt>
                <c:pt idx="26">
                  <c:v>Sep-07</c:v>
                </c:pt>
                <c:pt idx="27">
                  <c:v>Oct-07</c:v>
                </c:pt>
                <c:pt idx="28">
                  <c:v>Nov-07</c:v>
                </c:pt>
                <c:pt idx="29">
                  <c:v>Dec-07</c:v>
                </c:pt>
                <c:pt idx="30">
                  <c:v>Jan-08</c:v>
                </c:pt>
                <c:pt idx="31">
                  <c:v>Feb-08</c:v>
                </c:pt>
                <c:pt idx="32">
                  <c:v>Mar-08</c:v>
                </c:pt>
                <c:pt idx="33">
                  <c:v>Apr-08</c:v>
                </c:pt>
                <c:pt idx="34">
                  <c:v>May-08</c:v>
                </c:pt>
                <c:pt idx="35">
                  <c:v>Jun-08</c:v>
                </c:pt>
                <c:pt idx="36">
                  <c:v>Jul-08</c:v>
                </c:pt>
                <c:pt idx="37">
                  <c:v>Aug-08</c:v>
                </c:pt>
                <c:pt idx="38">
                  <c:v>Sep-08</c:v>
                </c:pt>
                <c:pt idx="39">
                  <c:v>Oct-08</c:v>
                </c:pt>
                <c:pt idx="40">
                  <c:v>Nov-08</c:v>
                </c:pt>
                <c:pt idx="41">
                  <c:v>Dec-08</c:v>
                </c:pt>
                <c:pt idx="42">
                  <c:v>Jan-09</c:v>
                </c:pt>
                <c:pt idx="43">
                  <c:v>Feb-09</c:v>
                </c:pt>
                <c:pt idx="44">
                  <c:v>Mar-09</c:v>
                </c:pt>
                <c:pt idx="45">
                  <c:v>Apr-09</c:v>
                </c:pt>
                <c:pt idx="46">
                  <c:v>May-09</c:v>
                </c:pt>
                <c:pt idx="47">
                  <c:v>Jun-09</c:v>
                </c:pt>
                <c:pt idx="48">
                  <c:v>Jul-09</c:v>
                </c:pt>
                <c:pt idx="49">
                  <c:v>Aug-09</c:v>
                </c:pt>
                <c:pt idx="50">
                  <c:v>Sep-09</c:v>
                </c:pt>
                <c:pt idx="51">
                  <c:v>Oct-09</c:v>
                </c:pt>
                <c:pt idx="52">
                  <c:v>Nov-09</c:v>
                </c:pt>
                <c:pt idx="53">
                  <c:v>Dec-09</c:v>
                </c:pt>
                <c:pt idx="54">
                  <c:v>Jan-10</c:v>
                </c:pt>
                <c:pt idx="55">
                  <c:v>Feb-10</c:v>
                </c:pt>
                <c:pt idx="56">
                  <c:v>Mar-10</c:v>
                </c:pt>
                <c:pt idx="57">
                  <c:v>Apr-10</c:v>
                </c:pt>
                <c:pt idx="58">
                  <c:v>May-10</c:v>
                </c:pt>
                <c:pt idx="59">
                  <c:v>Jun-10</c:v>
                </c:pt>
                <c:pt idx="60">
                  <c:v>Jul-10</c:v>
                </c:pt>
                <c:pt idx="61">
                  <c:v>Aug-10</c:v>
                </c:pt>
                <c:pt idx="62">
                  <c:v>Sep-10</c:v>
                </c:pt>
                <c:pt idx="63">
                  <c:v>Oct-10</c:v>
                </c:pt>
                <c:pt idx="64">
                  <c:v>Nov-10</c:v>
                </c:pt>
                <c:pt idx="65">
                  <c:v>Dec-10</c:v>
                </c:pt>
              </c:strCache>
            </c:strRef>
          </c:cat>
          <c:val>
            <c:numRef>
              <c:f>'5 years'!$AE$2:$AE$67</c:f>
              <c:numCache>
                <c:formatCode>0.00%</c:formatCode>
                <c:ptCount val="66"/>
                <c:pt idx="0">
                  <c:v>0.37272707816041106</c:v>
                </c:pt>
                <c:pt idx="1">
                  <c:v>0.37416653863552563</c:v>
                </c:pt>
                <c:pt idx="2">
                  <c:v>0.37123429254743717</c:v>
                </c:pt>
                <c:pt idx="3">
                  <c:v>0.375077165177996</c:v>
                </c:pt>
                <c:pt idx="4">
                  <c:v>0.37310970982370922</c:v>
                </c:pt>
                <c:pt idx="5">
                  <c:v>0.36831282855303454</c:v>
                </c:pt>
                <c:pt idx="6">
                  <c:v>0.36955839826596898</c:v>
                </c:pt>
                <c:pt idx="7">
                  <c:v>0.3633131484945763</c:v>
                </c:pt>
                <c:pt idx="8">
                  <c:v>0.37346993452152583</c:v>
                </c:pt>
                <c:pt idx="9">
                  <c:v>0.36379595583864099</c:v>
                </c:pt>
                <c:pt idx="10">
                  <c:v>0.36841974035146086</c:v>
                </c:pt>
                <c:pt idx="11">
                  <c:v>0.36405300337772817</c:v>
                </c:pt>
                <c:pt idx="12">
                  <c:v>0.35509077585412729</c:v>
                </c:pt>
                <c:pt idx="13">
                  <c:v>0.35947713324651237</c:v>
                </c:pt>
                <c:pt idx="14">
                  <c:v>0.36140171343659561</c:v>
                </c:pt>
                <c:pt idx="15">
                  <c:v>0.36261329852114854</c:v>
                </c:pt>
                <c:pt idx="16">
                  <c:v>0.36129381839656982</c:v>
                </c:pt>
                <c:pt idx="17">
                  <c:v>0.37337337860605307</c:v>
                </c:pt>
                <c:pt idx="18">
                  <c:v>0.37857721670132588</c:v>
                </c:pt>
                <c:pt idx="19">
                  <c:v>0.36063773143089772</c:v>
                </c:pt>
                <c:pt idx="20">
                  <c:v>0.36103317037889249</c:v>
                </c:pt>
                <c:pt idx="21">
                  <c:v>0.36941408489057792</c:v>
                </c:pt>
                <c:pt idx="22">
                  <c:v>0.38192856013619919</c:v>
                </c:pt>
                <c:pt idx="23">
                  <c:v>0.38102260480226818</c:v>
                </c:pt>
                <c:pt idx="24">
                  <c:v>0.37233421607096734</c:v>
                </c:pt>
                <c:pt idx="25">
                  <c:v>0.3734799938633302</c:v>
                </c:pt>
                <c:pt idx="26">
                  <c:v>0.37149664933221838</c:v>
                </c:pt>
                <c:pt idx="27">
                  <c:v>0.37870143789060634</c:v>
                </c:pt>
                <c:pt idx="28">
                  <c:v>0.37400019756115588</c:v>
                </c:pt>
                <c:pt idx="29">
                  <c:v>0.37904688471523018</c:v>
                </c:pt>
                <c:pt idx="30">
                  <c:v>0.38237533648517841</c:v>
                </c:pt>
                <c:pt idx="31">
                  <c:v>0.37809347776340985</c:v>
                </c:pt>
                <c:pt idx="32">
                  <c:v>0.3839803848268557</c:v>
                </c:pt>
                <c:pt idx="33">
                  <c:v>0.39775214116260876</c:v>
                </c:pt>
                <c:pt idx="34">
                  <c:v>0.37894323840870031</c:v>
                </c:pt>
                <c:pt idx="35">
                  <c:v>0.37593689597537461</c:v>
                </c:pt>
                <c:pt idx="36">
                  <c:v>0.37687233070210541</c:v>
                </c:pt>
                <c:pt idx="37">
                  <c:v>0.37379143716957514</c:v>
                </c:pt>
                <c:pt idx="38">
                  <c:v>0.37694839939967634</c:v>
                </c:pt>
                <c:pt idx="39">
                  <c:v>0.37984290595553549</c:v>
                </c:pt>
                <c:pt idx="40">
                  <c:v>0.37528001817738466</c:v>
                </c:pt>
                <c:pt idx="41">
                  <c:v>0.37934752661679866</c:v>
                </c:pt>
                <c:pt idx="42">
                  <c:v>0.37710741354742461</c:v>
                </c:pt>
                <c:pt idx="43">
                  <c:v>0.37244619925685957</c:v>
                </c:pt>
                <c:pt idx="44">
                  <c:v>0.3822214806516242</c:v>
                </c:pt>
                <c:pt idx="45">
                  <c:v>0.37670663172524099</c:v>
                </c:pt>
                <c:pt idx="46">
                  <c:v>0.38031216596869799</c:v>
                </c:pt>
                <c:pt idx="47">
                  <c:v>0.37913980821948445</c:v>
                </c:pt>
                <c:pt idx="48">
                  <c:v>0.37917829053249869</c:v>
                </c:pt>
                <c:pt idx="49">
                  <c:v>0.37641425811380091</c:v>
                </c:pt>
                <c:pt idx="50">
                  <c:v>0.38219020369830781</c:v>
                </c:pt>
                <c:pt idx="51">
                  <c:v>0.38096483083455468</c:v>
                </c:pt>
                <c:pt idx="52">
                  <c:v>0.38031617497805614</c:v>
                </c:pt>
                <c:pt idx="53">
                  <c:v>0.38357549653654793</c:v>
                </c:pt>
                <c:pt idx="54">
                  <c:v>0.38153166186436982</c:v>
                </c:pt>
                <c:pt idx="55">
                  <c:v>0.37845081541903186</c:v>
                </c:pt>
                <c:pt idx="56">
                  <c:v>0.38930040329253685</c:v>
                </c:pt>
                <c:pt idx="57">
                  <c:v>0.38507306950180548</c:v>
                </c:pt>
                <c:pt idx="58">
                  <c:v>0.38604379378534676</c:v>
                </c:pt>
                <c:pt idx="59">
                  <c:v>0.38453497571881257</c:v>
                </c:pt>
                <c:pt idx="60">
                  <c:v>0.38113299723766075</c:v>
                </c:pt>
                <c:pt idx="61">
                  <c:v>0.38766207611268</c:v>
                </c:pt>
                <c:pt idx="62">
                  <c:v>0.39251358342284087</c:v>
                </c:pt>
                <c:pt idx="63">
                  <c:v>0.40059075391574589</c:v>
                </c:pt>
                <c:pt idx="64">
                  <c:v>0.39858459600896912</c:v>
                </c:pt>
                <c:pt idx="65">
                  <c:v>0.40261051985981394</c:v>
                </c:pt>
              </c:numCache>
            </c:numRef>
          </c:val>
        </c:ser>
        <c:ser>
          <c:idx val="1"/>
          <c:order val="1"/>
          <c:tx>
            <c:strRef>
              <c:f>'5 years'!$AF$1</c:f>
              <c:strCache>
                <c:ptCount val="1"/>
                <c:pt idx="0">
                  <c:v>U2 Ratio</c:v>
                </c:pt>
              </c:strCache>
            </c:strRef>
          </c:tx>
          <c:marker>
            <c:symbol val="none"/>
          </c:marker>
          <c:cat>
            <c:strRef>
              <c:f>'5 years'!$A$2:$A$67</c:f>
              <c:strCache>
                <c:ptCount val="66"/>
                <c:pt idx="0">
                  <c:v>     Jul-05</c:v>
                </c:pt>
                <c:pt idx="1">
                  <c:v>Aug-05</c:v>
                </c:pt>
                <c:pt idx="2">
                  <c:v>Sep-05</c:v>
                </c:pt>
                <c:pt idx="3">
                  <c:v>Oct-05</c:v>
                </c:pt>
                <c:pt idx="4">
                  <c:v>Nov-05</c:v>
                </c:pt>
                <c:pt idx="5">
                  <c:v>Dec-05</c:v>
                </c:pt>
                <c:pt idx="6">
                  <c:v>Jan-06</c:v>
                </c:pt>
                <c:pt idx="7">
                  <c:v>Feb-06</c:v>
                </c:pt>
                <c:pt idx="8">
                  <c:v>Mar-06</c:v>
                </c:pt>
                <c:pt idx="9">
                  <c:v>Apr-06</c:v>
                </c:pt>
                <c:pt idx="10">
                  <c:v>May-06</c:v>
                </c:pt>
                <c:pt idx="11">
                  <c:v>Jun-06</c:v>
                </c:pt>
                <c:pt idx="12">
                  <c:v>Jul-06</c:v>
                </c:pt>
                <c:pt idx="13">
                  <c:v>Aug-06</c:v>
                </c:pt>
                <c:pt idx="14">
                  <c:v>Sep-06</c:v>
                </c:pt>
                <c:pt idx="15">
                  <c:v>Oct-06</c:v>
                </c:pt>
                <c:pt idx="16">
                  <c:v>Nov-06</c:v>
                </c:pt>
                <c:pt idx="17">
                  <c:v>Dec-06</c:v>
                </c:pt>
                <c:pt idx="18">
                  <c:v>Jan-07</c:v>
                </c:pt>
                <c:pt idx="19">
                  <c:v>Feb-07</c:v>
                </c:pt>
                <c:pt idx="20">
                  <c:v>Mar-07</c:v>
                </c:pt>
                <c:pt idx="21">
                  <c:v>Apr-07</c:v>
                </c:pt>
                <c:pt idx="22">
                  <c:v>May-07</c:v>
                </c:pt>
                <c:pt idx="23">
                  <c:v>Jun-07</c:v>
                </c:pt>
                <c:pt idx="24">
                  <c:v>Jul-07</c:v>
                </c:pt>
                <c:pt idx="25">
                  <c:v>Aug-07</c:v>
                </c:pt>
                <c:pt idx="26">
                  <c:v>Sep-07</c:v>
                </c:pt>
                <c:pt idx="27">
                  <c:v>Oct-07</c:v>
                </c:pt>
                <c:pt idx="28">
                  <c:v>Nov-07</c:v>
                </c:pt>
                <c:pt idx="29">
                  <c:v>Dec-07</c:v>
                </c:pt>
                <c:pt idx="30">
                  <c:v>Jan-08</c:v>
                </c:pt>
                <c:pt idx="31">
                  <c:v>Feb-08</c:v>
                </c:pt>
                <c:pt idx="32">
                  <c:v>Mar-08</c:v>
                </c:pt>
                <c:pt idx="33">
                  <c:v>Apr-08</c:v>
                </c:pt>
                <c:pt idx="34">
                  <c:v>May-08</c:v>
                </c:pt>
                <c:pt idx="35">
                  <c:v>Jun-08</c:v>
                </c:pt>
                <c:pt idx="36">
                  <c:v>Jul-08</c:v>
                </c:pt>
                <c:pt idx="37">
                  <c:v>Aug-08</c:v>
                </c:pt>
                <c:pt idx="38">
                  <c:v>Sep-08</c:v>
                </c:pt>
                <c:pt idx="39">
                  <c:v>Oct-08</c:v>
                </c:pt>
                <c:pt idx="40">
                  <c:v>Nov-08</c:v>
                </c:pt>
                <c:pt idx="41">
                  <c:v>Dec-08</c:v>
                </c:pt>
                <c:pt idx="42">
                  <c:v>Jan-09</c:v>
                </c:pt>
                <c:pt idx="43">
                  <c:v>Feb-09</c:v>
                </c:pt>
                <c:pt idx="44">
                  <c:v>Mar-09</c:v>
                </c:pt>
                <c:pt idx="45">
                  <c:v>Apr-09</c:v>
                </c:pt>
                <c:pt idx="46">
                  <c:v>May-09</c:v>
                </c:pt>
                <c:pt idx="47">
                  <c:v>Jun-09</c:v>
                </c:pt>
                <c:pt idx="48">
                  <c:v>Jul-09</c:v>
                </c:pt>
                <c:pt idx="49">
                  <c:v>Aug-09</c:v>
                </c:pt>
                <c:pt idx="50">
                  <c:v>Sep-09</c:v>
                </c:pt>
                <c:pt idx="51">
                  <c:v>Oct-09</c:v>
                </c:pt>
                <c:pt idx="52">
                  <c:v>Nov-09</c:v>
                </c:pt>
                <c:pt idx="53">
                  <c:v>Dec-09</c:v>
                </c:pt>
                <c:pt idx="54">
                  <c:v>Jan-10</c:v>
                </c:pt>
                <c:pt idx="55">
                  <c:v>Feb-10</c:v>
                </c:pt>
                <c:pt idx="56">
                  <c:v>Mar-10</c:v>
                </c:pt>
                <c:pt idx="57">
                  <c:v>Apr-10</c:v>
                </c:pt>
                <c:pt idx="58">
                  <c:v>May-10</c:v>
                </c:pt>
                <c:pt idx="59">
                  <c:v>Jun-10</c:v>
                </c:pt>
                <c:pt idx="60">
                  <c:v>Jul-10</c:v>
                </c:pt>
                <c:pt idx="61">
                  <c:v>Aug-10</c:v>
                </c:pt>
                <c:pt idx="62">
                  <c:v>Sep-10</c:v>
                </c:pt>
                <c:pt idx="63">
                  <c:v>Oct-10</c:v>
                </c:pt>
                <c:pt idx="64">
                  <c:v>Nov-10</c:v>
                </c:pt>
                <c:pt idx="65">
                  <c:v>Dec-10</c:v>
                </c:pt>
              </c:strCache>
            </c:strRef>
          </c:cat>
          <c:val>
            <c:numRef>
              <c:f>'5 years'!$AF$2:$AF$67</c:f>
              <c:numCache>
                <c:formatCode>0.00%</c:formatCode>
                <c:ptCount val="66"/>
                <c:pt idx="0">
                  <c:v>0.28015334346330623</c:v>
                </c:pt>
                <c:pt idx="1">
                  <c:v>0.2793769925391027</c:v>
                </c:pt>
                <c:pt idx="2">
                  <c:v>0.27844076592471412</c:v>
                </c:pt>
                <c:pt idx="3">
                  <c:v>0.27721901182159142</c:v>
                </c:pt>
                <c:pt idx="4">
                  <c:v>0.27598065491055457</c:v>
                </c:pt>
                <c:pt idx="5">
                  <c:v>0.27952577290037789</c:v>
                </c:pt>
                <c:pt idx="6">
                  <c:v>0.27638457629217006</c:v>
                </c:pt>
                <c:pt idx="7">
                  <c:v>0.27687916364396564</c:v>
                </c:pt>
                <c:pt idx="8">
                  <c:v>0.27212288068160601</c:v>
                </c:pt>
                <c:pt idx="9">
                  <c:v>0.27502637877914521</c:v>
                </c:pt>
                <c:pt idx="10">
                  <c:v>0.27364044110352348</c:v>
                </c:pt>
                <c:pt idx="11">
                  <c:v>0.27497440703362069</c:v>
                </c:pt>
                <c:pt idx="12">
                  <c:v>0.29127440146437023</c:v>
                </c:pt>
                <c:pt idx="13">
                  <c:v>0.28213785918440448</c:v>
                </c:pt>
                <c:pt idx="14">
                  <c:v>0.27710846524485844</c:v>
                </c:pt>
                <c:pt idx="15">
                  <c:v>0.28391514457489775</c:v>
                </c:pt>
                <c:pt idx="16">
                  <c:v>0.27450700275803636</c:v>
                </c:pt>
                <c:pt idx="17">
                  <c:v>0.26188439403928926</c:v>
                </c:pt>
                <c:pt idx="18">
                  <c:v>0.25716114916580951</c:v>
                </c:pt>
                <c:pt idx="19">
                  <c:v>0.27278588341245091</c:v>
                </c:pt>
                <c:pt idx="20">
                  <c:v>0.2870328773291847</c:v>
                </c:pt>
                <c:pt idx="21">
                  <c:v>0.24618918206585183</c:v>
                </c:pt>
                <c:pt idx="22">
                  <c:v>0.24116871395262685</c:v>
                </c:pt>
                <c:pt idx="23">
                  <c:v>0.23847851465378581</c:v>
                </c:pt>
                <c:pt idx="24">
                  <c:v>0.26767887597342621</c:v>
                </c:pt>
                <c:pt idx="25">
                  <c:v>0.2673395424818561</c:v>
                </c:pt>
                <c:pt idx="26">
                  <c:v>0.26866846674352235</c:v>
                </c:pt>
                <c:pt idx="27">
                  <c:v>0.26485290991259558</c:v>
                </c:pt>
                <c:pt idx="28">
                  <c:v>0.26744715458534246</c:v>
                </c:pt>
                <c:pt idx="29">
                  <c:v>0.26749431973497434</c:v>
                </c:pt>
                <c:pt idx="30">
                  <c:v>0.26401224427387859</c:v>
                </c:pt>
                <c:pt idx="31">
                  <c:v>0.26649900984629327</c:v>
                </c:pt>
                <c:pt idx="32">
                  <c:v>0.26446335653852554</c:v>
                </c:pt>
                <c:pt idx="33">
                  <c:v>0.25774454205579034</c:v>
                </c:pt>
                <c:pt idx="34">
                  <c:v>0.28689417586025262</c:v>
                </c:pt>
                <c:pt idx="35">
                  <c:v>0.29312205241092215</c:v>
                </c:pt>
                <c:pt idx="36">
                  <c:v>0.2930658691451779</c:v>
                </c:pt>
                <c:pt idx="37">
                  <c:v>0.29393417415743467</c:v>
                </c:pt>
                <c:pt idx="38">
                  <c:v>0.29438958375091417</c:v>
                </c:pt>
                <c:pt idx="39">
                  <c:v>0.28995035388623058</c:v>
                </c:pt>
                <c:pt idx="40">
                  <c:v>0.29152579278721336</c:v>
                </c:pt>
                <c:pt idx="41">
                  <c:v>0.28953385855663372</c:v>
                </c:pt>
                <c:pt idx="42">
                  <c:v>0.29027377024508938</c:v>
                </c:pt>
                <c:pt idx="43">
                  <c:v>0.29049472473033622</c:v>
                </c:pt>
                <c:pt idx="44">
                  <c:v>0.28720503094017624</c:v>
                </c:pt>
                <c:pt idx="45">
                  <c:v>0.28987317603942425</c:v>
                </c:pt>
                <c:pt idx="46">
                  <c:v>0.28942418946351645</c:v>
                </c:pt>
                <c:pt idx="47">
                  <c:v>0.28943974146062162</c:v>
                </c:pt>
                <c:pt idx="48">
                  <c:v>0.29038512424749724</c:v>
                </c:pt>
                <c:pt idx="49">
                  <c:v>0.29037375100581142</c:v>
                </c:pt>
                <c:pt idx="50">
                  <c:v>0.28783705592638842</c:v>
                </c:pt>
                <c:pt idx="51">
                  <c:v>0.28722802757731564</c:v>
                </c:pt>
                <c:pt idx="52">
                  <c:v>0.28717195585550315</c:v>
                </c:pt>
                <c:pt idx="53">
                  <c:v>0.28661384953771302</c:v>
                </c:pt>
                <c:pt idx="54">
                  <c:v>0.28808898042578224</c:v>
                </c:pt>
                <c:pt idx="55">
                  <c:v>0.28763759892610397</c:v>
                </c:pt>
                <c:pt idx="56">
                  <c:v>0.28472874917190999</c:v>
                </c:pt>
                <c:pt idx="57">
                  <c:v>0.28698071081491339</c:v>
                </c:pt>
                <c:pt idx="58">
                  <c:v>0.28735824451250941</c:v>
                </c:pt>
                <c:pt idx="59">
                  <c:v>0.28809098549268386</c:v>
                </c:pt>
                <c:pt idx="60">
                  <c:v>0.29000622540094634</c:v>
                </c:pt>
                <c:pt idx="61">
                  <c:v>0.29037695501243077</c:v>
                </c:pt>
                <c:pt idx="62">
                  <c:v>0.29080672483830095</c:v>
                </c:pt>
                <c:pt idx="63">
                  <c:v>0.28937416679248379</c:v>
                </c:pt>
                <c:pt idx="64">
                  <c:v>0.28915841391542135</c:v>
                </c:pt>
                <c:pt idx="65">
                  <c:v>0.28908120003277082</c:v>
                </c:pt>
              </c:numCache>
            </c:numRef>
          </c:val>
        </c:ser>
        <c:ser>
          <c:idx val="2"/>
          <c:order val="2"/>
          <c:tx>
            <c:strRef>
              <c:f>'5 years'!$AG$1</c:f>
              <c:strCache>
                <c:ptCount val="1"/>
                <c:pt idx="0">
                  <c:v>U3 Ratio</c:v>
                </c:pt>
              </c:strCache>
            </c:strRef>
          </c:tx>
          <c:marker>
            <c:symbol val="none"/>
          </c:marker>
          <c:cat>
            <c:strRef>
              <c:f>'5 years'!$A$2:$A$67</c:f>
              <c:strCache>
                <c:ptCount val="66"/>
                <c:pt idx="0">
                  <c:v>     Jul-05</c:v>
                </c:pt>
                <c:pt idx="1">
                  <c:v>Aug-05</c:v>
                </c:pt>
                <c:pt idx="2">
                  <c:v>Sep-05</c:v>
                </c:pt>
                <c:pt idx="3">
                  <c:v>Oct-05</c:v>
                </c:pt>
                <c:pt idx="4">
                  <c:v>Nov-05</c:v>
                </c:pt>
                <c:pt idx="5">
                  <c:v>Dec-05</c:v>
                </c:pt>
                <c:pt idx="6">
                  <c:v>Jan-06</c:v>
                </c:pt>
                <c:pt idx="7">
                  <c:v>Feb-06</c:v>
                </c:pt>
                <c:pt idx="8">
                  <c:v>Mar-06</c:v>
                </c:pt>
                <c:pt idx="9">
                  <c:v>Apr-06</c:v>
                </c:pt>
                <c:pt idx="10">
                  <c:v>May-06</c:v>
                </c:pt>
                <c:pt idx="11">
                  <c:v>Jun-06</c:v>
                </c:pt>
                <c:pt idx="12">
                  <c:v>Jul-06</c:v>
                </c:pt>
                <c:pt idx="13">
                  <c:v>Aug-06</c:v>
                </c:pt>
                <c:pt idx="14">
                  <c:v>Sep-06</c:v>
                </c:pt>
                <c:pt idx="15">
                  <c:v>Oct-06</c:v>
                </c:pt>
                <c:pt idx="16">
                  <c:v>Nov-06</c:v>
                </c:pt>
                <c:pt idx="17">
                  <c:v>Dec-06</c:v>
                </c:pt>
                <c:pt idx="18">
                  <c:v>Jan-07</c:v>
                </c:pt>
                <c:pt idx="19">
                  <c:v>Feb-07</c:v>
                </c:pt>
                <c:pt idx="20">
                  <c:v>Mar-07</c:v>
                </c:pt>
                <c:pt idx="21">
                  <c:v>Apr-07</c:v>
                </c:pt>
                <c:pt idx="22">
                  <c:v>May-07</c:v>
                </c:pt>
                <c:pt idx="23">
                  <c:v>Jun-07</c:v>
                </c:pt>
                <c:pt idx="24">
                  <c:v>Jul-07</c:v>
                </c:pt>
                <c:pt idx="25">
                  <c:v>Aug-07</c:v>
                </c:pt>
                <c:pt idx="26">
                  <c:v>Sep-07</c:v>
                </c:pt>
                <c:pt idx="27">
                  <c:v>Oct-07</c:v>
                </c:pt>
                <c:pt idx="28">
                  <c:v>Nov-07</c:v>
                </c:pt>
                <c:pt idx="29">
                  <c:v>Dec-07</c:v>
                </c:pt>
                <c:pt idx="30">
                  <c:v>Jan-08</c:v>
                </c:pt>
                <c:pt idx="31">
                  <c:v>Feb-08</c:v>
                </c:pt>
                <c:pt idx="32">
                  <c:v>Mar-08</c:v>
                </c:pt>
                <c:pt idx="33">
                  <c:v>Apr-08</c:v>
                </c:pt>
                <c:pt idx="34">
                  <c:v>May-08</c:v>
                </c:pt>
                <c:pt idx="35">
                  <c:v>Jun-08</c:v>
                </c:pt>
                <c:pt idx="36">
                  <c:v>Jul-08</c:v>
                </c:pt>
                <c:pt idx="37">
                  <c:v>Aug-08</c:v>
                </c:pt>
                <c:pt idx="38">
                  <c:v>Sep-08</c:v>
                </c:pt>
                <c:pt idx="39">
                  <c:v>Oct-08</c:v>
                </c:pt>
                <c:pt idx="40">
                  <c:v>Nov-08</c:v>
                </c:pt>
                <c:pt idx="41">
                  <c:v>Dec-08</c:v>
                </c:pt>
                <c:pt idx="42">
                  <c:v>Jan-09</c:v>
                </c:pt>
                <c:pt idx="43">
                  <c:v>Feb-09</c:v>
                </c:pt>
                <c:pt idx="44">
                  <c:v>Mar-09</c:v>
                </c:pt>
                <c:pt idx="45">
                  <c:v>Apr-09</c:v>
                </c:pt>
                <c:pt idx="46">
                  <c:v>May-09</c:v>
                </c:pt>
                <c:pt idx="47">
                  <c:v>Jun-09</c:v>
                </c:pt>
                <c:pt idx="48">
                  <c:v>Jul-09</c:v>
                </c:pt>
                <c:pt idx="49">
                  <c:v>Aug-09</c:v>
                </c:pt>
                <c:pt idx="50">
                  <c:v>Sep-09</c:v>
                </c:pt>
                <c:pt idx="51">
                  <c:v>Oct-09</c:v>
                </c:pt>
                <c:pt idx="52">
                  <c:v>Nov-09</c:v>
                </c:pt>
                <c:pt idx="53">
                  <c:v>Dec-09</c:v>
                </c:pt>
                <c:pt idx="54">
                  <c:v>Jan-10</c:v>
                </c:pt>
                <c:pt idx="55">
                  <c:v>Feb-10</c:v>
                </c:pt>
                <c:pt idx="56">
                  <c:v>Mar-10</c:v>
                </c:pt>
                <c:pt idx="57">
                  <c:v>Apr-10</c:v>
                </c:pt>
                <c:pt idx="58">
                  <c:v>May-10</c:v>
                </c:pt>
                <c:pt idx="59">
                  <c:v>Jun-10</c:v>
                </c:pt>
                <c:pt idx="60">
                  <c:v>Jul-10</c:v>
                </c:pt>
                <c:pt idx="61">
                  <c:v>Aug-10</c:v>
                </c:pt>
                <c:pt idx="62">
                  <c:v>Sep-10</c:v>
                </c:pt>
                <c:pt idx="63">
                  <c:v>Oct-10</c:v>
                </c:pt>
                <c:pt idx="64">
                  <c:v>Nov-10</c:v>
                </c:pt>
                <c:pt idx="65">
                  <c:v>Dec-10</c:v>
                </c:pt>
              </c:strCache>
            </c:strRef>
          </c:cat>
          <c:val>
            <c:numRef>
              <c:f>'5 years'!$AG$2:$AG$67</c:f>
              <c:numCache>
                <c:formatCode>0.00%</c:formatCode>
                <c:ptCount val="66"/>
                <c:pt idx="0">
                  <c:v>0.34711957837628271</c:v>
                </c:pt>
                <c:pt idx="1">
                  <c:v>0.34645646882537168</c:v>
                </c:pt>
                <c:pt idx="2">
                  <c:v>0.35032494152784877</c:v>
                </c:pt>
                <c:pt idx="3">
                  <c:v>0.34770382300041258</c:v>
                </c:pt>
                <c:pt idx="4">
                  <c:v>0.35090963526573621</c:v>
                </c:pt>
                <c:pt idx="5">
                  <c:v>0.35216139854658757</c:v>
                </c:pt>
                <c:pt idx="6">
                  <c:v>0.35405702544186096</c:v>
                </c:pt>
                <c:pt idx="7">
                  <c:v>0.35980768786145806</c:v>
                </c:pt>
                <c:pt idx="8">
                  <c:v>0.35440718479686817</c:v>
                </c:pt>
                <c:pt idx="9">
                  <c:v>0.3611776653822138</c:v>
                </c:pt>
                <c:pt idx="10">
                  <c:v>0.35793981854501561</c:v>
                </c:pt>
                <c:pt idx="11">
                  <c:v>0.36097258958865114</c:v>
                </c:pt>
                <c:pt idx="12">
                  <c:v>0.35363482268150248</c:v>
                </c:pt>
                <c:pt idx="13">
                  <c:v>0.35838500756908315</c:v>
                </c:pt>
                <c:pt idx="14">
                  <c:v>0.36148982131854596</c:v>
                </c:pt>
                <c:pt idx="15">
                  <c:v>0.35347155690395365</c:v>
                </c:pt>
                <c:pt idx="16">
                  <c:v>0.36419917884539382</c:v>
                </c:pt>
                <c:pt idx="17">
                  <c:v>0.36474222735465761</c:v>
                </c:pt>
                <c:pt idx="18">
                  <c:v>0.36426163413286461</c:v>
                </c:pt>
                <c:pt idx="19">
                  <c:v>0.36657638515665136</c:v>
                </c:pt>
                <c:pt idx="20">
                  <c:v>0.35193395229192281</c:v>
                </c:pt>
                <c:pt idx="21">
                  <c:v>0.38439673304357025</c:v>
                </c:pt>
                <c:pt idx="22">
                  <c:v>0.37690272591117396</c:v>
                </c:pt>
                <c:pt idx="23">
                  <c:v>0.38049888054394598</c:v>
                </c:pt>
                <c:pt idx="24">
                  <c:v>0.35998690795560639</c:v>
                </c:pt>
                <c:pt idx="25">
                  <c:v>0.35918046365481371</c:v>
                </c:pt>
                <c:pt idx="26">
                  <c:v>0.35983488392425922</c:v>
                </c:pt>
                <c:pt idx="27">
                  <c:v>0.35644565219679808</c:v>
                </c:pt>
                <c:pt idx="28">
                  <c:v>0.35855264785350166</c:v>
                </c:pt>
                <c:pt idx="29">
                  <c:v>0.35345879554979548</c:v>
                </c:pt>
                <c:pt idx="30">
                  <c:v>0.353612419240943</c:v>
                </c:pt>
                <c:pt idx="31">
                  <c:v>0.35540751239029689</c:v>
                </c:pt>
                <c:pt idx="32">
                  <c:v>0.35155625863461881</c:v>
                </c:pt>
                <c:pt idx="33">
                  <c:v>0.3445033167816009</c:v>
                </c:pt>
                <c:pt idx="34">
                  <c:v>0.33416258573104712</c:v>
                </c:pt>
                <c:pt idx="35">
                  <c:v>0.33094105161370324</c:v>
                </c:pt>
                <c:pt idx="36">
                  <c:v>0.33006180015271669</c:v>
                </c:pt>
                <c:pt idx="37">
                  <c:v>0.3322743886729902</c:v>
                </c:pt>
                <c:pt idx="38">
                  <c:v>0.32866201684940949</c:v>
                </c:pt>
                <c:pt idx="39">
                  <c:v>0.33020674015823398</c:v>
                </c:pt>
                <c:pt idx="40">
                  <c:v>0.33319418903540199</c:v>
                </c:pt>
                <c:pt idx="41">
                  <c:v>0.33111861482656763</c:v>
                </c:pt>
                <c:pt idx="42">
                  <c:v>0.33261881620748601</c:v>
                </c:pt>
                <c:pt idx="43">
                  <c:v>0.33705907601280422</c:v>
                </c:pt>
                <c:pt idx="44">
                  <c:v>0.33057348840819956</c:v>
                </c:pt>
                <c:pt idx="45">
                  <c:v>0.33342019223533476</c:v>
                </c:pt>
                <c:pt idx="46">
                  <c:v>0.33026364456778556</c:v>
                </c:pt>
                <c:pt idx="47">
                  <c:v>0.33142045031989392</c:v>
                </c:pt>
                <c:pt idx="48">
                  <c:v>0.33043658522000402</c:v>
                </c:pt>
                <c:pt idx="49">
                  <c:v>0.33321199088038761</c:v>
                </c:pt>
                <c:pt idx="50">
                  <c:v>0.32997274037530377</c:v>
                </c:pt>
                <c:pt idx="51">
                  <c:v>0.33180714158812968</c:v>
                </c:pt>
                <c:pt idx="52">
                  <c:v>0.33251186916644077</c:v>
                </c:pt>
                <c:pt idx="53">
                  <c:v>0.32981065392573905</c:v>
                </c:pt>
                <c:pt idx="54">
                  <c:v>0.33037935770984794</c:v>
                </c:pt>
                <c:pt idx="55">
                  <c:v>0.33391158565486417</c:v>
                </c:pt>
                <c:pt idx="56">
                  <c:v>0.32597084753555317</c:v>
                </c:pt>
                <c:pt idx="57">
                  <c:v>0.32794621968328114</c:v>
                </c:pt>
                <c:pt idx="58">
                  <c:v>0.32659796170214384</c:v>
                </c:pt>
                <c:pt idx="59">
                  <c:v>0.32737403878850357</c:v>
                </c:pt>
                <c:pt idx="60">
                  <c:v>0.32886077736139291</c:v>
                </c:pt>
                <c:pt idx="61">
                  <c:v>0.32196096887488923</c:v>
                </c:pt>
                <c:pt idx="62">
                  <c:v>0.31667969173885818</c:v>
                </c:pt>
                <c:pt idx="63">
                  <c:v>0.31003507929177032</c:v>
                </c:pt>
                <c:pt idx="64">
                  <c:v>0.31225699007560959</c:v>
                </c:pt>
                <c:pt idx="65">
                  <c:v>0.30830828010741523</c:v>
                </c:pt>
              </c:numCache>
            </c:numRef>
          </c:val>
        </c:ser>
        <c:marker val="1"/>
        <c:axId val="194647936"/>
        <c:axId val="194649472"/>
      </c:lineChart>
      <c:catAx>
        <c:axId val="194647936"/>
        <c:scaling>
          <c:orientation val="minMax"/>
        </c:scaling>
        <c:axPos val="b"/>
        <c:tickLblPos val="nextTo"/>
        <c:crossAx val="194649472"/>
        <c:crosses val="autoZero"/>
        <c:auto val="1"/>
        <c:lblAlgn val="ctr"/>
        <c:lblOffset val="100"/>
      </c:catAx>
      <c:valAx>
        <c:axId val="194649472"/>
        <c:scaling>
          <c:orientation val="minMax"/>
        </c:scaling>
        <c:axPos val="l"/>
        <c:majorGridlines/>
        <c:numFmt formatCode="0.00%" sourceLinked="1"/>
        <c:tickLblPos val="nextTo"/>
        <c:crossAx val="19464793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'2yfiltered'!$L$5</c:f>
              <c:strCache>
                <c:ptCount val="1"/>
                <c:pt idx="0">
                  <c:v>Data%</c:v>
                </c:pt>
              </c:strCache>
            </c:strRef>
          </c:tx>
          <c:marker>
            <c:symbol val="none"/>
          </c:marker>
          <c:cat>
            <c:strRef>
              <c:f>'2yfiltered'!$G$6:$G$32</c:f>
              <c:strCache>
                <c:ptCount val="26"/>
                <c:pt idx="0">
                  <c:v>01/01/2009</c:v>
                </c:pt>
                <c:pt idx="1">
                  <c:v>01/02/2009</c:v>
                </c:pt>
                <c:pt idx="2">
                  <c:v>01/03/2009</c:v>
                </c:pt>
                <c:pt idx="3">
                  <c:v>01/04/2009</c:v>
                </c:pt>
                <c:pt idx="4">
                  <c:v>01/05/2009</c:v>
                </c:pt>
                <c:pt idx="5">
                  <c:v>01/06/2009</c:v>
                </c:pt>
                <c:pt idx="6">
                  <c:v>01/07/2009</c:v>
                </c:pt>
                <c:pt idx="7">
                  <c:v>01/08/2009</c:v>
                </c:pt>
                <c:pt idx="8">
                  <c:v>01/09/2009</c:v>
                </c:pt>
                <c:pt idx="9">
                  <c:v>01/10/2009</c:v>
                </c:pt>
                <c:pt idx="10">
                  <c:v>01/11/2009</c:v>
                </c:pt>
                <c:pt idx="11">
                  <c:v>01/12/2009</c:v>
                </c:pt>
                <c:pt idx="12">
                  <c:v>01/01/2010</c:v>
                </c:pt>
                <c:pt idx="13">
                  <c:v>01/02/2010</c:v>
                </c:pt>
                <c:pt idx="14">
                  <c:v>01/03/2010</c:v>
                </c:pt>
                <c:pt idx="15">
                  <c:v>01/04/2010</c:v>
                </c:pt>
                <c:pt idx="16">
                  <c:v>01/05/2010</c:v>
                </c:pt>
                <c:pt idx="17">
                  <c:v>01/06/2010</c:v>
                </c:pt>
                <c:pt idx="18">
                  <c:v>01/07/2010</c:v>
                </c:pt>
                <c:pt idx="19">
                  <c:v>01/08/2010</c:v>
                </c:pt>
                <c:pt idx="20">
                  <c:v>01/09/2010</c:v>
                </c:pt>
                <c:pt idx="21">
                  <c:v>01/10/2010</c:v>
                </c:pt>
                <c:pt idx="22">
                  <c:v>01/11/2010</c:v>
                </c:pt>
                <c:pt idx="23">
                  <c:v>01/12/2010</c:v>
                </c:pt>
                <c:pt idx="24">
                  <c:v>01/01/2011</c:v>
                </c:pt>
                <c:pt idx="25">
                  <c:v>Grand Total</c:v>
                </c:pt>
              </c:strCache>
            </c:strRef>
          </c:cat>
          <c:val>
            <c:numRef>
              <c:f>'2yfiltered'!$L$6:$L$32</c:f>
              <c:numCache>
                <c:formatCode>0.00%</c:formatCode>
                <c:ptCount val="27"/>
                <c:pt idx="0">
                  <c:v>3.6666694919790271E-2</c:v>
                </c:pt>
                <c:pt idx="1">
                  <c:v>3.9105533534603026E-2</c:v>
                </c:pt>
                <c:pt idx="2">
                  <c:v>3.9929825084031388E-2</c:v>
                </c:pt>
                <c:pt idx="3">
                  <c:v>3.9883844910702668E-2</c:v>
                </c:pt>
                <c:pt idx="4">
                  <c:v>4.0613456492675129E-2</c:v>
                </c:pt>
                <c:pt idx="5">
                  <c:v>4.1210868557372028E-2</c:v>
                </c:pt>
                <c:pt idx="6">
                  <c:v>4.3401680183027619E-2</c:v>
                </c:pt>
                <c:pt idx="7">
                  <c:v>4.6402259278223022E-2</c:v>
                </c:pt>
                <c:pt idx="8">
                  <c:v>4.5302746948892823E-2</c:v>
                </c:pt>
                <c:pt idx="9">
                  <c:v>4.5848959463190155E-2</c:v>
                </c:pt>
                <c:pt idx="10">
                  <c:v>4.268577293876033E-2</c:v>
                </c:pt>
                <c:pt idx="11">
                  <c:v>4.3097844017547272E-2</c:v>
                </c:pt>
                <c:pt idx="12">
                  <c:v>4.4695931786428875E-2</c:v>
                </c:pt>
                <c:pt idx="13">
                  <c:v>4.7011037713276117E-2</c:v>
                </c:pt>
                <c:pt idx="14">
                  <c:v>5.2758656408644841E-2</c:v>
                </c:pt>
                <c:pt idx="15">
                  <c:v>4.6449319307364519E-2</c:v>
                </c:pt>
                <c:pt idx="16">
                  <c:v>5.1334393689502329E-2</c:v>
                </c:pt>
                <c:pt idx="17">
                  <c:v>5.4828858460127146E-2</c:v>
                </c:pt>
                <c:pt idx="18">
                  <c:v>5.9121391199163306E-2</c:v>
                </c:pt>
                <c:pt idx="19">
                  <c:v>7.3654788737269564E-2</c:v>
                </c:pt>
                <c:pt idx="20">
                  <c:v>7.487461075471312E-2</c:v>
                </c:pt>
                <c:pt idx="21">
                  <c:v>7.3546626746501836E-2</c:v>
                </c:pt>
                <c:pt idx="22">
                  <c:v>7.865690178854455E-2</c:v>
                </c:pt>
                <c:pt idx="23">
                  <c:v>8.158737107606831E-2</c:v>
                </c:pt>
                <c:pt idx="24">
                  <c:v>8.5036328464254365E-2</c:v>
                </c:pt>
                <c:pt idx="25">
                  <c:v>5.5947184054183141E-2</c:v>
                </c:pt>
              </c:numCache>
            </c:numRef>
          </c:val>
        </c:ser>
        <c:ser>
          <c:idx val="1"/>
          <c:order val="1"/>
          <c:tx>
            <c:strRef>
              <c:f>'2yfiltered'!$M$5</c:f>
              <c:strCache>
                <c:ptCount val="1"/>
                <c:pt idx="0">
                  <c:v>SMS%</c:v>
                </c:pt>
              </c:strCache>
            </c:strRef>
          </c:tx>
          <c:marker>
            <c:symbol val="none"/>
          </c:marker>
          <c:cat>
            <c:strRef>
              <c:f>'2yfiltered'!$G$6:$G$32</c:f>
              <c:strCache>
                <c:ptCount val="26"/>
                <c:pt idx="0">
                  <c:v>01/01/2009</c:v>
                </c:pt>
                <c:pt idx="1">
                  <c:v>01/02/2009</c:v>
                </c:pt>
                <c:pt idx="2">
                  <c:v>01/03/2009</c:v>
                </c:pt>
                <c:pt idx="3">
                  <c:v>01/04/2009</c:v>
                </c:pt>
                <c:pt idx="4">
                  <c:v>01/05/2009</c:v>
                </c:pt>
                <c:pt idx="5">
                  <c:v>01/06/2009</c:v>
                </c:pt>
                <c:pt idx="6">
                  <c:v>01/07/2009</c:v>
                </c:pt>
                <c:pt idx="7">
                  <c:v>01/08/2009</c:v>
                </c:pt>
                <c:pt idx="8">
                  <c:v>01/09/2009</c:v>
                </c:pt>
                <c:pt idx="9">
                  <c:v>01/10/2009</c:v>
                </c:pt>
                <c:pt idx="10">
                  <c:v>01/11/2009</c:v>
                </c:pt>
                <c:pt idx="11">
                  <c:v>01/12/2009</c:v>
                </c:pt>
                <c:pt idx="12">
                  <c:v>01/01/2010</c:v>
                </c:pt>
                <c:pt idx="13">
                  <c:v>01/02/2010</c:v>
                </c:pt>
                <c:pt idx="14">
                  <c:v>01/03/2010</c:v>
                </c:pt>
                <c:pt idx="15">
                  <c:v>01/04/2010</c:v>
                </c:pt>
                <c:pt idx="16">
                  <c:v>01/05/2010</c:v>
                </c:pt>
                <c:pt idx="17">
                  <c:v>01/06/2010</c:v>
                </c:pt>
                <c:pt idx="18">
                  <c:v>01/07/2010</c:v>
                </c:pt>
                <c:pt idx="19">
                  <c:v>01/08/2010</c:v>
                </c:pt>
                <c:pt idx="20">
                  <c:v>01/09/2010</c:v>
                </c:pt>
                <c:pt idx="21">
                  <c:v>01/10/2010</c:v>
                </c:pt>
                <c:pt idx="22">
                  <c:v>01/11/2010</c:v>
                </c:pt>
                <c:pt idx="23">
                  <c:v>01/12/2010</c:v>
                </c:pt>
                <c:pt idx="24">
                  <c:v>01/01/2011</c:v>
                </c:pt>
                <c:pt idx="25">
                  <c:v>Grand Total</c:v>
                </c:pt>
              </c:strCache>
            </c:strRef>
          </c:cat>
          <c:val>
            <c:numRef>
              <c:f>'2yfiltered'!$M$6:$M$32</c:f>
              <c:numCache>
                <c:formatCode>0.00%</c:formatCode>
                <c:ptCount val="27"/>
                <c:pt idx="0">
                  <c:v>0.63750341427994939</c:v>
                </c:pt>
                <c:pt idx="1">
                  <c:v>0.63149281917898969</c:v>
                </c:pt>
                <c:pt idx="2">
                  <c:v>0.6380584353071338</c:v>
                </c:pt>
                <c:pt idx="3">
                  <c:v>0.63078526196255513</c:v>
                </c:pt>
                <c:pt idx="4">
                  <c:v>0.62638362285763294</c:v>
                </c:pt>
                <c:pt idx="5">
                  <c:v>0.62984988277780241</c:v>
                </c:pt>
                <c:pt idx="6">
                  <c:v>0.64475251571755865</c:v>
                </c:pt>
                <c:pt idx="7">
                  <c:v>0.63183627232188744</c:v>
                </c:pt>
                <c:pt idx="8">
                  <c:v>0.65618068659147899</c:v>
                </c:pt>
                <c:pt idx="9">
                  <c:v>0.67430674826838499</c:v>
                </c:pt>
                <c:pt idx="10">
                  <c:v>0.69843451962138547</c:v>
                </c:pt>
                <c:pt idx="11">
                  <c:v>0.7108190507203016</c:v>
                </c:pt>
                <c:pt idx="12">
                  <c:v>0.74117859191388225</c:v>
                </c:pt>
                <c:pt idx="13">
                  <c:v>0.73677577379902404</c:v>
                </c:pt>
                <c:pt idx="14">
                  <c:v>0.73086642877500718</c:v>
                </c:pt>
                <c:pt idx="15">
                  <c:v>0.73409713257873666</c:v>
                </c:pt>
                <c:pt idx="16">
                  <c:v>0.72717277316005524</c:v>
                </c:pt>
                <c:pt idx="17">
                  <c:v>0.71715705457782075</c:v>
                </c:pt>
                <c:pt idx="18">
                  <c:v>0.72084669713022109</c:v>
                </c:pt>
                <c:pt idx="19">
                  <c:v>0.70810004723862596</c:v>
                </c:pt>
                <c:pt idx="20">
                  <c:v>0.72153555400147962</c:v>
                </c:pt>
                <c:pt idx="21">
                  <c:v>0.73414975868333554</c:v>
                </c:pt>
                <c:pt idx="22">
                  <c:v>0.74020422137235387</c:v>
                </c:pt>
                <c:pt idx="23">
                  <c:v>0.74983905407849716</c:v>
                </c:pt>
                <c:pt idx="24">
                  <c:v>0.76613509909253286</c:v>
                </c:pt>
                <c:pt idx="25">
                  <c:v>0.70250809007458004</c:v>
                </c:pt>
              </c:numCache>
            </c:numRef>
          </c:val>
        </c:ser>
        <c:ser>
          <c:idx val="2"/>
          <c:order val="2"/>
          <c:tx>
            <c:strRef>
              <c:f>'2yfiltered'!$N$5</c:f>
              <c:strCache>
                <c:ptCount val="1"/>
                <c:pt idx="0">
                  <c:v>Voice%</c:v>
                </c:pt>
              </c:strCache>
            </c:strRef>
          </c:tx>
          <c:marker>
            <c:symbol val="none"/>
          </c:marker>
          <c:cat>
            <c:strRef>
              <c:f>'2yfiltered'!$G$6:$G$32</c:f>
              <c:strCache>
                <c:ptCount val="26"/>
                <c:pt idx="0">
                  <c:v>01/01/2009</c:v>
                </c:pt>
                <c:pt idx="1">
                  <c:v>01/02/2009</c:v>
                </c:pt>
                <c:pt idx="2">
                  <c:v>01/03/2009</c:v>
                </c:pt>
                <c:pt idx="3">
                  <c:v>01/04/2009</c:v>
                </c:pt>
                <c:pt idx="4">
                  <c:v>01/05/2009</c:v>
                </c:pt>
                <c:pt idx="5">
                  <c:v>01/06/2009</c:v>
                </c:pt>
                <c:pt idx="6">
                  <c:v>01/07/2009</c:v>
                </c:pt>
                <c:pt idx="7">
                  <c:v>01/08/2009</c:v>
                </c:pt>
                <c:pt idx="8">
                  <c:v>01/09/2009</c:v>
                </c:pt>
                <c:pt idx="9">
                  <c:v>01/10/2009</c:v>
                </c:pt>
                <c:pt idx="10">
                  <c:v>01/11/2009</c:v>
                </c:pt>
                <c:pt idx="11">
                  <c:v>01/12/2009</c:v>
                </c:pt>
                <c:pt idx="12">
                  <c:v>01/01/2010</c:v>
                </c:pt>
                <c:pt idx="13">
                  <c:v>01/02/2010</c:v>
                </c:pt>
                <c:pt idx="14">
                  <c:v>01/03/2010</c:v>
                </c:pt>
                <c:pt idx="15">
                  <c:v>01/04/2010</c:v>
                </c:pt>
                <c:pt idx="16">
                  <c:v>01/05/2010</c:v>
                </c:pt>
                <c:pt idx="17">
                  <c:v>01/06/2010</c:v>
                </c:pt>
                <c:pt idx="18">
                  <c:v>01/07/2010</c:v>
                </c:pt>
                <c:pt idx="19">
                  <c:v>01/08/2010</c:v>
                </c:pt>
                <c:pt idx="20">
                  <c:v>01/09/2010</c:v>
                </c:pt>
                <c:pt idx="21">
                  <c:v>01/10/2010</c:v>
                </c:pt>
                <c:pt idx="22">
                  <c:v>01/11/2010</c:v>
                </c:pt>
                <c:pt idx="23">
                  <c:v>01/12/2010</c:v>
                </c:pt>
                <c:pt idx="24">
                  <c:v>01/01/2011</c:v>
                </c:pt>
                <c:pt idx="25">
                  <c:v>Grand Total</c:v>
                </c:pt>
              </c:strCache>
            </c:strRef>
          </c:cat>
          <c:val>
            <c:numRef>
              <c:f>'2yfiltered'!$N$6:$N$32</c:f>
              <c:numCache>
                <c:formatCode>0.00%</c:formatCode>
                <c:ptCount val="27"/>
                <c:pt idx="0">
                  <c:v>0.32582989080026037</c:v>
                </c:pt>
                <c:pt idx="1">
                  <c:v>0.32940164728640725</c:v>
                </c:pt>
                <c:pt idx="2">
                  <c:v>0.32201173960883483</c:v>
                </c:pt>
                <c:pt idx="3">
                  <c:v>0.32933089312674224</c:v>
                </c:pt>
                <c:pt idx="4">
                  <c:v>0.333002920649692</c:v>
                </c:pt>
                <c:pt idx="5">
                  <c:v>0.32893924866482555</c:v>
                </c:pt>
                <c:pt idx="6">
                  <c:v>0.31184580409941376</c:v>
                </c:pt>
                <c:pt idx="7">
                  <c:v>0.32176146839988951</c:v>
                </c:pt>
                <c:pt idx="8">
                  <c:v>0.29851656645962815</c:v>
                </c:pt>
                <c:pt idx="9">
                  <c:v>0.27984429226842483</c:v>
                </c:pt>
                <c:pt idx="10">
                  <c:v>0.25887970743985422</c:v>
                </c:pt>
                <c:pt idx="11">
                  <c:v>0.24608310526215108</c:v>
                </c:pt>
                <c:pt idx="12">
                  <c:v>0.21412547629968887</c:v>
                </c:pt>
                <c:pt idx="13">
                  <c:v>0.21621318848769985</c:v>
                </c:pt>
                <c:pt idx="14">
                  <c:v>0.21637491481634802</c:v>
                </c:pt>
                <c:pt idx="15">
                  <c:v>0.21945354811389878</c:v>
                </c:pt>
                <c:pt idx="16">
                  <c:v>0.22149283315044244</c:v>
                </c:pt>
                <c:pt idx="17">
                  <c:v>0.22801408696205208</c:v>
                </c:pt>
                <c:pt idx="18">
                  <c:v>0.22003191167061564</c:v>
                </c:pt>
                <c:pt idx="19">
                  <c:v>0.21824516402410449</c:v>
                </c:pt>
                <c:pt idx="20">
                  <c:v>0.20358983524380728</c:v>
                </c:pt>
                <c:pt idx="21">
                  <c:v>0.19230361457016257</c:v>
                </c:pt>
                <c:pt idx="22">
                  <c:v>0.1811388768391016</c:v>
                </c:pt>
                <c:pt idx="23">
                  <c:v>0.16857357484543448</c:v>
                </c:pt>
                <c:pt idx="24">
                  <c:v>0.14882857244321276</c:v>
                </c:pt>
                <c:pt idx="25">
                  <c:v>0.24154472587123685</c:v>
                </c:pt>
              </c:numCache>
            </c:numRef>
          </c:val>
        </c:ser>
        <c:marker val="1"/>
        <c:axId val="194679168"/>
        <c:axId val="194680704"/>
      </c:lineChart>
      <c:catAx>
        <c:axId val="194679168"/>
        <c:scaling>
          <c:orientation val="minMax"/>
        </c:scaling>
        <c:axPos val="b"/>
        <c:numFmt formatCode="dd/mm/yyyy" sourceLinked="1"/>
        <c:tickLblPos val="nextTo"/>
        <c:crossAx val="194680704"/>
        <c:crosses val="autoZero"/>
        <c:auto val="1"/>
        <c:lblAlgn val="ctr"/>
        <c:lblOffset val="100"/>
      </c:catAx>
      <c:valAx>
        <c:axId val="194680704"/>
        <c:scaling>
          <c:orientation val="minMax"/>
        </c:scaling>
        <c:axPos val="l"/>
        <c:majorGridlines/>
        <c:numFmt formatCode="0.00%" sourceLinked="1"/>
        <c:tickLblPos val="nextTo"/>
        <c:crossAx val="1946791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[Res.xlsx]2yfiltered!PivotTable5</c:name>
    <c:fmtId val="5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'2yfiltered'!$H$4:$H$5</c:f>
              <c:strCache>
                <c:ptCount val="1"/>
                <c:pt idx="0">
                  <c:v>Data</c:v>
                </c:pt>
              </c:strCache>
            </c:strRef>
          </c:tx>
          <c:marker>
            <c:symbol val="none"/>
          </c:marker>
          <c:trendline>
            <c:trendlineType val="exp"/>
            <c:forward val="10"/>
            <c:dispRSqr val="1"/>
            <c:dispEq val="1"/>
            <c:trendlineLbl>
              <c:layout>
                <c:manualLayout>
                  <c:x val="0.17920219326704431"/>
                  <c:y val="0.15121262852292602"/>
                </c:manualLayout>
              </c:layout>
              <c:numFmt formatCode="General" sourceLinked="0"/>
            </c:trendlineLbl>
          </c:trendline>
          <c:cat>
            <c:strRef>
              <c:f>'2yfiltered'!$G$6:$G$31</c:f>
              <c:strCache>
                <c:ptCount val="25"/>
                <c:pt idx="0">
                  <c:v>01/01/2009</c:v>
                </c:pt>
                <c:pt idx="1">
                  <c:v>01/02/2009</c:v>
                </c:pt>
                <c:pt idx="2">
                  <c:v>01/03/2009</c:v>
                </c:pt>
                <c:pt idx="3">
                  <c:v>01/04/2009</c:v>
                </c:pt>
                <c:pt idx="4">
                  <c:v>01/05/2009</c:v>
                </c:pt>
                <c:pt idx="5">
                  <c:v>01/06/2009</c:v>
                </c:pt>
                <c:pt idx="6">
                  <c:v>01/07/2009</c:v>
                </c:pt>
                <c:pt idx="7">
                  <c:v>01/08/2009</c:v>
                </c:pt>
                <c:pt idx="8">
                  <c:v>01/09/2009</c:v>
                </c:pt>
                <c:pt idx="9">
                  <c:v>01/10/2009</c:v>
                </c:pt>
                <c:pt idx="10">
                  <c:v>01/11/2009</c:v>
                </c:pt>
                <c:pt idx="11">
                  <c:v>01/12/2009</c:v>
                </c:pt>
                <c:pt idx="12">
                  <c:v>01/01/2010</c:v>
                </c:pt>
                <c:pt idx="13">
                  <c:v>01/02/2010</c:v>
                </c:pt>
                <c:pt idx="14">
                  <c:v>01/03/2010</c:v>
                </c:pt>
                <c:pt idx="15">
                  <c:v>01/04/2010</c:v>
                </c:pt>
                <c:pt idx="16">
                  <c:v>01/05/2010</c:v>
                </c:pt>
                <c:pt idx="17">
                  <c:v>01/06/2010</c:v>
                </c:pt>
                <c:pt idx="18">
                  <c:v>01/07/2010</c:v>
                </c:pt>
                <c:pt idx="19">
                  <c:v>01/08/2010</c:v>
                </c:pt>
                <c:pt idx="20">
                  <c:v>01/09/2010</c:v>
                </c:pt>
                <c:pt idx="21">
                  <c:v>01/10/2010</c:v>
                </c:pt>
                <c:pt idx="22">
                  <c:v>01/11/2010</c:v>
                </c:pt>
                <c:pt idx="23">
                  <c:v>01/12/2010</c:v>
                </c:pt>
                <c:pt idx="24">
                  <c:v>01/01/2011</c:v>
                </c:pt>
              </c:strCache>
            </c:strRef>
          </c:cat>
          <c:val>
            <c:numRef>
              <c:f>'2yfiltered'!$H$6:$H$31</c:f>
              <c:numCache>
                <c:formatCode>0</c:formatCode>
                <c:ptCount val="25"/>
                <c:pt idx="0">
                  <c:v>90745985</c:v>
                </c:pt>
                <c:pt idx="1">
                  <c:v>88234254</c:v>
                </c:pt>
                <c:pt idx="2">
                  <c:v>102652144</c:v>
                </c:pt>
                <c:pt idx="3">
                  <c:v>102853275</c:v>
                </c:pt>
                <c:pt idx="4">
                  <c:v>112015906</c:v>
                </c:pt>
                <c:pt idx="5">
                  <c:v>116378654</c:v>
                </c:pt>
                <c:pt idx="6">
                  <c:v>128796425</c:v>
                </c:pt>
                <c:pt idx="7">
                  <c:v>133513869</c:v>
                </c:pt>
                <c:pt idx="8">
                  <c:v>127852092</c:v>
                </c:pt>
                <c:pt idx="9">
                  <c:v>149317552</c:v>
                </c:pt>
                <c:pt idx="10">
                  <c:v>135641989</c:v>
                </c:pt>
                <c:pt idx="11">
                  <c:v>149153271</c:v>
                </c:pt>
                <c:pt idx="12">
                  <c:v>161969839</c:v>
                </c:pt>
                <c:pt idx="13">
                  <c:v>155395491</c:v>
                </c:pt>
                <c:pt idx="14">
                  <c:v>199786509</c:v>
                </c:pt>
                <c:pt idx="15">
                  <c:v>181885315</c:v>
                </c:pt>
                <c:pt idx="16">
                  <c:v>208415506</c:v>
                </c:pt>
                <c:pt idx="17">
                  <c:v>220541638</c:v>
                </c:pt>
                <c:pt idx="18">
                  <c:v>243653121</c:v>
                </c:pt>
                <c:pt idx="19">
                  <c:v>296421904</c:v>
                </c:pt>
                <c:pt idx="20">
                  <c:v>318082595</c:v>
                </c:pt>
                <c:pt idx="21">
                  <c:v>336389189</c:v>
                </c:pt>
                <c:pt idx="22">
                  <c:v>352549612</c:v>
                </c:pt>
                <c:pt idx="23">
                  <c:v>384978714</c:v>
                </c:pt>
                <c:pt idx="24">
                  <c:v>412875487</c:v>
                </c:pt>
              </c:numCache>
            </c:numRef>
          </c:val>
        </c:ser>
        <c:ser>
          <c:idx val="1"/>
          <c:order val="1"/>
          <c:tx>
            <c:strRef>
              <c:f>'2yfiltered'!$I$4:$I$5</c:f>
              <c:strCache>
                <c:ptCount val="1"/>
                <c:pt idx="0">
                  <c:v>SMS/EAM/VAS</c:v>
                </c:pt>
              </c:strCache>
            </c:strRef>
          </c:tx>
          <c:marker>
            <c:symbol val="none"/>
          </c:marker>
          <c:trendline>
            <c:trendlineType val="linear"/>
            <c:forward val="10"/>
            <c:dispRSqr val="1"/>
            <c:dispEq val="1"/>
            <c:trendlineLbl>
              <c:layout>
                <c:manualLayout>
                  <c:x val="0.18582431650386688"/>
                  <c:y val="1.2938264492434069E-3"/>
                </c:manualLayout>
              </c:layout>
              <c:numFmt formatCode="General" sourceLinked="0"/>
            </c:trendlineLbl>
          </c:trendline>
          <c:cat>
            <c:strRef>
              <c:f>'2yfiltered'!$G$6:$G$31</c:f>
              <c:strCache>
                <c:ptCount val="25"/>
                <c:pt idx="0">
                  <c:v>01/01/2009</c:v>
                </c:pt>
                <c:pt idx="1">
                  <c:v>01/02/2009</c:v>
                </c:pt>
                <c:pt idx="2">
                  <c:v>01/03/2009</c:v>
                </c:pt>
                <c:pt idx="3">
                  <c:v>01/04/2009</c:v>
                </c:pt>
                <c:pt idx="4">
                  <c:v>01/05/2009</c:v>
                </c:pt>
                <c:pt idx="5">
                  <c:v>01/06/2009</c:v>
                </c:pt>
                <c:pt idx="6">
                  <c:v>01/07/2009</c:v>
                </c:pt>
                <c:pt idx="7">
                  <c:v>01/08/2009</c:v>
                </c:pt>
                <c:pt idx="8">
                  <c:v>01/09/2009</c:v>
                </c:pt>
                <c:pt idx="9">
                  <c:v>01/10/2009</c:v>
                </c:pt>
                <c:pt idx="10">
                  <c:v>01/11/2009</c:v>
                </c:pt>
                <c:pt idx="11">
                  <c:v>01/12/2009</c:v>
                </c:pt>
                <c:pt idx="12">
                  <c:v>01/01/2010</c:v>
                </c:pt>
                <c:pt idx="13">
                  <c:v>01/02/2010</c:v>
                </c:pt>
                <c:pt idx="14">
                  <c:v>01/03/2010</c:v>
                </c:pt>
                <c:pt idx="15">
                  <c:v>01/04/2010</c:v>
                </c:pt>
                <c:pt idx="16">
                  <c:v>01/05/2010</c:v>
                </c:pt>
                <c:pt idx="17">
                  <c:v>01/06/2010</c:v>
                </c:pt>
                <c:pt idx="18">
                  <c:v>01/07/2010</c:v>
                </c:pt>
                <c:pt idx="19">
                  <c:v>01/08/2010</c:v>
                </c:pt>
                <c:pt idx="20">
                  <c:v>01/09/2010</c:v>
                </c:pt>
                <c:pt idx="21">
                  <c:v>01/10/2010</c:v>
                </c:pt>
                <c:pt idx="22">
                  <c:v>01/11/2010</c:v>
                </c:pt>
                <c:pt idx="23">
                  <c:v>01/12/2010</c:v>
                </c:pt>
                <c:pt idx="24">
                  <c:v>01/01/2011</c:v>
                </c:pt>
              </c:strCache>
            </c:strRef>
          </c:cat>
          <c:val>
            <c:numRef>
              <c:f>'2yfiltered'!$I$6:$I$31</c:f>
              <c:numCache>
                <c:formatCode>0</c:formatCode>
                <c:ptCount val="25"/>
                <c:pt idx="0">
                  <c:v>1577749928</c:v>
                </c:pt>
                <c:pt idx="1">
                  <c:v>1424844332</c:v>
                </c:pt>
                <c:pt idx="2">
                  <c:v>1640329409</c:v>
                </c:pt>
                <c:pt idx="3">
                  <c:v>1626681935</c:v>
                </c:pt>
                <c:pt idx="4">
                  <c:v>1727627616</c:v>
                </c:pt>
                <c:pt idx="5">
                  <c:v>1778683249</c:v>
                </c:pt>
                <c:pt idx="6">
                  <c:v>1913331896</c:v>
                </c:pt>
                <c:pt idx="7">
                  <c:v>1817991335</c:v>
                </c:pt>
                <c:pt idx="8">
                  <c:v>1851854008</c:v>
                </c:pt>
                <c:pt idx="9">
                  <c:v>2196033108</c:v>
                </c:pt>
                <c:pt idx="10">
                  <c:v>2219405692</c:v>
                </c:pt>
                <c:pt idx="11">
                  <c:v>2460006734</c:v>
                </c:pt>
                <c:pt idx="12">
                  <c:v>2685894944</c:v>
                </c:pt>
                <c:pt idx="13">
                  <c:v>2435420248</c:v>
                </c:pt>
                <c:pt idx="14">
                  <c:v>2767645393</c:v>
                </c:pt>
                <c:pt idx="15">
                  <c:v>2874562861</c:v>
                </c:pt>
                <c:pt idx="16">
                  <c:v>2952291253</c:v>
                </c:pt>
                <c:pt idx="17">
                  <c:v>2884666870</c:v>
                </c:pt>
                <c:pt idx="18">
                  <c:v>2970778325</c:v>
                </c:pt>
                <c:pt idx="19">
                  <c:v>2849731400</c:v>
                </c:pt>
                <c:pt idx="20">
                  <c:v>3065229977</c:v>
                </c:pt>
                <c:pt idx="21">
                  <c:v>3357870413</c:v>
                </c:pt>
                <c:pt idx="22">
                  <c:v>3317683574</c:v>
                </c:pt>
                <c:pt idx="23">
                  <c:v>3538195568</c:v>
                </c:pt>
                <c:pt idx="24">
                  <c:v>3719803146</c:v>
                </c:pt>
              </c:numCache>
            </c:numRef>
          </c:val>
        </c:ser>
        <c:ser>
          <c:idx val="2"/>
          <c:order val="2"/>
          <c:tx>
            <c:strRef>
              <c:f>'2yfiltered'!$J$4:$J$5</c:f>
              <c:strCache>
                <c:ptCount val="1"/>
                <c:pt idx="0">
                  <c:v>Voice</c:v>
                </c:pt>
              </c:strCache>
            </c:strRef>
          </c:tx>
          <c:marker>
            <c:symbol val="none"/>
          </c:marker>
          <c:trendline>
            <c:trendlineType val="linear"/>
            <c:forward val="10"/>
            <c:dispRSqr val="1"/>
            <c:dispEq val="1"/>
            <c:trendlineLbl>
              <c:layout>
                <c:manualLayout>
                  <c:x val="0.1933373083375714"/>
                  <c:y val="2.4461330448453687E-2"/>
                </c:manualLayout>
              </c:layout>
              <c:numFmt formatCode="General" sourceLinked="0"/>
            </c:trendlineLbl>
          </c:trendline>
          <c:cat>
            <c:strRef>
              <c:f>'2yfiltered'!$G$6:$G$31</c:f>
              <c:strCache>
                <c:ptCount val="25"/>
                <c:pt idx="0">
                  <c:v>01/01/2009</c:v>
                </c:pt>
                <c:pt idx="1">
                  <c:v>01/02/2009</c:v>
                </c:pt>
                <c:pt idx="2">
                  <c:v>01/03/2009</c:v>
                </c:pt>
                <c:pt idx="3">
                  <c:v>01/04/2009</c:v>
                </c:pt>
                <c:pt idx="4">
                  <c:v>01/05/2009</c:v>
                </c:pt>
                <c:pt idx="5">
                  <c:v>01/06/2009</c:v>
                </c:pt>
                <c:pt idx="6">
                  <c:v>01/07/2009</c:v>
                </c:pt>
                <c:pt idx="7">
                  <c:v>01/08/2009</c:v>
                </c:pt>
                <c:pt idx="8">
                  <c:v>01/09/2009</c:v>
                </c:pt>
                <c:pt idx="9">
                  <c:v>01/10/2009</c:v>
                </c:pt>
                <c:pt idx="10">
                  <c:v>01/11/2009</c:v>
                </c:pt>
                <c:pt idx="11">
                  <c:v>01/12/2009</c:v>
                </c:pt>
                <c:pt idx="12">
                  <c:v>01/01/2010</c:v>
                </c:pt>
                <c:pt idx="13">
                  <c:v>01/02/2010</c:v>
                </c:pt>
                <c:pt idx="14">
                  <c:v>01/03/2010</c:v>
                </c:pt>
                <c:pt idx="15">
                  <c:v>01/04/2010</c:v>
                </c:pt>
                <c:pt idx="16">
                  <c:v>01/05/2010</c:v>
                </c:pt>
                <c:pt idx="17">
                  <c:v>01/06/2010</c:v>
                </c:pt>
                <c:pt idx="18">
                  <c:v>01/07/2010</c:v>
                </c:pt>
                <c:pt idx="19">
                  <c:v>01/08/2010</c:v>
                </c:pt>
                <c:pt idx="20">
                  <c:v>01/09/2010</c:v>
                </c:pt>
                <c:pt idx="21">
                  <c:v>01/10/2010</c:v>
                </c:pt>
                <c:pt idx="22">
                  <c:v>01/11/2010</c:v>
                </c:pt>
                <c:pt idx="23">
                  <c:v>01/12/2010</c:v>
                </c:pt>
                <c:pt idx="24">
                  <c:v>01/01/2011</c:v>
                </c:pt>
              </c:strCache>
            </c:strRef>
          </c:cat>
          <c:val>
            <c:numRef>
              <c:f>'2yfiltered'!$J$6:$J$31</c:f>
              <c:numCache>
                <c:formatCode>0</c:formatCode>
                <c:ptCount val="25"/>
                <c:pt idx="0">
                  <c:v>806392680</c:v>
                </c:pt>
                <c:pt idx="1">
                  <c:v>743232632</c:v>
                </c:pt>
                <c:pt idx="2">
                  <c:v>827832213</c:v>
                </c:pt>
                <c:pt idx="3">
                  <c:v>849285243</c:v>
                </c:pt>
                <c:pt idx="4">
                  <c:v>918454795</c:v>
                </c:pt>
                <c:pt idx="5">
                  <c:v>928917743</c:v>
                </c:pt>
                <c:pt idx="6">
                  <c:v>925416356</c:v>
                </c:pt>
                <c:pt idx="7">
                  <c:v>925808769</c:v>
                </c:pt>
                <c:pt idx="8">
                  <c:v>842464753</c:v>
                </c:pt>
                <c:pt idx="9">
                  <c:v>911376510</c:v>
                </c:pt>
                <c:pt idx="10">
                  <c:v>822638458</c:v>
                </c:pt>
                <c:pt idx="11">
                  <c:v>851645852</c:v>
                </c:pt>
                <c:pt idx="12">
                  <c:v>775951357</c:v>
                </c:pt>
                <c:pt idx="13">
                  <c:v>714695021</c:v>
                </c:pt>
                <c:pt idx="14">
                  <c:v>819368646</c:v>
                </c:pt>
                <c:pt idx="15">
                  <c:v>859331812</c:v>
                </c:pt>
                <c:pt idx="16">
                  <c:v>899251702</c:v>
                </c:pt>
                <c:pt idx="17">
                  <c:v>917155703</c:v>
                </c:pt>
                <c:pt idx="18">
                  <c:v>906803120</c:v>
                </c:pt>
                <c:pt idx="19">
                  <c:v>878322349</c:v>
                </c:pt>
                <c:pt idx="20">
                  <c:v>864891082</c:v>
                </c:pt>
                <c:pt idx="21">
                  <c:v>879562528</c:v>
                </c:pt>
                <c:pt idx="22">
                  <c:v>811886043</c:v>
                </c:pt>
                <c:pt idx="23">
                  <c:v>795432396</c:v>
                </c:pt>
                <c:pt idx="24">
                  <c:v>722604920</c:v>
                </c:pt>
              </c:numCache>
            </c:numRef>
          </c:val>
        </c:ser>
        <c:marker val="1"/>
        <c:axId val="194614400"/>
        <c:axId val="194615936"/>
      </c:lineChart>
      <c:catAx>
        <c:axId val="194614400"/>
        <c:scaling>
          <c:orientation val="minMax"/>
        </c:scaling>
        <c:axPos val="b"/>
        <c:tickLblPos val="nextTo"/>
        <c:crossAx val="194615936"/>
        <c:crosses val="autoZero"/>
        <c:auto val="1"/>
        <c:lblAlgn val="ctr"/>
        <c:lblOffset val="100"/>
      </c:catAx>
      <c:valAx>
        <c:axId val="194615936"/>
        <c:scaling>
          <c:orientation val="minMax"/>
        </c:scaling>
        <c:axPos val="l"/>
        <c:majorGridlines/>
        <c:numFmt formatCode="0" sourceLinked="1"/>
        <c:tickLblPos val="nextTo"/>
        <c:crossAx val="1946144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tx>
            <c:strRef>
              <c:f>'2yfiltered'!$I$41</c:f>
              <c:strCache>
                <c:ptCount val="1"/>
                <c:pt idx="0">
                  <c:v>Voice</c:v>
                </c:pt>
              </c:strCache>
            </c:strRef>
          </c:tx>
          <c:cat>
            <c:numRef>
              <c:f>'2yfiltered'!$H$42:$H$89</c:f>
              <c:numCache>
                <c:formatCode>dd/mm/yyyy</c:formatCode>
                <c:ptCount val="48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</c:numCache>
            </c:numRef>
          </c:cat>
          <c:val>
            <c:numRef>
              <c:f>'2yfiltered'!$I$42:$I$89</c:f>
              <c:numCache>
                <c:formatCode>0.000E+00</c:formatCode>
                <c:ptCount val="48"/>
                <c:pt idx="0">
                  <c:v>847948907.32000005</c:v>
                </c:pt>
                <c:pt idx="1">
                  <c:v>846927122.08000004</c:v>
                </c:pt>
                <c:pt idx="2">
                  <c:v>845905336.84000003</c:v>
                </c:pt>
                <c:pt idx="3">
                  <c:v>844883551.60000002</c:v>
                </c:pt>
                <c:pt idx="4">
                  <c:v>843861766.36000001</c:v>
                </c:pt>
                <c:pt idx="5">
                  <c:v>842839981.12</c:v>
                </c:pt>
                <c:pt idx="6">
                  <c:v>841818195.88</c:v>
                </c:pt>
                <c:pt idx="7">
                  <c:v>840796410.63999999</c:v>
                </c:pt>
                <c:pt idx="8">
                  <c:v>839774625.39999998</c:v>
                </c:pt>
                <c:pt idx="9">
                  <c:v>838752840.15999997</c:v>
                </c:pt>
                <c:pt idx="10">
                  <c:v>837731054.92000008</c:v>
                </c:pt>
                <c:pt idx="11">
                  <c:v>836709269.68000007</c:v>
                </c:pt>
                <c:pt idx="12">
                  <c:v>835687484.44000006</c:v>
                </c:pt>
                <c:pt idx="13">
                  <c:v>834665699.20000005</c:v>
                </c:pt>
                <c:pt idx="14">
                  <c:v>833643913.96000004</c:v>
                </c:pt>
                <c:pt idx="15">
                  <c:v>832622128.72000003</c:v>
                </c:pt>
                <c:pt idx="16">
                  <c:v>831600343.48000002</c:v>
                </c:pt>
                <c:pt idx="17">
                  <c:v>830578558.24000001</c:v>
                </c:pt>
                <c:pt idx="18">
                  <c:v>829556773</c:v>
                </c:pt>
                <c:pt idx="19">
                  <c:v>828534987.75999999</c:v>
                </c:pt>
                <c:pt idx="20">
                  <c:v>827513202.51999998</c:v>
                </c:pt>
                <c:pt idx="21">
                  <c:v>826491417.27999997</c:v>
                </c:pt>
                <c:pt idx="22">
                  <c:v>825469632.03999996</c:v>
                </c:pt>
                <c:pt idx="23">
                  <c:v>824447846.79999995</c:v>
                </c:pt>
                <c:pt idx="24">
                  <c:v>823426061.55999994</c:v>
                </c:pt>
                <c:pt idx="25">
                  <c:v>822404276.32000005</c:v>
                </c:pt>
                <c:pt idx="26">
                  <c:v>821382491.08000004</c:v>
                </c:pt>
                <c:pt idx="27">
                  <c:v>820360705.84000003</c:v>
                </c:pt>
                <c:pt idx="28">
                  <c:v>819338920.60000002</c:v>
                </c:pt>
                <c:pt idx="29">
                  <c:v>818317135.36000001</c:v>
                </c:pt>
                <c:pt idx="30">
                  <c:v>817295350.12</c:v>
                </c:pt>
                <c:pt idx="31">
                  <c:v>816273564.88</c:v>
                </c:pt>
                <c:pt idx="32">
                  <c:v>815251779.63999999</c:v>
                </c:pt>
                <c:pt idx="33">
                  <c:v>814229994.39999998</c:v>
                </c:pt>
                <c:pt idx="34">
                  <c:v>813208209.15999997</c:v>
                </c:pt>
                <c:pt idx="35">
                  <c:v>812186423.91999996</c:v>
                </c:pt>
                <c:pt idx="36">
                  <c:v>811164638.67999995</c:v>
                </c:pt>
                <c:pt idx="37">
                  <c:v>810142853.43999994</c:v>
                </c:pt>
                <c:pt idx="38">
                  <c:v>809121068.20000005</c:v>
                </c:pt>
                <c:pt idx="39">
                  <c:v>808099282.96000004</c:v>
                </c:pt>
                <c:pt idx="40">
                  <c:v>807077497.72000003</c:v>
                </c:pt>
                <c:pt idx="41">
                  <c:v>806055712.48000002</c:v>
                </c:pt>
                <c:pt idx="42">
                  <c:v>805033927.24000001</c:v>
                </c:pt>
                <c:pt idx="43">
                  <c:v>804012142</c:v>
                </c:pt>
                <c:pt idx="44">
                  <c:v>802990356.75999999</c:v>
                </c:pt>
                <c:pt idx="45">
                  <c:v>801968571.51999998</c:v>
                </c:pt>
                <c:pt idx="46">
                  <c:v>800946786.27999997</c:v>
                </c:pt>
                <c:pt idx="47">
                  <c:v>799925001.03999996</c:v>
                </c:pt>
              </c:numCache>
            </c:numRef>
          </c:val>
        </c:ser>
        <c:ser>
          <c:idx val="1"/>
          <c:order val="1"/>
          <c:tx>
            <c:strRef>
              <c:f>'2yfiltered'!$J$41</c:f>
              <c:strCache>
                <c:ptCount val="1"/>
                <c:pt idx="0">
                  <c:v>SMS</c:v>
                </c:pt>
              </c:strCache>
            </c:strRef>
          </c:tx>
          <c:cat>
            <c:numRef>
              <c:f>'2yfiltered'!$H$42:$H$89</c:f>
              <c:numCache>
                <c:formatCode>dd/mm/yyyy</c:formatCode>
                <c:ptCount val="48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</c:numCache>
            </c:numRef>
          </c:cat>
          <c:val>
            <c:numRef>
              <c:f>'2yfiltered'!$J$42:$J$89</c:f>
              <c:numCache>
                <c:formatCode>0.000E+00</c:formatCode>
                <c:ptCount val="48"/>
                <c:pt idx="0">
                  <c:v>2466172528.5599999</c:v>
                </c:pt>
                <c:pt idx="1">
                  <c:v>2557473438.9546156</c:v>
                </c:pt>
                <c:pt idx="2">
                  <c:v>2648774349.3492308</c:v>
                </c:pt>
                <c:pt idx="3">
                  <c:v>2740075259.7438459</c:v>
                </c:pt>
                <c:pt idx="4">
                  <c:v>2831376170.1384616</c:v>
                </c:pt>
                <c:pt idx="5">
                  <c:v>2922677080.5330772</c:v>
                </c:pt>
                <c:pt idx="6">
                  <c:v>3013977990.9276924</c:v>
                </c:pt>
                <c:pt idx="7">
                  <c:v>3105278901.3223076</c:v>
                </c:pt>
                <c:pt idx="8">
                  <c:v>3196579811.7169232</c:v>
                </c:pt>
                <c:pt idx="9">
                  <c:v>3287880722.1115389</c:v>
                </c:pt>
                <c:pt idx="10">
                  <c:v>3379181632.5061541</c:v>
                </c:pt>
                <c:pt idx="11">
                  <c:v>3470482542.9007692</c:v>
                </c:pt>
                <c:pt idx="12">
                  <c:v>3561783453.2953844</c:v>
                </c:pt>
                <c:pt idx="13">
                  <c:v>3653084363.6900005</c:v>
                </c:pt>
                <c:pt idx="14">
                  <c:v>3744385274.0846157</c:v>
                </c:pt>
                <c:pt idx="15">
                  <c:v>3835686184.4792309</c:v>
                </c:pt>
                <c:pt idx="16">
                  <c:v>3926987094.8738461</c:v>
                </c:pt>
                <c:pt idx="17">
                  <c:v>4018288005.2684622</c:v>
                </c:pt>
                <c:pt idx="18">
                  <c:v>4109588915.6630774</c:v>
                </c:pt>
                <c:pt idx="19">
                  <c:v>4200889826.0576925</c:v>
                </c:pt>
                <c:pt idx="20">
                  <c:v>4292190736.4523077</c:v>
                </c:pt>
                <c:pt idx="21">
                  <c:v>4383491646.8469229</c:v>
                </c:pt>
                <c:pt idx="22">
                  <c:v>4474792557.241539</c:v>
                </c:pt>
                <c:pt idx="23">
                  <c:v>4566093467.6361542</c:v>
                </c:pt>
                <c:pt idx="24">
                  <c:v>4657394378.0307693</c:v>
                </c:pt>
                <c:pt idx="25">
                  <c:v>4748695288.4253845</c:v>
                </c:pt>
                <c:pt idx="26">
                  <c:v>4839996198.8200006</c:v>
                </c:pt>
                <c:pt idx="27">
                  <c:v>4931297109.2146158</c:v>
                </c:pt>
                <c:pt idx="28">
                  <c:v>5022598019.609231</c:v>
                </c:pt>
                <c:pt idx="29">
                  <c:v>5113898930.0038462</c:v>
                </c:pt>
                <c:pt idx="30">
                  <c:v>5205199840.3984623</c:v>
                </c:pt>
                <c:pt idx="31">
                  <c:v>5296500750.7930775</c:v>
                </c:pt>
                <c:pt idx="32">
                  <c:v>5387801661.1876926</c:v>
                </c:pt>
                <c:pt idx="33">
                  <c:v>5479102571.5823078</c:v>
                </c:pt>
                <c:pt idx="34">
                  <c:v>5570403481.9769239</c:v>
                </c:pt>
                <c:pt idx="35">
                  <c:v>5661704392.3715391</c:v>
                </c:pt>
                <c:pt idx="36">
                  <c:v>5753005302.7661543</c:v>
                </c:pt>
                <c:pt idx="37">
                  <c:v>5844306213.1607695</c:v>
                </c:pt>
                <c:pt idx="38">
                  <c:v>5935607123.5553856</c:v>
                </c:pt>
                <c:pt idx="39">
                  <c:v>6026908033.9500008</c:v>
                </c:pt>
                <c:pt idx="40">
                  <c:v>6118208944.3446159</c:v>
                </c:pt>
                <c:pt idx="41">
                  <c:v>6209509854.7392311</c:v>
                </c:pt>
                <c:pt idx="42">
                  <c:v>6300810765.1338472</c:v>
                </c:pt>
                <c:pt idx="43">
                  <c:v>6392111675.5284624</c:v>
                </c:pt>
                <c:pt idx="44">
                  <c:v>6483412585.9230776</c:v>
                </c:pt>
                <c:pt idx="45">
                  <c:v>6574713496.3176928</c:v>
                </c:pt>
                <c:pt idx="46">
                  <c:v>6666014406.7123089</c:v>
                </c:pt>
                <c:pt idx="47">
                  <c:v>6757315317.1069241</c:v>
                </c:pt>
              </c:numCache>
            </c:numRef>
          </c:val>
        </c:ser>
        <c:ser>
          <c:idx val="2"/>
          <c:order val="2"/>
          <c:tx>
            <c:strRef>
              <c:f>'2yfiltered'!$K$41</c:f>
              <c:strCache>
                <c:ptCount val="1"/>
                <c:pt idx="0">
                  <c:v>Data</c:v>
                </c:pt>
              </c:strCache>
            </c:strRef>
          </c:tx>
          <c:cat>
            <c:numRef>
              <c:f>'2yfiltered'!$H$42:$H$89</c:f>
              <c:numCache>
                <c:formatCode>dd/mm/yyyy</c:formatCode>
                <c:ptCount val="48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</c:numCache>
            </c:numRef>
          </c:cat>
          <c:val>
            <c:numRef>
              <c:f>'2yfiltered'!$K$42:$K$89</c:f>
              <c:numCache>
                <c:formatCode>0.00E+00</c:formatCode>
                <c:ptCount val="48"/>
                <c:pt idx="0">
                  <c:v>175787129.79894045</c:v>
                </c:pt>
                <c:pt idx="1">
                  <c:v>187229479.48947236</c:v>
                </c:pt>
                <c:pt idx="2">
                  <c:v>199416635.50678241</c:v>
                </c:pt>
                <c:pt idx="3">
                  <c:v>212397078.84292307</c:v>
                </c:pt>
                <c:pt idx="4">
                  <c:v>226222446.2184979</c:v>
                </c:pt>
                <c:pt idx="5">
                  <c:v>240947735.49559268</c:v>
                </c:pt>
                <c:pt idx="6">
                  <c:v>256631524.46146148</c:v>
                </c:pt>
                <c:pt idx="7">
                  <c:v>273336203.85329735</c:v>
                </c:pt>
                <c:pt idx="8">
                  <c:v>291128225.55107015</c:v>
                </c:pt>
                <c:pt idx="9">
                  <c:v>310078366.92575163</c:v>
                </c:pt>
                <c:pt idx="10">
                  <c:v>330262012.39451623</c:v>
                </c:pt>
                <c:pt idx="11">
                  <c:v>351759453.30295539</c:v>
                </c:pt>
                <c:pt idx="12">
                  <c:v>374656207.32724804</c:v>
                </c:pt>
                <c:pt idx="13">
                  <c:v>399043358.66688299</c:v>
                </c:pt>
                <c:pt idx="14">
                  <c:v>425017920.3812319</c:v>
                </c:pt>
                <c:pt idx="15">
                  <c:v>452683220.31136376</c:v>
                </c:pt>
                <c:pt idx="16">
                  <c:v>482149312.12231243</c:v>
                </c:pt>
                <c:pt idx="17">
                  <c:v>513533413.10093921</c:v>
                </c:pt>
                <c:pt idx="18">
                  <c:v>546960370.4509691</c:v>
                </c:pt>
                <c:pt idx="19">
                  <c:v>582563157.94013941</c:v>
                </c:pt>
                <c:pt idx="20">
                  <c:v>620483404.87514484</c:v>
                </c:pt>
                <c:pt idx="21">
                  <c:v>660871959.50865984</c:v>
                </c:pt>
                <c:pt idx="22">
                  <c:v>703889489.11969709</c:v>
                </c:pt>
                <c:pt idx="23">
                  <c:v>749707119.15444136</c:v>
                </c:pt>
                <c:pt idx="24">
                  <c:v>798507113.97009218</c:v>
                </c:pt>
                <c:pt idx="25">
                  <c:v>850483601.88973451</c:v>
                </c:pt>
                <c:pt idx="26">
                  <c:v>905843347.45254159</c:v>
                </c:pt>
                <c:pt idx="27">
                  <c:v>964806573.93134654</c:v>
                </c:pt>
                <c:pt idx="28">
                  <c:v>1027607839.3895931</c:v>
                </c:pt>
                <c:pt idx="29">
                  <c:v>1094496969.7626553</c:v>
                </c:pt>
                <c:pt idx="30">
                  <c:v>1165740052.6753573</c:v>
                </c:pt>
                <c:pt idx="31">
                  <c:v>1241620495.9491456</c:v>
                </c:pt>
                <c:pt idx="32">
                  <c:v>1322440155.0096889</c:v>
                </c:pt>
                <c:pt idx="33">
                  <c:v>1408520533.6797845</c:v>
                </c:pt>
                <c:pt idx="34">
                  <c:v>1500204063.1343734</c:v>
                </c:pt>
                <c:pt idx="35">
                  <c:v>1597855464.1053894</c:v>
                </c:pt>
                <c:pt idx="36">
                  <c:v>1701863197.7553601</c:v>
                </c:pt>
                <c:pt idx="37">
                  <c:v>1812641010.991384</c:v>
                </c:pt>
                <c:pt idx="38">
                  <c:v>1930629582.3668056</c:v>
                </c:pt>
                <c:pt idx="39">
                  <c:v>2056298275.1180522</c:v>
                </c:pt>
                <c:pt idx="40">
                  <c:v>2190147004.310286</c:v>
                </c:pt>
                <c:pt idx="41">
                  <c:v>2332708225.5194416</c:v>
                </c:pt>
                <c:pt idx="42">
                  <c:v>2484549052.9617167</c:v>
                </c:pt>
                <c:pt idx="43">
                  <c:v>2646273515.4965115</c:v>
                </c:pt>
                <c:pt idx="44">
                  <c:v>2818524959.4772911</c:v>
                </c:pt>
                <c:pt idx="45">
                  <c:v>3001988608.0090055</c:v>
                </c:pt>
                <c:pt idx="46">
                  <c:v>3197394286.7928872</c:v>
                </c:pt>
                <c:pt idx="47">
                  <c:v>3405519327.4021659</c:v>
                </c:pt>
              </c:numCache>
            </c:numRef>
          </c:val>
        </c:ser>
        <c:overlap val="100"/>
        <c:axId val="194746624"/>
        <c:axId val="194752512"/>
      </c:barChart>
      <c:dateAx>
        <c:axId val="194746624"/>
        <c:scaling>
          <c:orientation val="minMax"/>
        </c:scaling>
        <c:axPos val="b"/>
        <c:numFmt formatCode="dd/mm/yyyy" sourceLinked="1"/>
        <c:tickLblPos val="nextTo"/>
        <c:crossAx val="194752512"/>
        <c:crosses val="autoZero"/>
        <c:auto val="1"/>
        <c:lblOffset val="100"/>
      </c:dateAx>
      <c:valAx>
        <c:axId val="194752512"/>
        <c:scaling>
          <c:orientation val="minMax"/>
        </c:scaling>
        <c:axPos val="l"/>
        <c:majorGridlines/>
        <c:numFmt formatCode="0.000E+00" sourceLinked="1"/>
        <c:tickLblPos val="nextTo"/>
        <c:crossAx val="1947466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[Res.xlsx]2yfiltered!PivotTable1</c:name>
    <c:fmtId val="1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'2yfiltered'!$H$93:$H$94</c:f>
              <c:strCache>
                <c:ptCount val="1"/>
                <c:pt idx="0">
                  <c:v>Sum of Voice</c:v>
                </c:pt>
              </c:strCache>
            </c:strRef>
          </c:tx>
          <c:cat>
            <c:strRef>
              <c:f>'2yfiltered'!$G$95:$G$99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'2yfiltered'!$H$95:$H$99</c:f>
              <c:numCache>
                <c:formatCode>0.000E+00</c:formatCode>
                <c:ptCount val="4"/>
                <c:pt idx="0">
                  <c:v>10107949062</c:v>
                </c:pt>
                <c:pt idx="1">
                  <c:v>9960811987.4400005</c:v>
                </c:pt>
                <c:pt idx="2">
                  <c:v>9813674912.8800011</c:v>
                </c:pt>
                <c:pt idx="3">
                  <c:v>9666537838.3199997</c:v>
                </c:pt>
              </c:numCache>
            </c:numRef>
          </c:val>
        </c:ser>
        <c:ser>
          <c:idx val="1"/>
          <c:order val="1"/>
          <c:tx>
            <c:strRef>
              <c:f>'2yfiltered'!$I$93:$I$94</c:f>
              <c:strCache>
                <c:ptCount val="1"/>
                <c:pt idx="0">
                  <c:v>Sum of SMS</c:v>
                </c:pt>
              </c:strCache>
            </c:strRef>
          </c:tx>
          <c:cat>
            <c:strRef>
              <c:f>'2yfiltered'!$G$95:$G$99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'2yfiltered'!$I$95:$I$99</c:f>
              <c:numCache>
                <c:formatCode>0.000E+00</c:formatCode>
                <c:ptCount val="4"/>
                <c:pt idx="0">
                  <c:v>35619930428.764618</c:v>
                </c:pt>
                <c:pt idx="1">
                  <c:v>48767261525.589233</c:v>
                </c:pt>
                <c:pt idx="2">
                  <c:v>61914592622.413834</c:v>
                </c:pt>
                <c:pt idx="3">
                  <c:v>75061923719.23848</c:v>
                </c:pt>
              </c:numCache>
            </c:numRef>
          </c:val>
        </c:ser>
        <c:ser>
          <c:idx val="2"/>
          <c:order val="2"/>
          <c:tx>
            <c:strRef>
              <c:f>'2yfiltered'!$J$93:$J$94</c:f>
              <c:strCache>
                <c:ptCount val="1"/>
                <c:pt idx="0">
                  <c:v>Sum of Data</c:v>
                </c:pt>
              </c:strCache>
            </c:strRef>
          </c:tx>
          <c:cat>
            <c:strRef>
              <c:f>'2yfiltered'!$G$95:$G$99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'2yfiltered'!$J$95:$J$99</c:f>
              <c:numCache>
                <c:formatCode>0.000E+00</c:formatCode>
                <c:ptCount val="4"/>
                <c:pt idx="0">
                  <c:v>3055196291.8412619</c:v>
                </c:pt>
                <c:pt idx="1">
                  <c:v>6511558932.9590302</c:v>
                </c:pt>
                <c:pt idx="2">
                  <c:v>13878126210.949701</c:v>
                </c:pt>
                <c:pt idx="3">
                  <c:v>29578537046.200909</c:v>
                </c:pt>
              </c:numCache>
            </c:numRef>
          </c:val>
        </c:ser>
        <c:overlap val="100"/>
        <c:axId val="64871424"/>
        <c:axId val="196395392"/>
      </c:barChart>
      <c:catAx>
        <c:axId val="64871424"/>
        <c:scaling>
          <c:orientation val="minMax"/>
        </c:scaling>
        <c:axPos val="b"/>
        <c:tickLblPos val="nextTo"/>
        <c:crossAx val="196395392"/>
        <c:crosses val="autoZero"/>
        <c:auto val="1"/>
        <c:lblAlgn val="ctr"/>
        <c:lblOffset val="100"/>
      </c:catAx>
      <c:valAx>
        <c:axId val="196395392"/>
        <c:scaling>
          <c:orientation val="minMax"/>
        </c:scaling>
        <c:axPos val="l"/>
        <c:majorGridlines/>
        <c:numFmt formatCode="0.000E+00" sourceLinked="1"/>
        <c:tickLblPos val="nextTo"/>
        <c:crossAx val="648714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[Res.xlsx]2yfiltered!PivotTable1</c:name>
    <c:fmtId val="4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percentStacked"/>
        <c:ser>
          <c:idx val="0"/>
          <c:order val="0"/>
          <c:tx>
            <c:strRef>
              <c:f>'2yfiltered'!$H$93:$H$94</c:f>
              <c:strCache>
                <c:ptCount val="1"/>
                <c:pt idx="0">
                  <c:v>Sum of Voice</c:v>
                </c:pt>
              </c:strCache>
            </c:strRef>
          </c:tx>
          <c:cat>
            <c:strRef>
              <c:f>'2yfiltered'!$G$95:$G$99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'2yfiltered'!$H$95:$H$99</c:f>
              <c:numCache>
                <c:formatCode>0.000E+00</c:formatCode>
                <c:ptCount val="4"/>
                <c:pt idx="0">
                  <c:v>10107949062</c:v>
                </c:pt>
                <c:pt idx="1">
                  <c:v>9960811987.4400005</c:v>
                </c:pt>
                <c:pt idx="2">
                  <c:v>9813674912.8800011</c:v>
                </c:pt>
                <c:pt idx="3">
                  <c:v>9666537838.3199997</c:v>
                </c:pt>
              </c:numCache>
            </c:numRef>
          </c:val>
        </c:ser>
        <c:ser>
          <c:idx val="1"/>
          <c:order val="1"/>
          <c:tx>
            <c:strRef>
              <c:f>'2yfiltered'!$I$93:$I$94</c:f>
              <c:strCache>
                <c:ptCount val="1"/>
                <c:pt idx="0">
                  <c:v>Sum of SMS</c:v>
                </c:pt>
              </c:strCache>
            </c:strRef>
          </c:tx>
          <c:cat>
            <c:strRef>
              <c:f>'2yfiltered'!$G$95:$G$99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'2yfiltered'!$I$95:$I$99</c:f>
              <c:numCache>
                <c:formatCode>0.000E+00</c:formatCode>
                <c:ptCount val="4"/>
                <c:pt idx="0">
                  <c:v>35619930428.764618</c:v>
                </c:pt>
                <c:pt idx="1">
                  <c:v>48767261525.589233</c:v>
                </c:pt>
                <c:pt idx="2">
                  <c:v>61914592622.413834</c:v>
                </c:pt>
                <c:pt idx="3">
                  <c:v>75061923719.23848</c:v>
                </c:pt>
              </c:numCache>
            </c:numRef>
          </c:val>
        </c:ser>
        <c:ser>
          <c:idx val="2"/>
          <c:order val="2"/>
          <c:tx>
            <c:strRef>
              <c:f>'2yfiltered'!$J$93:$J$94</c:f>
              <c:strCache>
                <c:ptCount val="1"/>
                <c:pt idx="0">
                  <c:v>Sum of Data</c:v>
                </c:pt>
              </c:strCache>
            </c:strRef>
          </c:tx>
          <c:cat>
            <c:strRef>
              <c:f>'2yfiltered'!$G$95:$G$99</c:f>
              <c:strCache>
                <c:ptCount val="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</c:strCache>
            </c:strRef>
          </c:cat>
          <c:val>
            <c:numRef>
              <c:f>'2yfiltered'!$J$95:$J$99</c:f>
              <c:numCache>
                <c:formatCode>0.000E+00</c:formatCode>
                <c:ptCount val="4"/>
                <c:pt idx="0">
                  <c:v>3055196291.8412619</c:v>
                </c:pt>
                <c:pt idx="1">
                  <c:v>6511558932.9590302</c:v>
                </c:pt>
                <c:pt idx="2">
                  <c:v>13878126210.949701</c:v>
                </c:pt>
                <c:pt idx="3">
                  <c:v>29578537046.200909</c:v>
                </c:pt>
              </c:numCache>
            </c:numRef>
          </c:val>
        </c:ser>
        <c:overlap val="100"/>
        <c:axId val="212030592"/>
        <c:axId val="212153472"/>
      </c:barChart>
      <c:catAx>
        <c:axId val="212030592"/>
        <c:scaling>
          <c:orientation val="minMax"/>
        </c:scaling>
        <c:axPos val="b"/>
        <c:tickLblPos val="nextTo"/>
        <c:crossAx val="212153472"/>
        <c:crosses val="autoZero"/>
        <c:auto val="1"/>
        <c:lblAlgn val="ctr"/>
        <c:lblOffset val="100"/>
      </c:catAx>
      <c:valAx>
        <c:axId val="212153472"/>
        <c:scaling>
          <c:orientation val="minMax"/>
        </c:scaling>
        <c:axPos val="l"/>
        <c:majorGridlines/>
        <c:numFmt formatCode="0%" sourceLinked="1"/>
        <c:tickLblPos val="nextTo"/>
        <c:crossAx val="2120305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190499</xdr:rowOff>
    </xdr:from>
    <xdr:to>
      <xdr:col>12</xdr:col>
      <xdr:colOff>0</xdr:colOff>
      <xdr:row>19</xdr:row>
      <xdr:rowOff>40821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27214</xdr:colOff>
      <xdr:row>20</xdr:row>
      <xdr:rowOff>40821</xdr:rowOff>
    </xdr:from>
    <xdr:to>
      <xdr:col>12</xdr:col>
      <xdr:colOff>13607</xdr:colOff>
      <xdr:row>39</xdr:row>
      <xdr:rowOff>108856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11</xdr:col>
      <xdr:colOff>612320</xdr:colOff>
      <xdr:row>63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581025</xdr:colOff>
      <xdr:row>30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428624</xdr:colOff>
      <xdr:row>0</xdr:row>
      <xdr:rowOff>0</xdr:rowOff>
    </xdr:from>
    <xdr:to>
      <xdr:col>22</xdr:col>
      <xdr:colOff>146055</xdr:colOff>
      <xdr:row>30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10</xdr:col>
      <xdr:colOff>247650</xdr:colOff>
      <xdr:row>60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609599</xdr:colOff>
      <xdr:row>30</xdr:row>
      <xdr:rowOff>190499</xdr:rowOff>
    </xdr:from>
    <xdr:to>
      <xdr:col>19</xdr:col>
      <xdr:colOff>542925</xdr:colOff>
      <xdr:row>60</xdr:row>
      <xdr:rowOff>66674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0</xdr:row>
      <xdr:rowOff>0</xdr:rowOff>
    </xdr:from>
    <xdr:to>
      <xdr:col>34</xdr:col>
      <xdr:colOff>590550</xdr:colOff>
      <xdr:row>30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31</xdr:row>
      <xdr:rowOff>0</xdr:rowOff>
    </xdr:from>
    <xdr:to>
      <xdr:col>28</xdr:col>
      <xdr:colOff>323850</xdr:colOff>
      <xdr:row>60</xdr:row>
      <xdr:rowOff>38100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61</xdr:row>
      <xdr:rowOff>190499</xdr:rowOff>
    </xdr:from>
    <xdr:to>
      <xdr:col>15</xdr:col>
      <xdr:colOff>19050</xdr:colOff>
      <xdr:row>87</xdr:row>
      <xdr:rowOff>180975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9524</xdr:colOff>
      <xdr:row>41</xdr:row>
      <xdr:rowOff>38100</xdr:rowOff>
    </xdr:from>
    <xdr:to>
      <xdr:col>26</xdr:col>
      <xdr:colOff>95249</xdr:colOff>
      <xdr:row>74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114299</xdr:colOff>
      <xdr:row>91</xdr:row>
      <xdr:rowOff>28575</xdr:rowOff>
    </xdr:from>
    <xdr:to>
      <xdr:col>21</xdr:col>
      <xdr:colOff>38099</xdr:colOff>
      <xdr:row>108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409575</xdr:colOff>
      <xdr:row>92</xdr:row>
      <xdr:rowOff>85725</xdr:rowOff>
    </xdr:from>
    <xdr:to>
      <xdr:col>14</xdr:col>
      <xdr:colOff>476250</xdr:colOff>
      <xdr:row>106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0613.950540625003" createdVersion="3" refreshedVersion="3" minRefreshableVersion="3" recordCount="115">
  <cacheSource type="worksheet">
    <worksheetSource name="Table3"/>
  </cacheSource>
  <cacheFields count="4">
    <cacheField name="STAT_DATE" numFmtId="14">
      <sharedItems containsSemiMixedTypes="0" containsNonDate="0" containsDate="1" containsString="0" minDate="2008-10-01T00:00:00" maxDate="2011-02-02T00:00:00" count="29"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</sharedItems>
    </cacheField>
    <cacheField name="METER_ID" numFmtId="0">
      <sharedItems containsSemiMixedTypes="0" containsString="0" containsNumber="1" containsInteger="1" minValue="147" maxValue="152"/>
    </cacheField>
    <cacheField name="SUM(VALUE)" numFmtId="1">
      <sharedItems containsSemiMixedTypes="0" containsString="0" containsNumber="1" containsInteger="1" minValue="3937" maxValue="3719803146"/>
    </cacheField>
    <cacheField name="meter" numFmtId="0">
      <sharedItems count="3">
        <s v="Data"/>
        <s v="Voice"/>
        <s v="SMS/EAM/VA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 " refreshedDate="40614.004170717591" createdVersion="3" refreshedVersion="3" minRefreshableVersion="3" recordCount="48">
  <cacheSource type="worksheet">
    <worksheetSource name="Table2"/>
  </cacheSource>
  <cacheFields count="7">
    <cacheField name="Period" numFmtId="0">
      <sharedItems containsSemiMixedTypes="0" containsString="0" containsNumber="1" containsInteger="1" minValue="12" maxValue="59"/>
    </cacheField>
    <cacheField name="Date" numFmtId="14">
      <sharedItems containsSemiMixedTypes="0" containsNonDate="0" containsDate="1" containsString="0" minDate="2010-01-01T00:00:00" maxDate="2013-12-02T00:00:00"/>
    </cacheField>
    <cacheField name="Voice" numFmtId="165">
      <sharedItems containsSemiMixedTypes="0" containsString="0" containsNumber="1" minValue="799925001.03999996" maxValue="847948907.32000005"/>
    </cacheField>
    <cacheField name="SMS" numFmtId="165">
      <sharedItems containsSemiMixedTypes="0" containsString="0" containsNumber="1" minValue="2466172528.5599999" maxValue="6757315317.1069241"/>
    </cacheField>
    <cacheField name="Data" numFmtId="11">
      <sharedItems containsSemiMixedTypes="0" containsString="0" containsNumber="1" minValue="175787129.79894045" maxValue="3405519327.4021659"/>
    </cacheField>
    <cacheField name="Total" numFmtId="165">
      <sharedItems containsSemiMixedTypes="0" containsString="0" containsNumber="1" minValue="3489908565.6789408" maxValue="10962759645.549089"/>
    </cacheField>
    <cacheField name="Year" numFmtId="1">
      <sharedItems containsSemiMixedTypes="0" containsString="0" containsNumber="1" containsInteger="1" minValue="2010" maxValue="2013" count="4">
        <n v="2010"/>
        <n v="2011"/>
        <n v="2012"/>
        <n v="201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">
  <r>
    <x v="0"/>
    <n v="148"/>
    <n v="3937"/>
    <x v="0"/>
  </r>
  <r>
    <x v="0"/>
    <n v="147"/>
    <n v="6167"/>
    <x v="0"/>
  </r>
  <r>
    <x v="0"/>
    <n v="152"/>
    <n v="2268096"/>
    <x v="1"/>
  </r>
  <r>
    <x v="1"/>
    <n v="148"/>
    <n v="78790"/>
    <x v="0"/>
  </r>
  <r>
    <x v="1"/>
    <n v="147"/>
    <n v="35218897"/>
    <x v="0"/>
  </r>
  <r>
    <x v="1"/>
    <n v="152"/>
    <n v="370691588"/>
    <x v="1"/>
  </r>
  <r>
    <x v="1"/>
    <n v="149"/>
    <n v="530338319"/>
    <x v="2"/>
  </r>
  <r>
    <x v="2"/>
    <n v="148"/>
    <n v="146765"/>
    <x v="0"/>
  </r>
  <r>
    <x v="2"/>
    <n v="147"/>
    <n v="85597840"/>
    <x v="0"/>
  </r>
  <r>
    <x v="2"/>
    <n v="152"/>
    <n v="857410435"/>
    <x v="1"/>
  </r>
  <r>
    <x v="2"/>
    <n v="149"/>
    <n v="1409585035"/>
    <x v="2"/>
  </r>
  <r>
    <x v="3"/>
    <n v="148"/>
    <n v="150528"/>
    <x v="0"/>
  </r>
  <r>
    <x v="3"/>
    <n v="147"/>
    <n v="90595457"/>
    <x v="0"/>
  </r>
  <r>
    <x v="3"/>
    <n v="152"/>
    <n v="806392680"/>
    <x v="1"/>
  </r>
  <r>
    <x v="3"/>
    <n v="149"/>
    <n v="1577749928"/>
    <x v="2"/>
  </r>
  <r>
    <x v="4"/>
    <n v="148"/>
    <n v="131677"/>
    <x v="0"/>
  </r>
  <r>
    <x v="4"/>
    <n v="147"/>
    <n v="88102577"/>
    <x v="0"/>
  </r>
  <r>
    <x v="4"/>
    <n v="152"/>
    <n v="743232632"/>
    <x v="1"/>
  </r>
  <r>
    <x v="4"/>
    <n v="149"/>
    <n v="1424844332"/>
    <x v="2"/>
  </r>
  <r>
    <x v="5"/>
    <n v="148"/>
    <n v="131386"/>
    <x v="0"/>
  </r>
  <r>
    <x v="5"/>
    <n v="147"/>
    <n v="102520758"/>
    <x v="0"/>
  </r>
  <r>
    <x v="5"/>
    <n v="152"/>
    <n v="827832213"/>
    <x v="1"/>
  </r>
  <r>
    <x v="5"/>
    <n v="149"/>
    <n v="1640329409"/>
    <x v="2"/>
  </r>
  <r>
    <x v="6"/>
    <n v="148"/>
    <n v="121364"/>
    <x v="0"/>
  </r>
  <r>
    <x v="6"/>
    <n v="147"/>
    <n v="102731911"/>
    <x v="0"/>
  </r>
  <r>
    <x v="6"/>
    <n v="152"/>
    <n v="849285243"/>
    <x v="1"/>
  </r>
  <r>
    <x v="6"/>
    <n v="149"/>
    <n v="1626681935"/>
    <x v="2"/>
  </r>
  <r>
    <x v="7"/>
    <n v="148"/>
    <n v="125955"/>
    <x v="0"/>
  </r>
  <r>
    <x v="7"/>
    <n v="147"/>
    <n v="111889951"/>
    <x v="0"/>
  </r>
  <r>
    <x v="7"/>
    <n v="152"/>
    <n v="918454795"/>
    <x v="1"/>
  </r>
  <r>
    <x v="7"/>
    <n v="149"/>
    <n v="1727627616"/>
    <x v="2"/>
  </r>
  <r>
    <x v="8"/>
    <n v="148"/>
    <n v="105679"/>
    <x v="0"/>
  </r>
  <r>
    <x v="8"/>
    <n v="147"/>
    <n v="116272975"/>
    <x v="0"/>
  </r>
  <r>
    <x v="8"/>
    <n v="152"/>
    <n v="928917743"/>
    <x v="1"/>
  </r>
  <r>
    <x v="8"/>
    <n v="149"/>
    <n v="1778683249"/>
    <x v="2"/>
  </r>
  <r>
    <x v="9"/>
    <n v="148"/>
    <n v="108265"/>
    <x v="0"/>
  </r>
  <r>
    <x v="9"/>
    <n v="147"/>
    <n v="128688160"/>
    <x v="0"/>
  </r>
  <r>
    <x v="9"/>
    <n v="152"/>
    <n v="925416356"/>
    <x v="1"/>
  </r>
  <r>
    <x v="9"/>
    <n v="149"/>
    <n v="1913331896"/>
    <x v="2"/>
  </r>
  <r>
    <x v="10"/>
    <n v="148"/>
    <n v="109425"/>
    <x v="0"/>
  </r>
  <r>
    <x v="10"/>
    <n v="147"/>
    <n v="133404444"/>
    <x v="0"/>
  </r>
  <r>
    <x v="10"/>
    <n v="152"/>
    <n v="925808769"/>
    <x v="1"/>
  </r>
  <r>
    <x v="10"/>
    <n v="149"/>
    <n v="1817991335"/>
    <x v="2"/>
  </r>
  <r>
    <x v="11"/>
    <n v="148"/>
    <n v="108080"/>
    <x v="0"/>
  </r>
  <r>
    <x v="11"/>
    <n v="147"/>
    <n v="127744012"/>
    <x v="0"/>
  </r>
  <r>
    <x v="11"/>
    <n v="152"/>
    <n v="842464753"/>
    <x v="1"/>
  </r>
  <r>
    <x v="11"/>
    <n v="149"/>
    <n v="1851854008"/>
    <x v="2"/>
  </r>
  <r>
    <x v="12"/>
    <n v="148"/>
    <n v="110150"/>
    <x v="0"/>
  </r>
  <r>
    <x v="12"/>
    <n v="147"/>
    <n v="149207402"/>
    <x v="0"/>
  </r>
  <r>
    <x v="12"/>
    <n v="152"/>
    <n v="911376510"/>
    <x v="1"/>
  </r>
  <r>
    <x v="12"/>
    <n v="149"/>
    <n v="2196033108"/>
    <x v="2"/>
  </r>
  <r>
    <x v="13"/>
    <n v="148"/>
    <n v="93399"/>
    <x v="0"/>
  </r>
  <r>
    <x v="13"/>
    <n v="147"/>
    <n v="135548590"/>
    <x v="0"/>
  </r>
  <r>
    <x v="13"/>
    <n v="152"/>
    <n v="822638458"/>
    <x v="1"/>
  </r>
  <r>
    <x v="13"/>
    <n v="149"/>
    <n v="2219405692"/>
    <x v="2"/>
  </r>
  <r>
    <x v="14"/>
    <n v="148"/>
    <n v="98570"/>
    <x v="0"/>
  </r>
  <r>
    <x v="14"/>
    <n v="147"/>
    <n v="149054701"/>
    <x v="0"/>
  </r>
  <r>
    <x v="14"/>
    <n v="152"/>
    <n v="851645852"/>
    <x v="1"/>
  </r>
  <r>
    <x v="14"/>
    <n v="149"/>
    <n v="2460006734"/>
    <x v="2"/>
  </r>
  <r>
    <x v="15"/>
    <n v="148"/>
    <n v="140558"/>
    <x v="0"/>
  </r>
  <r>
    <x v="15"/>
    <n v="147"/>
    <n v="161829281"/>
    <x v="0"/>
  </r>
  <r>
    <x v="15"/>
    <n v="152"/>
    <n v="775951357"/>
    <x v="1"/>
  </r>
  <r>
    <x v="15"/>
    <n v="149"/>
    <n v="2685894944"/>
    <x v="2"/>
  </r>
  <r>
    <x v="16"/>
    <n v="148"/>
    <n v="88083"/>
    <x v="0"/>
  </r>
  <r>
    <x v="16"/>
    <n v="147"/>
    <n v="155307408"/>
    <x v="0"/>
  </r>
  <r>
    <x v="16"/>
    <n v="152"/>
    <n v="714695021"/>
    <x v="1"/>
  </r>
  <r>
    <x v="16"/>
    <n v="149"/>
    <n v="2435420248"/>
    <x v="2"/>
  </r>
  <r>
    <x v="17"/>
    <n v="148"/>
    <n v="93037"/>
    <x v="0"/>
  </r>
  <r>
    <x v="17"/>
    <n v="147"/>
    <n v="199693472"/>
    <x v="0"/>
  </r>
  <r>
    <x v="17"/>
    <n v="152"/>
    <n v="819368646"/>
    <x v="1"/>
  </r>
  <r>
    <x v="17"/>
    <n v="149"/>
    <n v="2767645393"/>
    <x v="2"/>
  </r>
  <r>
    <x v="18"/>
    <n v="148"/>
    <n v="92568"/>
    <x v="0"/>
  </r>
  <r>
    <x v="18"/>
    <n v="147"/>
    <n v="181792747"/>
    <x v="0"/>
  </r>
  <r>
    <x v="18"/>
    <n v="152"/>
    <n v="859331812"/>
    <x v="1"/>
  </r>
  <r>
    <x v="18"/>
    <n v="149"/>
    <n v="2874562861"/>
    <x v="2"/>
  </r>
  <r>
    <x v="19"/>
    <n v="148"/>
    <n v="90066"/>
    <x v="0"/>
  </r>
  <r>
    <x v="19"/>
    <n v="147"/>
    <n v="208325440"/>
    <x v="0"/>
  </r>
  <r>
    <x v="19"/>
    <n v="152"/>
    <n v="899251702"/>
    <x v="1"/>
  </r>
  <r>
    <x v="19"/>
    <n v="149"/>
    <n v="2952291253"/>
    <x v="2"/>
  </r>
  <r>
    <x v="20"/>
    <n v="148"/>
    <n v="87529"/>
    <x v="0"/>
  </r>
  <r>
    <x v="20"/>
    <n v="147"/>
    <n v="220454109"/>
    <x v="0"/>
  </r>
  <r>
    <x v="20"/>
    <n v="152"/>
    <n v="917155703"/>
    <x v="1"/>
  </r>
  <r>
    <x v="20"/>
    <n v="149"/>
    <n v="2884666870"/>
    <x v="2"/>
  </r>
  <r>
    <x v="21"/>
    <n v="148"/>
    <n v="92308"/>
    <x v="0"/>
  </r>
  <r>
    <x v="21"/>
    <n v="147"/>
    <n v="243560813"/>
    <x v="0"/>
  </r>
  <r>
    <x v="21"/>
    <n v="152"/>
    <n v="906803120"/>
    <x v="1"/>
  </r>
  <r>
    <x v="21"/>
    <n v="149"/>
    <n v="2970778325"/>
    <x v="2"/>
  </r>
  <r>
    <x v="22"/>
    <n v="148"/>
    <n v="92142"/>
    <x v="0"/>
  </r>
  <r>
    <x v="22"/>
    <n v="147"/>
    <n v="296329762"/>
    <x v="0"/>
  </r>
  <r>
    <x v="22"/>
    <n v="152"/>
    <n v="878322349"/>
    <x v="1"/>
  </r>
  <r>
    <x v="22"/>
    <n v="149"/>
    <n v="2849731400"/>
    <x v="2"/>
  </r>
  <r>
    <x v="23"/>
    <n v="148"/>
    <n v="91073"/>
    <x v="0"/>
  </r>
  <r>
    <x v="23"/>
    <n v="147"/>
    <n v="317991522"/>
    <x v="0"/>
  </r>
  <r>
    <x v="23"/>
    <n v="152"/>
    <n v="864891082"/>
    <x v="1"/>
  </r>
  <r>
    <x v="23"/>
    <n v="149"/>
    <n v="3065229977"/>
    <x v="2"/>
  </r>
  <r>
    <x v="24"/>
    <n v="148"/>
    <n v="84008"/>
    <x v="0"/>
  </r>
  <r>
    <x v="24"/>
    <n v="147"/>
    <n v="336305181"/>
    <x v="0"/>
  </r>
  <r>
    <x v="24"/>
    <n v="152"/>
    <n v="879562528"/>
    <x v="1"/>
  </r>
  <r>
    <x v="24"/>
    <n v="149"/>
    <n v="3357870413"/>
    <x v="2"/>
  </r>
  <r>
    <x v="25"/>
    <n v="148"/>
    <n v="76354"/>
    <x v="0"/>
  </r>
  <r>
    <x v="25"/>
    <n v="147"/>
    <n v="352473258"/>
    <x v="0"/>
  </r>
  <r>
    <x v="25"/>
    <n v="152"/>
    <n v="811886043"/>
    <x v="1"/>
  </r>
  <r>
    <x v="25"/>
    <n v="149"/>
    <n v="3317683574"/>
    <x v="2"/>
  </r>
  <r>
    <x v="26"/>
    <n v="148"/>
    <n v="62989"/>
    <x v="0"/>
  </r>
  <r>
    <x v="26"/>
    <n v="147"/>
    <n v="384915725"/>
    <x v="0"/>
  </r>
  <r>
    <x v="26"/>
    <n v="152"/>
    <n v="795432396"/>
    <x v="1"/>
  </r>
  <r>
    <x v="26"/>
    <n v="149"/>
    <n v="3538195568"/>
    <x v="2"/>
  </r>
  <r>
    <x v="27"/>
    <n v="148"/>
    <n v="57984"/>
    <x v="0"/>
  </r>
  <r>
    <x v="27"/>
    <n v="147"/>
    <n v="412817503"/>
    <x v="0"/>
  </r>
  <r>
    <x v="27"/>
    <n v="152"/>
    <n v="722604920"/>
    <x v="1"/>
  </r>
  <r>
    <x v="27"/>
    <n v="149"/>
    <n v="3719803146"/>
    <x v="2"/>
  </r>
  <r>
    <x v="28"/>
    <n v="148"/>
    <n v="39971"/>
    <x v="0"/>
  </r>
  <r>
    <x v="28"/>
    <n v="147"/>
    <n v="312700690"/>
    <x v="0"/>
  </r>
  <r>
    <x v="28"/>
    <n v="152"/>
    <n v="542051771"/>
    <x v="1"/>
  </r>
  <r>
    <x v="28"/>
    <n v="149"/>
    <n v="2601235655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12"/>
    <d v="2010-01-01T00:00:00"/>
    <n v="847948907.32000005"/>
    <n v="2466172528.5599999"/>
    <n v="175787129.79894045"/>
    <n v="3489908565.6789408"/>
    <x v="0"/>
  </r>
  <r>
    <n v="13"/>
    <d v="2010-02-01T00:00:00"/>
    <n v="846927122.08000004"/>
    <n v="2557473438.9546156"/>
    <n v="187229479.48947236"/>
    <n v="3591630040.5240879"/>
    <x v="0"/>
  </r>
  <r>
    <n v="14"/>
    <d v="2010-03-01T00:00:00"/>
    <n v="845905336.84000003"/>
    <n v="2648774349.3492308"/>
    <n v="199416635.50678241"/>
    <n v="3694096321.6960135"/>
    <x v="0"/>
  </r>
  <r>
    <n v="15"/>
    <d v="2010-04-01T00:00:00"/>
    <n v="844883551.60000002"/>
    <n v="2740075259.7438459"/>
    <n v="212397078.84292307"/>
    <n v="3797355890.186769"/>
    <x v="0"/>
  </r>
  <r>
    <n v="16"/>
    <d v="2010-05-01T00:00:00"/>
    <n v="843861766.36000001"/>
    <n v="2831376170.1384616"/>
    <n v="226222446.2184979"/>
    <n v="3901460382.7169595"/>
    <x v="0"/>
  </r>
  <r>
    <n v="17"/>
    <d v="2010-06-01T00:00:00"/>
    <n v="842839981.12"/>
    <n v="2922677080.5330772"/>
    <n v="240947735.49559268"/>
    <n v="4006464797.1486697"/>
    <x v="0"/>
  </r>
  <r>
    <n v="18"/>
    <d v="2010-07-01T00:00:00"/>
    <n v="841818195.88"/>
    <n v="3013977990.9276924"/>
    <n v="256631524.46146148"/>
    <n v="4112427711.2691541"/>
    <x v="0"/>
  </r>
  <r>
    <n v="19"/>
    <d v="2010-08-01T00:00:00"/>
    <n v="840796410.63999999"/>
    <n v="3105278901.3223076"/>
    <n v="273336203.85329735"/>
    <n v="4219411515.8156047"/>
    <x v="0"/>
  </r>
  <r>
    <n v="20"/>
    <d v="2010-09-01T00:00:00"/>
    <n v="839774625.39999998"/>
    <n v="3196579811.7169232"/>
    <n v="291128225.55107015"/>
    <n v="4327482662.6679935"/>
    <x v="0"/>
  </r>
  <r>
    <n v="21"/>
    <d v="2010-10-01T00:00:00"/>
    <n v="838752840.15999997"/>
    <n v="3287880722.1115389"/>
    <n v="310078366.92575163"/>
    <n v="4436711929.1972904"/>
    <x v="0"/>
  </r>
  <r>
    <n v="22"/>
    <d v="2010-11-01T00:00:00"/>
    <n v="837731054.92000008"/>
    <n v="3379181632.5061541"/>
    <n v="330262012.39451623"/>
    <n v="4547174699.8206701"/>
    <x v="0"/>
  </r>
  <r>
    <n v="23"/>
    <d v="2010-12-01T00:00:00"/>
    <n v="836709269.68000007"/>
    <n v="3470482542.9007692"/>
    <n v="351759453.30295539"/>
    <n v="4658951265.8837252"/>
    <x v="0"/>
  </r>
  <r>
    <n v="24"/>
    <d v="2011-01-01T00:00:00"/>
    <n v="835687484.44000006"/>
    <n v="3561783453.2953844"/>
    <n v="374656207.32724804"/>
    <n v="4772127145.0626316"/>
    <x v="1"/>
  </r>
  <r>
    <n v="25"/>
    <d v="2011-02-01T00:00:00"/>
    <n v="834665699.20000005"/>
    <n v="3653084363.6900005"/>
    <n v="399043358.66688299"/>
    <n v="4886793421.5568829"/>
    <x v="1"/>
  </r>
  <r>
    <n v="26"/>
    <d v="2011-03-01T00:00:00"/>
    <n v="833643913.96000004"/>
    <n v="3744385274.0846157"/>
    <n v="425017920.3812319"/>
    <n v="5003047108.425848"/>
    <x v="1"/>
  </r>
  <r>
    <n v="27"/>
    <d v="2011-04-01T00:00:00"/>
    <n v="832622128.72000003"/>
    <n v="3835686184.4792309"/>
    <n v="452683220.31136376"/>
    <n v="5120991533.5105953"/>
    <x v="1"/>
  </r>
  <r>
    <n v="28"/>
    <d v="2011-05-01T00:00:00"/>
    <n v="831600343.48000002"/>
    <n v="3926987094.8738461"/>
    <n v="482149312.12231243"/>
    <n v="5240736750.4761581"/>
    <x v="1"/>
  </r>
  <r>
    <n v="29"/>
    <d v="2011-06-01T00:00:00"/>
    <n v="830578558.24000001"/>
    <n v="4018288005.2684622"/>
    <n v="513533413.10093921"/>
    <n v="5362399976.6094007"/>
    <x v="1"/>
  </r>
  <r>
    <n v="30"/>
    <d v="2011-07-01T00:00:00"/>
    <n v="829556773"/>
    <n v="4109588915.6630774"/>
    <n v="546960370.4509691"/>
    <n v="5486106059.1140461"/>
    <x v="1"/>
  </r>
  <r>
    <n v="31"/>
    <d v="2011-08-01T00:00:00"/>
    <n v="828534987.75999999"/>
    <n v="4200889826.0576925"/>
    <n v="582563157.94013941"/>
    <n v="5611987971.7578325"/>
    <x v="1"/>
  </r>
  <r>
    <n v="32"/>
    <d v="2011-09-01T00:00:00"/>
    <n v="827513202.51999998"/>
    <n v="4292190736.4523077"/>
    <n v="620483404.87514484"/>
    <n v="5740187343.8474522"/>
    <x v="1"/>
  </r>
  <r>
    <n v="33"/>
    <d v="2011-10-01T00:00:00"/>
    <n v="826491417.27999997"/>
    <n v="4383491646.8469229"/>
    <n v="660871959.50865984"/>
    <n v="5870855023.635582"/>
    <x v="1"/>
  </r>
  <r>
    <n v="34"/>
    <d v="2011-11-01T00:00:00"/>
    <n v="825469632.03999996"/>
    <n v="4474792557.241539"/>
    <n v="703889489.11969709"/>
    <n v="6004151678.4012356"/>
    <x v="1"/>
  </r>
  <r>
    <n v="35"/>
    <d v="2011-12-01T00:00:00"/>
    <n v="824447846.79999995"/>
    <n v="4566093467.6361542"/>
    <n v="749707119.15444136"/>
    <n v="6140248433.5905952"/>
    <x v="1"/>
  </r>
  <r>
    <n v="36"/>
    <d v="2012-01-01T00:00:00"/>
    <n v="823426061.55999994"/>
    <n v="4657394378.0307693"/>
    <n v="798507113.97009218"/>
    <n v="6279327553.5608606"/>
    <x v="2"/>
  </r>
  <r>
    <n v="37"/>
    <d v="2012-02-01T00:00:00"/>
    <n v="822404276.32000005"/>
    <n v="4748695288.4253845"/>
    <n v="850483601.88973451"/>
    <n v="6421583166.6351185"/>
    <x v="2"/>
  </r>
  <r>
    <n v="38"/>
    <d v="2012-03-01T00:00:00"/>
    <n v="821382491.08000004"/>
    <n v="4839996198.8200006"/>
    <n v="905843347.45254159"/>
    <n v="6567222037.3525419"/>
    <x v="2"/>
  </r>
  <r>
    <n v="39"/>
    <d v="2012-04-01T00:00:00"/>
    <n v="820360705.84000003"/>
    <n v="4931297109.2146158"/>
    <n v="964806573.93134654"/>
    <n v="6716464388.9859629"/>
    <x v="2"/>
  </r>
  <r>
    <n v="40"/>
    <d v="2012-05-01T00:00:00"/>
    <n v="819338920.60000002"/>
    <n v="5022598019.609231"/>
    <n v="1027607839.3895931"/>
    <n v="6869544779.5988245"/>
    <x v="2"/>
  </r>
  <r>
    <n v="41"/>
    <d v="2012-06-01T00:00:00"/>
    <n v="818317135.36000001"/>
    <n v="5113898930.0038462"/>
    <n v="1094496969.7626553"/>
    <n v="7026713035.1265011"/>
    <x v="2"/>
  </r>
  <r>
    <n v="42"/>
    <d v="2012-07-01T00:00:00"/>
    <n v="817295350.12"/>
    <n v="5205199840.3984623"/>
    <n v="1165740052.6753573"/>
    <n v="7188235243.193819"/>
    <x v="2"/>
  </r>
  <r>
    <n v="43"/>
    <d v="2012-08-01T00:00:00"/>
    <n v="816273564.88"/>
    <n v="5296500750.7930775"/>
    <n v="1241620495.9491456"/>
    <n v="7354394811.6222229"/>
    <x v="2"/>
  </r>
  <r>
    <n v="44"/>
    <d v="2012-09-01T00:00:00"/>
    <n v="815251779.63999999"/>
    <n v="5387801661.1876926"/>
    <n v="1322440155.0096889"/>
    <n v="7525493595.8373814"/>
    <x v="2"/>
  </r>
  <r>
    <n v="45"/>
    <d v="2012-10-01T00:00:00"/>
    <n v="814229994.39999998"/>
    <n v="5479102571.5823078"/>
    <n v="1408520533.6797845"/>
    <n v="7701853099.6620922"/>
    <x v="2"/>
  </r>
  <r>
    <n v="46"/>
    <d v="2012-11-01T00:00:00"/>
    <n v="813208209.15999997"/>
    <n v="5570403481.9769239"/>
    <n v="1500204063.1343734"/>
    <n v="7883815754.2712975"/>
    <x v="2"/>
  </r>
  <r>
    <n v="47"/>
    <d v="2012-12-01T00:00:00"/>
    <n v="812186423.91999996"/>
    <n v="5661704392.3715391"/>
    <n v="1597855464.1053894"/>
    <n v="8071746280.3969288"/>
    <x v="2"/>
  </r>
  <r>
    <n v="48"/>
    <d v="2013-01-01T00:00:00"/>
    <n v="811164638.67999995"/>
    <n v="5753005302.7661543"/>
    <n v="1701863197.7553601"/>
    <n v="8266033139.2015152"/>
    <x v="3"/>
  </r>
  <r>
    <n v="49"/>
    <d v="2013-02-01T00:00:00"/>
    <n v="810142853.43999994"/>
    <n v="5844306213.1607695"/>
    <n v="1812641010.991384"/>
    <n v="8467090077.5921535"/>
    <x v="3"/>
  </r>
  <r>
    <n v="50"/>
    <d v="2013-03-01T00:00:00"/>
    <n v="809121068.20000005"/>
    <n v="5935607123.5553856"/>
    <n v="1930629582.3668056"/>
    <n v="8675357774.1221905"/>
    <x v="3"/>
  </r>
  <r>
    <n v="51"/>
    <d v="2013-04-01T00:00:00"/>
    <n v="808099282.96000004"/>
    <n v="6026908033.9500008"/>
    <n v="2056298275.1180522"/>
    <n v="8891305592.0280533"/>
    <x v="3"/>
  </r>
  <r>
    <n v="52"/>
    <d v="2013-05-01T00:00:00"/>
    <n v="807077497.72000003"/>
    <n v="6118208944.3446159"/>
    <n v="2190147004.310286"/>
    <n v="9115433446.3749027"/>
    <x v="3"/>
  </r>
  <r>
    <n v="53"/>
    <d v="2013-06-01T00:00:00"/>
    <n v="806055712.48000002"/>
    <n v="6209509854.7392311"/>
    <n v="2332708225.5194416"/>
    <n v="9348273792.7386723"/>
    <x v="3"/>
  </r>
  <r>
    <n v="54"/>
    <d v="2013-07-01T00:00:00"/>
    <n v="805033927.24000001"/>
    <n v="6300810765.1338472"/>
    <n v="2484549052.9617167"/>
    <n v="9590393745.3355637"/>
    <x v="3"/>
  </r>
  <r>
    <n v="55"/>
    <d v="2013-08-01T00:00:00"/>
    <n v="804012142"/>
    <n v="6392111675.5284624"/>
    <n v="2646273515.4965115"/>
    <n v="9842397333.0249748"/>
    <x v="3"/>
  </r>
  <r>
    <n v="56"/>
    <d v="2013-09-01T00:00:00"/>
    <n v="802990356.75999999"/>
    <n v="6483412585.9230776"/>
    <n v="2818524959.4772911"/>
    <n v="10104927902.16037"/>
    <x v="3"/>
  </r>
  <r>
    <n v="57"/>
    <d v="2013-10-01T00:00:00"/>
    <n v="801968571.51999998"/>
    <n v="6574713496.3176928"/>
    <n v="3001988608.0090055"/>
    <n v="10378670675.846699"/>
    <x v="3"/>
  </r>
  <r>
    <n v="58"/>
    <d v="2013-11-01T00:00:00"/>
    <n v="800946786.27999997"/>
    <n v="6666014406.7123089"/>
    <n v="3197394286.7928872"/>
    <n v="10664355479.785196"/>
    <x v="3"/>
  </r>
  <r>
    <n v="59"/>
    <d v="2013-12-01T00:00:00"/>
    <n v="799925001.03999996"/>
    <n v="6757315317.1069241"/>
    <n v="3405519327.4021659"/>
    <n v="10962759645.54908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>
  <location ref="G93:J99" firstHeaderRow="1" firstDataRow="2" firstDataCol="1"/>
  <pivotFields count="7">
    <pivotField showAll="0"/>
    <pivotField numFmtId="14" showAll="0"/>
    <pivotField dataField="1" numFmtId="165" showAll="0"/>
    <pivotField dataField="1" numFmtId="165" showAll="0"/>
    <pivotField dataField="1" numFmtId="11" showAll="0"/>
    <pivotField numFmtId="165" showAll="0"/>
    <pivotField axis="axisRow" numFmtId="1"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Voice" fld="2" baseField="0" baseItem="0"/>
    <dataField name="Sum of SMS" fld="3" baseField="0" baseItem="0"/>
    <dataField name="Sum of Data" fld="4" baseField="0" baseItem="0"/>
  </dataFields>
  <formats count="2">
    <format dxfId="1">
      <pivotArea collapsedLevelsAreSubtotals="1" fieldPosition="0">
        <references count="1">
          <reference field="6" count="0"/>
        </references>
      </pivotArea>
    </format>
    <format dxfId="0">
      <pivotArea collapsedLevelsAreSubtotals="1" fieldPosition="0">
        <references count="1">
          <reference field="6" count="0"/>
        </references>
      </pivotArea>
    </format>
  </format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6">
  <location ref="G4:K31" firstHeaderRow="1" firstDataRow="2" firstDataCol="1"/>
  <pivotFields count="4">
    <pivotField axis="axisRow" numFmtId="14" showAll="0">
      <items count="30">
        <item h="1" x="0"/>
        <item h="1"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28"/>
        <item t="default"/>
      </items>
    </pivotField>
    <pivotField showAll="0"/>
    <pivotField dataField="1" numFmtId="1" showAll="0"/>
    <pivotField axis="axisCol" showAll="0">
      <items count="4">
        <item x="0"/>
        <item x="2"/>
        <item x="1"/>
        <item t="default"/>
      </items>
    </pivotField>
  </pivotFields>
  <rowFields count="1">
    <field x="0"/>
  </rowFields>
  <rowItems count="26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SUM(VALUE)" fld="2" baseField="0" baseItem="0" numFmtId="1"/>
  </dataFields>
  <formats count="2">
    <format dxfId="52">
      <pivotArea type="all" dataOnly="0" outline="0" fieldPosition="0"/>
    </format>
    <format dxfId="51">
      <pivotArea type="all" dataOnly="0" outline="0" fieldPosition="0"/>
    </format>
  </formats>
  <chartFormats count="6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3" name="Table3" displayName="Table3" ref="A1:D116" totalsRowShown="0" headerRowDxfId="50">
  <autoFilter ref="A1:D116"/>
  <tableColumns count="4">
    <tableColumn id="1" name="STAT_DATE" dataDxfId="49"/>
    <tableColumn id="2" name="METER_ID" dataDxfId="48"/>
    <tableColumn id="3" name="SUM(VALUE)" dataDxfId="47"/>
    <tableColumn id="4" name="meter" dataDxfId="4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41:M89" totalsRowShown="0" headerRowDxfId="45" dataDxfId="44">
  <autoFilter ref="G41:M89">
    <filterColumn colId="6"/>
  </autoFilter>
  <tableColumns count="7">
    <tableColumn id="1" name="Period" dataDxfId="43"/>
    <tableColumn id="2" name="Date" dataDxfId="42"/>
    <tableColumn id="3" name="Voice" dataDxfId="41">
      <calculatedColumnFormula>$G$38*$G42+$H$38</calculatedColumnFormula>
    </tableColumn>
    <tableColumn id="4" name="SMS" dataDxfId="40">
      <calculatedColumnFormula>$G$37*$G42+$H$37</calculatedColumnFormula>
    </tableColumn>
    <tableColumn id="5" name="Data" dataDxfId="39">
      <calculatedColumnFormula>($G$36^$G42)*$H$36</calculatedColumnFormula>
    </tableColumn>
    <tableColumn id="6" name="Total" dataDxfId="38">
      <calculatedColumnFormula>SUM(I42:K42)</calculatedColumnFormula>
    </tableColumn>
    <tableColumn id="7" name="Year" dataDxfId="2">
      <calculatedColumnFormula>TRUNC(G42/12,0)+2009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AG67" totalsRowShown="0" headerRowDxfId="37" dataDxfId="36">
  <autoFilter ref="A1:AG67">
    <filterColumn colId="30"/>
    <filterColumn colId="31"/>
    <filterColumn colId="32"/>
  </autoFilter>
  <tableColumns count="33">
    <tableColumn id="1" name="Month-Year" dataDxfId="35"/>
    <tableColumn id="2" name="Period" dataDxfId="34"/>
    <tableColumn id="3" name="total" dataDxfId="33">
      <calculatedColumnFormula>SUM(D2:Z2)</calculatedColumnFormula>
    </tableColumn>
    <tableColumn id="4" name=" Cycle 1" dataDxfId="32"/>
    <tableColumn id="5" name=" Cycle 2" dataDxfId="31"/>
    <tableColumn id="6" name=" Cycle 3" dataDxfId="30"/>
    <tableColumn id="7" name=" Cycle 4" dataDxfId="29"/>
    <tableColumn id="8" name=" Cycle 5" dataDxfId="28"/>
    <tableColumn id="9" name=" Cycle 6" dataDxfId="27"/>
    <tableColumn id="10" name=" Cycle 7" dataDxfId="26"/>
    <tableColumn id="11" name=" Cycle 9" dataDxfId="25"/>
    <tableColumn id="12" name=" Cycle 10" dataDxfId="24"/>
    <tableColumn id="13" name="Cycle 11" dataDxfId="23"/>
    <tableColumn id="14" name="Cycle 12" dataDxfId="22"/>
    <tableColumn id="15" name="Cycle 13" dataDxfId="21"/>
    <tableColumn id="16" name="Cycle 14" dataDxfId="20"/>
    <tableColumn id="17" name="Cycle 15" dataDxfId="19"/>
    <tableColumn id="18" name="Cycle 16" dataDxfId="18"/>
    <tableColumn id="19" name="Cycle 17" dataDxfId="17"/>
    <tableColumn id="20" name="Cycle 18" dataDxfId="16"/>
    <tableColumn id="21" name="Cycle 19" dataDxfId="15"/>
    <tableColumn id="22" name="Cycle 20" dataDxfId="14"/>
    <tableColumn id="23" name="Cycle 21" dataDxfId="13"/>
    <tableColumn id="24" name="Cycle 22" dataDxfId="12"/>
    <tableColumn id="25" name="Cycle 23" dataDxfId="11"/>
    <tableColumn id="26" name="Cycle 24" dataDxfId="10"/>
    <tableColumn id="27" name="Total2" dataDxfId="9"/>
    <tableColumn id="28" name="USAGE 1" dataDxfId="8"/>
    <tableColumn id="29" name="Usage 2" dataDxfId="7"/>
    <tableColumn id="30" name="Usage 3" dataDxfId="6"/>
    <tableColumn id="31" name="U1 Ratio" dataDxfId="5">
      <calculatedColumnFormula>AB2/$AA2</calculatedColumnFormula>
    </tableColumn>
    <tableColumn id="32" name="U2 Ratio" dataDxfId="4">
      <calculatedColumnFormula>AC2/$AA2</calculatedColumnFormula>
    </tableColumn>
    <tableColumn id="33" name="U3 Ratio" dataDxfId="3">
      <calculatedColumnFormula>AD2/$AA2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28" zoomScale="70" zoomScaleNormal="70" workbookViewId="0">
      <selection activeCell="R59" sqref="R5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61" workbookViewId="0">
      <selection activeCell="B63" sqref="B63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34"/>
  <sheetViews>
    <sheetView topLeftCell="E84" workbookViewId="0">
      <selection activeCell="G94" sqref="G94"/>
    </sheetView>
  </sheetViews>
  <sheetFormatPr defaultRowHeight="15"/>
  <cols>
    <col min="1" max="1" width="16.28515625" customWidth="1"/>
    <col min="2" max="2" width="11.7109375" customWidth="1"/>
    <col min="3" max="3" width="16.5703125" customWidth="1"/>
    <col min="4" max="4" width="21.140625" customWidth="1"/>
    <col min="7" max="7" width="13" customWidth="1"/>
    <col min="8" max="8" width="12.5703125" customWidth="1"/>
    <col min="9" max="10" width="12" customWidth="1"/>
    <col min="11" max="11" width="12" bestFit="1" customWidth="1"/>
    <col min="12" max="12" width="12.85546875" customWidth="1"/>
    <col min="13" max="13" width="9.5703125" bestFit="1" customWidth="1"/>
  </cols>
  <sheetData>
    <row r="1" spans="1:15">
      <c r="A1" s="25" t="s">
        <v>0</v>
      </c>
      <c r="B1" s="25" t="s">
        <v>1</v>
      </c>
      <c r="C1" s="25" t="s">
        <v>2</v>
      </c>
      <c r="D1" s="25" t="s">
        <v>15</v>
      </c>
    </row>
    <row r="2" spans="1:15">
      <c r="A2" s="27">
        <v>39722</v>
      </c>
      <c r="B2" s="25">
        <v>148</v>
      </c>
      <c r="C2" s="28">
        <v>3937</v>
      </c>
      <c r="D2" s="25" t="s">
        <v>11</v>
      </c>
    </row>
    <row r="3" spans="1:15">
      <c r="A3" s="27">
        <v>39722</v>
      </c>
      <c r="B3" s="25">
        <v>147</v>
      </c>
      <c r="C3" s="28">
        <v>6167</v>
      </c>
      <c r="D3" s="25" t="s">
        <v>11</v>
      </c>
    </row>
    <row r="4" spans="1:15">
      <c r="A4" s="27">
        <v>39722</v>
      </c>
      <c r="B4" s="25">
        <v>152</v>
      </c>
      <c r="C4" s="28">
        <v>2268096</v>
      </c>
      <c r="D4" s="25" t="s">
        <v>14</v>
      </c>
      <c r="G4" s="29" t="s">
        <v>19</v>
      </c>
      <c r="H4" s="29" t="s">
        <v>18</v>
      </c>
      <c r="I4" s="25"/>
      <c r="J4" s="25"/>
      <c r="K4" s="25"/>
    </row>
    <row r="5" spans="1:15">
      <c r="A5" s="27">
        <v>39753</v>
      </c>
      <c r="B5" s="25">
        <v>148</v>
      </c>
      <c r="C5" s="28">
        <v>78790</v>
      </c>
      <c r="D5" s="25" t="s">
        <v>11</v>
      </c>
      <c r="G5" s="29" t="s">
        <v>16</v>
      </c>
      <c r="H5" s="25" t="s">
        <v>11</v>
      </c>
      <c r="I5" s="25" t="s">
        <v>22</v>
      </c>
      <c r="J5" s="25" t="s">
        <v>14</v>
      </c>
      <c r="K5" s="25" t="s">
        <v>17</v>
      </c>
      <c r="L5" s="25" t="s">
        <v>57</v>
      </c>
      <c r="M5" s="25" t="s">
        <v>58</v>
      </c>
      <c r="N5" s="25" t="s">
        <v>59</v>
      </c>
      <c r="O5" s="25" t="s">
        <v>52</v>
      </c>
    </row>
    <row r="6" spans="1:15">
      <c r="A6" s="27">
        <v>39753</v>
      </c>
      <c r="B6" s="25">
        <v>147</v>
      </c>
      <c r="C6" s="28">
        <v>35218897</v>
      </c>
      <c r="D6" s="25" t="s">
        <v>11</v>
      </c>
      <c r="G6" s="27">
        <v>39814</v>
      </c>
      <c r="H6" s="28">
        <v>90745985</v>
      </c>
      <c r="I6" s="28">
        <v>1577749928</v>
      </c>
      <c r="J6" s="28">
        <v>806392680</v>
      </c>
      <c r="K6" s="28">
        <v>2474888593</v>
      </c>
      <c r="L6" s="30">
        <f>H6/$K6</f>
        <v>3.6666694919790271E-2</v>
      </c>
      <c r="M6" s="30">
        <f t="shared" ref="M6:N6" si="0">I6/$K6</f>
        <v>0.63750341427994939</v>
      </c>
      <c r="N6" s="30">
        <f t="shared" si="0"/>
        <v>0.32582989080026037</v>
      </c>
      <c r="O6" s="31">
        <v>0</v>
      </c>
    </row>
    <row r="7" spans="1:15">
      <c r="A7" s="27">
        <v>39753</v>
      </c>
      <c r="B7" s="25">
        <v>152</v>
      </c>
      <c r="C7" s="28">
        <v>370691588</v>
      </c>
      <c r="D7" s="25" t="s">
        <v>14</v>
      </c>
      <c r="G7" s="27">
        <v>39845</v>
      </c>
      <c r="H7" s="28">
        <v>88234254</v>
      </c>
      <c r="I7" s="28">
        <v>1424844332</v>
      </c>
      <c r="J7" s="28">
        <v>743232632</v>
      </c>
      <c r="K7" s="28">
        <v>2256311218</v>
      </c>
      <c r="L7" s="30">
        <f t="shared" ref="L7:L31" si="1">H7/$K7</f>
        <v>3.9105533534603026E-2</v>
      </c>
      <c r="M7" s="30">
        <f t="shared" ref="M7:M31" si="2">I7/$K7</f>
        <v>0.63149281917898969</v>
      </c>
      <c r="N7" s="30">
        <f t="shared" ref="N7:N31" si="3">J7/$K7</f>
        <v>0.32940164728640725</v>
      </c>
      <c r="O7" s="31">
        <v>1</v>
      </c>
    </row>
    <row r="8" spans="1:15">
      <c r="A8" s="27">
        <v>39753</v>
      </c>
      <c r="B8" s="25">
        <v>149</v>
      </c>
      <c r="C8" s="28">
        <v>530338319</v>
      </c>
      <c r="D8" s="25" t="s">
        <v>22</v>
      </c>
      <c r="G8" s="27">
        <v>39873</v>
      </c>
      <c r="H8" s="28">
        <v>102652144</v>
      </c>
      <c r="I8" s="28">
        <v>1640329409</v>
      </c>
      <c r="J8" s="28">
        <v>827832213</v>
      </c>
      <c r="K8" s="28">
        <v>2570813766</v>
      </c>
      <c r="L8" s="30">
        <f t="shared" si="1"/>
        <v>3.9929825084031388E-2</v>
      </c>
      <c r="M8" s="30">
        <f t="shared" si="2"/>
        <v>0.6380584353071338</v>
      </c>
      <c r="N8" s="30">
        <f t="shared" si="3"/>
        <v>0.32201173960883483</v>
      </c>
      <c r="O8" s="31">
        <v>2</v>
      </c>
    </row>
    <row r="9" spans="1:15">
      <c r="A9" s="27">
        <v>39783</v>
      </c>
      <c r="B9" s="25">
        <v>148</v>
      </c>
      <c r="C9" s="28">
        <v>146765</v>
      </c>
      <c r="D9" s="25" t="s">
        <v>11</v>
      </c>
      <c r="G9" s="27">
        <v>39904</v>
      </c>
      <c r="H9" s="28">
        <v>102853275</v>
      </c>
      <c r="I9" s="28">
        <v>1626681935</v>
      </c>
      <c r="J9" s="28">
        <v>849285243</v>
      </c>
      <c r="K9" s="28">
        <v>2578820453</v>
      </c>
      <c r="L9" s="30">
        <f t="shared" si="1"/>
        <v>3.9883844910702668E-2</v>
      </c>
      <c r="M9" s="30">
        <f t="shared" si="2"/>
        <v>0.63078526196255513</v>
      </c>
      <c r="N9" s="30">
        <f t="shared" si="3"/>
        <v>0.32933089312674224</v>
      </c>
      <c r="O9" s="31">
        <v>3</v>
      </c>
    </row>
    <row r="10" spans="1:15">
      <c r="A10" s="27">
        <v>39783</v>
      </c>
      <c r="B10" s="25">
        <v>147</v>
      </c>
      <c r="C10" s="28">
        <v>85597840</v>
      </c>
      <c r="D10" s="25" t="s">
        <v>11</v>
      </c>
      <c r="G10" s="27">
        <v>39934</v>
      </c>
      <c r="H10" s="28">
        <v>112015906</v>
      </c>
      <c r="I10" s="28">
        <v>1727627616</v>
      </c>
      <c r="J10" s="28">
        <v>918454795</v>
      </c>
      <c r="K10" s="28">
        <v>2758098317</v>
      </c>
      <c r="L10" s="30">
        <f t="shared" si="1"/>
        <v>4.0613456492675129E-2</v>
      </c>
      <c r="M10" s="30">
        <f t="shared" si="2"/>
        <v>0.62638362285763294</v>
      </c>
      <c r="N10" s="30">
        <f t="shared" si="3"/>
        <v>0.333002920649692</v>
      </c>
      <c r="O10" s="31">
        <v>4</v>
      </c>
    </row>
    <row r="11" spans="1:15">
      <c r="A11" s="27">
        <v>39783</v>
      </c>
      <c r="B11" s="25">
        <v>152</v>
      </c>
      <c r="C11" s="28">
        <v>857410435</v>
      </c>
      <c r="D11" s="25" t="s">
        <v>14</v>
      </c>
      <c r="G11" s="27">
        <v>39965</v>
      </c>
      <c r="H11" s="28">
        <v>116378654</v>
      </c>
      <c r="I11" s="28">
        <v>1778683249</v>
      </c>
      <c r="J11" s="28">
        <v>928917743</v>
      </c>
      <c r="K11" s="28">
        <v>2823979646</v>
      </c>
      <c r="L11" s="30">
        <f t="shared" si="1"/>
        <v>4.1210868557372028E-2</v>
      </c>
      <c r="M11" s="30">
        <f t="shared" si="2"/>
        <v>0.62984988277780241</v>
      </c>
      <c r="N11" s="30">
        <f t="shared" si="3"/>
        <v>0.32893924866482555</v>
      </c>
      <c r="O11" s="31">
        <v>5</v>
      </c>
    </row>
    <row r="12" spans="1:15">
      <c r="A12" s="27">
        <v>39783</v>
      </c>
      <c r="B12" s="25">
        <v>149</v>
      </c>
      <c r="C12" s="28">
        <v>1409585035</v>
      </c>
      <c r="D12" s="25" t="s">
        <v>22</v>
      </c>
      <c r="G12" s="27">
        <v>39995</v>
      </c>
      <c r="H12" s="28">
        <v>128796425</v>
      </c>
      <c r="I12" s="28">
        <v>1913331896</v>
      </c>
      <c r="J12" s="28">
        <v>925416356</v>
      </c>
      <c r="K12" s="28">
        <v>2967544677</v>
      </c>
      <c r="L12" s="30">
        <f t="shared" si="1"/>
        <v>4.3401680183027619E-2</v>
      </c>
      <c r="M12" s="30">
        <f t="shared" si="2"/>
        <v>0.64475251571755865</v>
      </c>
      <c r="N12" s="30">
        <f t="shared" si="3"/>
        <v>0.31184580409941376</v>
      </c>
      <c r="O12" s="31">
        <v>6</v>
      </c>
    </row>
    <row r="13" spans="1:15">
      <c r="A13" s="27">
        <v>39814</v>
      </c>
      <c r="B13" s="25">
        <v>148</v>
      </c>
      <c r="C13" s="28">
        <v>150528</v>
      </c>
      <c r="D13" s="25" t="s">
        <v>11</v>
      </c>
      <c r="G13" s="27">
        <v>40026</v>
      </c>
      <c r="H13" s="28">
        <v>133513869</v>
      </c>
      <c r="I13" s="28">
        <v>1817991335</v>
      </c>
      <c r="J13" s="28">
        <v>925808769</v>
      </c>
      <c r="K13" s="28">
        <v>2877313973</v>
      </c>
      <c r="L13" s="30">
        <f t="shared" si="1"/>
        <v>4.6402259278223022E-2</v>
      </c>
      <c r="M13" s="30">
        <f t="shared" si="2"/>
        <v>0.63183627232188744</v>
      </c>
      <c r="N13" s="30">
        <f t="shared" si="3"/>
        <v>0.32176146839988951</v>
      </c>
      <c r="O13" s="31">
        <v>7</v>
      </c>
    </row>
    <row r="14" spans="1:15">
      <c r="A14" s="27">
        <v>39814</v>
      </c>
      <c r="B14" s="25">
        <v>147</v>
      </c>
      <c r="C14" s="28">
        <v>90595457</v>
      </c>
      <c r="D14" s="25" t="s">
        <v>11</v>
      </c>
      <c r="G14" s="27">
        <v>40057</v>
      </c>
      <c r="H14" s="28">
        <v>127852092</v>
      </c>
      <c r="I14" s="28">
        <v>1851854008</v>
      </c>
      <c r="J14" s="28">
        <v>842464753</v>
      </c>
      <c r="K14" s="28">
        <v>2822170853</v>
      </c>
      <c r="L14" s="30">
        <f t="shared" si="1"/>
        <v>4.5302746948892823E-2</v>
      </c>
      <c r="M14" s="30">
        <f t="shared" si="2"/>
        <v>0.65618068659147899</v>
      </c>
      <c r="N14" s="30">
        <f t="shared" si="3"/>
        <v>0.29851656645962815</v>
      </c>
      <c r="O14" s="31">
        <v>8</v>
      </c>
    </row>
    <row r="15" spans="1:15">
      <c r="A15" s="27">
        <v>39814</v>
      </c>
      <c r="B15" s="25">
        <v>152</v>
      </c>
      <c r="C15" s="28">
        <v>806392680</v>
      </c>
      <c r="D15" s="25" t="s">
        <v>14</v>
      </c>
      <c r="G15" s="27">
        <v>40087</v>
      </c>
      <c r="H15" s="28">
        <v>149317552</v>
      </c>
      <c r="I15" s="28">
        <v>2196033108</v>
      </c>
      <c r="J15" s="28">
        <v>911376510</v>
      </c>
      <c r="K15" s="28">
        <v>3256727170</v>
      </c>
      <c r="L15" s="30">
        <f t="shared" si="1"/>
        <v>4.5848959463190155E-2</v>
      </c>
      <c r="M15" s="30">
        <f t="shared" si="2"/>
        <v>0.67430674826838499</v>
      </c>
      <c r="N15" s="30">
        <f t="shared" si="3"/>
        <v>0.27984429226842483</v>
      </c>
      <c r="O15" s="31">
        <v>9</v>
      </c>
    </row>
    <row r="16" spans="1:15">
      <c r="A16" s="27">
        <v>39814</v>
      </c>
      <c r="B16" s="25">
        <v>149</v>
      </c>
      <c r="C16" s="28">
        <v>1577749928</v>
      </c>
      <c r="D16" s="25" t="s">
        <v>22</v>
      </c>
      <c r="G16" s="27">
        <v>40118</v>
      </c>
      <c r="H16" s="28">
        <v>135641989</v>
      </c>
      <c r="I16" s="28">
        <v>2219405692</v>
      </c>
      <c r="J16" s="28">
        <v>822638458</v>
      </c>
      <c r="K16" s="28">
        <v>3177686139</v>
      </c>
      <c r="L16" s="30">
        <f t="shared" si="1"/>
        <v>4.268577293876033E-2</v>
      </c>
      <c r="M16" s="30">
        <f t="shared" si="2"/>
        <v>0.69843451962138547</v>
      </c>
      <c r="N16" s="30">
        <f t="shared" si="3"/>
        <v>0.25887970743985422</v>
      </c>
      <c r="O16" s="31">
        <v>10</v>
      </c>
    </row>
    <row r="17" spans="1:15">
      <c r="A17" s="27">
        <v>39845</v>
      </c>
      <c r="B17" s="25">
        <v>148</v>
      </c>
      <c r="C17" s="28">
        <v>131677</v>
      </c>
      <c r="D17" s="25" t="s">
        <v>11</v>
      </c>
      <c r="G17" s="27">
        <v>40148</v>
      </c>
      <c r="H17" s="28">
        <v>149153271</v>
      </c>
      <c r="I17" s="28">
        <v>2460006734</v>
      </c>
      <c r="J17" s="28">
        <v>851645852</v>
      </c>
      <c r="K17" s="28">
        <v>3460805857</v>
      </c>
      <c r="L17" s="30">
        <f t="shared" si="1"/>
        <v>4.3097844017547272E-2</v>
      </c>
      <c r="M17" s="30">
        <f t="shared" si="2"/>
        <v>0.7108190507203016</v>
      </c>
      <c r="N17" s="30">
        <f t="shared" si="3"/>
        <v>0.24608310526215108</v>
      </c>
      <c r="O17" s="31">
        <v>11</v>
      </c>
    </row>
    <row r="18" spans="1:15">
      <c r="A18" s="27">
        <v>39845</v>
      </c>
      <c r="B18" s="25">
        <v>147</v>
      </c>
      <c r="C18" s="28">
        <v>88102577</v>
      </c>
      <c r="D18" s="25" t="s">
        <v>11</v>
      </c>
      <c r="G18" s="27">
        <v>40179</v>
      </c>
      <c r="H18" s="28">
        <v>161969839</v>
      </c>
      <c r="I18" s="28">
        <v>2685894944</v>
      </c>
      <c r="J18" s="28">
        <v>775951357</v>
      </c>
      <c r="K18" s="28">
        <v>3623816140</v>
      </c>
      <c r="L18" s="30">
        <f t="shared" si="1"/>
        <v>4.4695931786428875E-2</v>
      </c>
      <c r="M18" s="30">
        <f t="shared" si="2"/>
        <v>0.74117859191388225</v>
      </c>
      <c r="N18" s="30">
        <f t="shared" si="3"/>
        <v>0.21412547629968887</v>
      </c>
      <c r="O18" s="31">
        <v>12</v>
      </c>
    </row>
    <row r="19" spans="1:15">
      <c r="A19" s="27">
        <v>39845</v>
      </c>
      <c r="B19" s="25">
        <v>152</v>
      </c>
      <c r="C19" s="28">
        <v>743232632</v>
      </c>
      <c r="D19" s="25" t="s">
        <v>14</v>
      </c>
      <c r="G19" s="27">
        <v>40210</v>
      </c>
      <c r="H19" s="28">
        <v>155395491</v>
      </c>
      <c r="I19" s="28">
        <v>2435420248</v>
      </c>
      <c r="J19" s="28">
        <v>714695021</v>
      </c>
      <c r="K19" s="28">
        <v>3305510760</v>
      </c>
      <c r="L19" s="30">
        <f t="shared" si="1"/>
        <v>4.7011037713276117E-2</v>
      </c>
      <c r="M19" s="30">
        <f t="shared" si="2"/>
        <v>0.73677577379902404</v>
      </c>
      <c r="N19" s="30">
        <f t="shared" si="3"/>
        <v>0.21621318848769985</v>
      </c>
      <c r="O19" s="31">
        <v>13</v>
      </c>
    </row>
    <row r="20" spans="1:15">
      <c r="A20" s="27">
        <v>39845</v>
      </c>
      <c r="B20" s="25">
        <v>149</v>
      </c>
      <c r="C20" s="28">
        <v>1424844332</v>
      </c>
      <c r="D20" s="25" t="s">
        <v>22</v>
      </c>
      <c r="G20" s="27">
        <v>40238</v>
      </c>
      <c r="H20" s="28">
        <v>199786509</v>
      </c>
      <c r="I20" s="28">
        <v>2767645393</v>
      </c>
      <c r="J20" s="28">
        <v>819368646</v>
      </c>
      <c r="K20" s="28">
        <v>3786800548</v>
      </c>
      <c r="L20" s="30">
        <f t="shared" si="1"/>
        <v>5.2758656408644841E-2</v>
      </c>
      <c r="M20" s="30">
        <f t="shared" si="2"/>
        <v>0.73086642877500718</v>
      </c>
      <c r="N20" s="30">
        <f t="shared" si="3"/>
        <v>0.21637491481634802</v>
      </c>
      <c r="O20" s="31">
        <v>14</v>
      </c>
    </row>
    <row r="21" spans="1:15">
      <c r="A21" s="27">
        <v>39873</v>
      </c>
      <c r="B21" s="25">
        <v>148</v>
      </c>
      <c r="C21" s="28">
        <v>131386</v>
      </c>
      <c r="D21" s="25" t="s">
        <v>11</v>
      </c>
      <c r="G21" s="27">
        <v>40269</v>
      </c>
      <c r="H21" s="28">
        <v>181885315</v>
      </c>
      <c r="I21" s="28">
        <v>2874562861</v>
      </c>
      <c r="J21" s="28">
        <v>859331812</v>
      </c>
      <c r="K21" s="28">
        <v>3915779988</v>
      </c>
      <c r="L21" s="30">
        <f t="shared" si="1"/>
        <v>4.6449319307364519E-2</v>
      </c>
      <c r="M21" s="30">
        <f t="shared" si="2"/>
        <v>0.73409713257873666</v>
      </c>
      <c r="N21" s="30">
        <f t="shared" si="3"/>
        <v>0.21945354811389878</v>
      </c>
      <c r="O21" s="31">
        <v>15</v>
      </c>
    </row>
    <row r="22" spans="1:15">
      <c r="A22" s="27">
        <v>39873</v>
      </c>
      <c r="B22" s="25">
        <v>147</v>
      </c>
      <c r="C22" s="28">
        <v>102520758</v>
      </c>
      <c r="D22" s="25" t="s">
        <v>11</v>
      </c>
      <c r="G22" s="27">
        <v>40299</v>
      </c>
      <c r="H22" s="28">
        <v>208415506</v>
      </c>
      <c r="I22" s="28">
        <v>2952291253</v>
      </c>
      <c r="J22" s="28">
        <v>899251702</v>
      </c>
      <c r="K22" s="28">
        <v>4059958461</v>
      </c>
      <c r="L22" s="30">
        <f t="shared" si="1"/>
        <v>5.1334393689502329E-2</v>
      </c>
      <c r="M22" s="30">
        <f t="shared" si="2"/>
        <v>0.72717277316005524</v>
      </c>
      <c r="N22" s="30">
        <f t="shared" si="3"/>
        <v>0.22149283315044244</v>
      </c>
      <c r="O22" s="31">
        <v>16</v>
      </c>
    </row>
    <row r="23" spans="1:15">
      <c r="A23" s="27">
        <v>39873</v>
      </c>
      <c r="B23" s="25">
        <v>152</v>
      </c>
      <c r="C23" s="28">
        <v>827832213</v>
      </c>
      <c r="D23" s="25" t="s">
        <v>14</v>
      </c>
      <c r="G23" s="27">
        <v>40330</v>
      </c>
      <c r="H23" s="28">
        <v>220541638</v>
      </c>
      <c r="I23" s="28">
        <v>2884666870</v>
      </c>
      <c r="J23" s="28">
        <v>917155703</v>
      </c>
      <c r="K23" s="28">
        <v>4022364211</v>
      </c>
      <c r="L23" s="30">
        <f t="shared" si="1"/>
        <v>5.4828858460127146E-2</v>
      </c>
      <c r="M23" s="30">
        <f t="shared" si="2"/>
        <v>0.71715705457782075</v>
      </c>
      <c r="N23" s="30">
        <f t="shared" si="3"/>
        <v>0.22801408696205208</v>
      </c>
      <c r="O23" s="31">
        <v>17</v>
      </c>
    </row>
    <row r="24" spans="1:15">
      <c r="A24" s="27">
        <v>39873</v>
      </c>
      <c r="B24" s="25">
        <v>149</v>
      </c>
      <c r="C24" s="28">
        <v>1640329409</v>
      </c>
      <c r="D24" s="25" t="s">
        <v>22</v>
      </c>
      <c r="G24" s="27">
        <v>40360</v>
      </c>
      <c r="H24" s="28">
        <v>243653121</v>
      </c>
      <c r="I24" s="28">
        <v>2970778325</v>
      </c>
      <c r="J24" s="28">
        <v>906803120</v>
      </c>
      <c r="K24" s="28">
        <v>4121234566</v>
      </c>
      <c r="L24" s="30">
        <f t="shared" si="1"/>
        <v>5.9121391199163306E-2</v>
      </c>
      <c r="M24" s="30">
        <f t="shared" si="2"/>
        <v>0.72084669713022109</v>
      </c>
      <c r="N24" s="30">
        <f t="shared" si="3"/>
        <v>0.22003191167061564</v>
      </c>
      <c r="O24" s="31">
        <v>18</v>
      </c>
    </row>
    <row r="25" spans="1:15">
      <c r="A25" s="27">
        <v>39904</v>
      </c>
      <c r="B25" s="25">
        <v>148</v>
      </c>
      <c r="C25" s="28">
        <v>121364</v>
      </c>
      <c r="D25" s="25" t="s">
        <v>11</v>
      </c>
      <c r="G25" s="27">
        <v>40391</v>
      </c>
      <c r="H25" s="28">
        <v>296421904</v>
      </c>
      <c r="I25" s="28">
        <v>2849731400</v>
      </c>
      <c r="J25" s="28">
        <v>878322349</v>
      </c>
      <c r="K25" s="28">
        <v>4024475653</v>
      </c>
      <c r="L25" s="30">
        <f t="shared" si="1"/>
        <v>7.3654788737269564E-2</v>
      </c>
      <c r="M25" s="30">
        <f t="shared" si="2"/>
        <v>0.70810004723862596</v>
      </c>
      <c r="N25" s="30">
        <f t="shared" si="3"/>
        <v>0.21824516402410449</v>
      </c>
      <c r="O25" s="31">
        <v>19</v>
      </c>
    </row>
    <row r="26" spans="1:15">
      <c r="A26" s="27">
        <v>39904</v>
      </c>
      <c r="B26" s="25">
        <v>147</v>
      </c>
      <c r="C26" s="28">
        <v>102731911</v>
      </c>
      <c r="D26" s="25" t="s">
        <v>11</v>
      </c>
      <c r="G26" s="27">
        <v>40422</v>
      </c>
      <c r="H26" s="28">
        <v>318082595</v>
      </c>
      <c r="I26" s="28">
        <v>3065229977</v>
      </c>
      <c r="J26" s="28">
        <v>864891082</v>
      </c>
      <c r="K26" s="28">
        <v>4248203654</v>
      </c>
      <c r="L26" s="30">
        <f t="shared" si="1"/>
        <v>7.487461075471312E-2</v>
      </c>
      <c r="M26" s="30">
        <f t="shared" si="2"/>
        <v>0.72153555400147962</v>
      </c>
      <c r="N26" s="30">
        <f t="shared" si="3"/>
        <v>0.20358983524380728</v>
      </c>
      <c r="O26" s="31">
        <v>20</v>
      </c>
    </row>
    <row r="27" spans="1:15">
      <c r="A27" s="27">
        <v>39904</v>
      </c>
      <c r="B27" s="25">
        <v>152</v>
      </c>
      <c r="C27" s="28">
        <v>849285243</v>
      </c>
      <c r="D27" s="25" t="s">
        <v>14</v>
      </c>
      <c r="G27" s="27">
        <v>40452</v>
      </c>
      <c r="H27" s="28">
        <v>336389189</v>
      </c>
      <c r="I27" s="28">
        <v>3357870413</v>
      </c>
      <c r="J27" s="28">
        <v>879562528</v>
      </c>
      <c r="K27" s="28">
        <v>4573822130</v>
      </c>
      <c r="L27" s="30">
        <f t="shared" si="1"/>
        <v>7.3546626746501836E-2</v>
      </c>
      <c r="M27" s="30">
        <f t="shared" si="2"/>
        <v>0.73414975868333554</v>
      </c>
      <c r="N27" s="30">
        <f t="shared" si="3"/>
        <v>0.19230361457016257</v>
      </c>
      <c r="O27" s="31">
        <v>21</v>
      </c>
    </row>
    <row r="28" spans="1:15">
      <c r="A28" s="27">
        <v>39904</v>
      </c>
      <c r="B28" s="25">
        <v>149</v>
      </c>
      <c r="C28" s="28">
        <v>1626681935</v>
      </c>
      <c r="D28" s="25" t="s">
        <v>22</v>
      </c>
      <c r="G28" s="27">
        <v>40483</v>
      </c>
      <c r="H28" s="28">
        <v>352549612</v>
      </c>
      <c r="I28" s="28">
        <v>3317683574</v>
      </c>
      <c r="J28" s="28">
        <v>811886043</v>
      </c>
      <c r="K28" s="28">
        <v>4482119229</v>
      </c>
      <c r="L28" s="30">
        <f t="shared" si="1"/>
        <v>7.865690178854455E-2</v>
      </c>
      <c r="M28" s="30">
        <f t="shared" si="2"/>
        <v>0.74020422137235387</v>
      </c>
      <c r="N28" s="30">
        <f t="shared" si="3"/>
        <v>0.1811388768391016</v>
      </c>
      <c r="O28" s="31">
        <v>22</v>
      </c>
    </row>
    <row r="29" spans="1:15">
      <c r="A29" s="27">
        <v>39934</v>
      </c>
      <c r="B29" s="25">
        <v>148</v>
      </c>
      <c r="C29" s="28">
        <v>125955</v>
      </c>
      <c r="D29" s="25" t="s">
        <v>11</v>
      </c>
      <c r="G29" s="27">
        <v>40513</v>
      </c>
      <c r="H29" s="28">
        <v>384978714</v>
      </c>
      <c r="I29" s="28">
        <v>3538195568</v>
      </c>
      <c r="J29" s="28">
        <v>795432396</v>
      </c>
      <c r="K29" s="28">
        <v>4718606678</v>
      </c>
      <c r="L29" s="30">
        <f t="shared" si="1"/>
        <v>8.158737107606831E-2</v>
      </c>
      <c r="M29" s="30">
        <f t="shared" si="2"/>
        <v>0.74983905407849716</v>
      </c>
      <c r="N29" s="30">
        <f t="shared" si="3"/>
        <v>0.16857357484543448</v>
      </c>
      <c r="O29" s="31">
        <v>23</v>
      </c>
    </row>
    <row r="30" spans="1:15">
      <c r="A30" s="27">
        <v>39934</v>
      </c>
      <c r="B30" s="25">
        <v>147</v>
      </c>
      <c r="C30" s="28">
        <v>111889951</v>
      </c>
      <c r="D30" s="25" t="s">
        <v>11</v>
      </c>
      <c r="G30" s="27">
        <v>40544</v>
      </c>
      <c r="H30" s="28">
        <v>412875487</v>
      </c>
      <c r="I30" s="28">
        <v>3719803146</v>
      </c>
      <c r="J30" s="28">
        <v>722604920</v>
      </c>
      <c r="K30" s="28">
        <v>4855283553</v>
      </c>
      <c r="L30" s="30">
        <f t="shared" si="1"/>
        <v>8.5036328464254365E-2</v>
      </c>
      <c r="M30" s="30">
        <f t="shared" si="2"/>
        <v>0.76613509909253286</v>
      </c>
      <c r="N30" s="30">
        <f t="shared" si="3"/>
        <v>0.14882857244321276</v>
      </c>
      <c r="O30" s="31">
        <v>24</v>
      </c>
    </row>
    <row r="31" spans="1:15">
      <c r="A31" s="27">
        <v>39934</v>
      </c>
      <c r="B31" s="25">
        <v>152</v>
      </c>
      <c r="C31" s="28">
        <v>918454795</v>
      </c>
      <c r="D31" s="25" t="s">
        <v>14</v>
      </c>
      <c r="G31" s="27" t="s">
        <v>17</v>
      </c>
      <c r="H31" s="28">
        <v>4910100336</v>
      </c>
      <c r="I31" s="28">
        <v>61654313214</v>
      </c>
      <c r="J31" s="28">
        <v>21198722683</v>
      </c>
      <c r="K31" s="28">
        <v>87763136233</v>
      </c>
      <c r="L31" s="30">
        <f t="shared" si="1"/>
        <v>5.5947184054183141E-2</v>
      </c>
      <c r="M31" s="30">
        <f t="shared" si="2"/>
        <v>0.70250809007458004</v>
      </c>
      <c r="N31" s="30">
        <f t="shared" si="3"/>
        <v>0.24154472587123685</v>
      </c>
      <c r="O31" s="31"/>
    </row>
    <row r="32" spans="1:15">
      <c r="A32" s="27">
        <v>39934</v>
      </c>
      <c r="B32" s="25">
        <v>149</v>
      </c>
      <c r="C32" s="28">
        <v>1727627616</v>
      </c>
      <c r="D32" s="25" t="s">
        <v>22</v>
      </c>
      <c r="L32" s="30"/>
      <c r="M32" s="30"/>
      <c r="N32" s="30"/>
      <c r="O32" s="31"/>
    </row>
    <row r="33" spans="1:14">
      <c r="A33" s="27">
        <v>39965</v>
      </c>
      <c r="B33" s="25">
        <v>148</v>
      </c>
      <c r="C33" s="28">
        <v>105679</v>
      </c>
      <c r="D33" s="25" t="s">
        <v>11</v>
      </c>
      <c r="L33" s="30"/>
      <c r="M33" s="30"/>
      <c r="N33" s="30"/>
    </row>
    <row r="34" spans="1:14">
      <c r="A34" s="27">
        <v>39965</v>
      </c>
      <c r="B34" s="25">
        <v>147</v>
      </c>
      <c r="C34" s="28">
        <v>116272975</v>
      </c>
      <c r="D34" s="25" t="s">
        <v>11</v>
      </c>
    </row>
    <row r="35" spans="1:14">
      <c r="A35" s="27">
        <v>39965</v>
      </c>
      <c r="B35" s="25">
        <v>152</v>
      </c>
      <c r="C35" s="28">
        <v>928917743</v>
      </c>
      <c r="D35" s="25" t="s">
        <v>14</v>
      </c>
      <c r="G35" s="31" t="s">
        <v>62</v>
      </c>
      <c r="H35" s="31" t="s">
        <v>61</v>
      </c>
    </row>
    <row r="36" spans="1:14">
      <c r="A36" s="27">
        <v>39965</v>
      </c>
      <c r="B36" s="25">
        <v>149</v>
      </c>
      <c r="C36" s="28">
        <v>1778683249</v>
      </c>
      <c r="D36" s="25" t="s">
        <v>22</v>
      </c>
      <c r="F36" t="s">
        <v>11</v>
      </c>
      <c r="G36" s="34">
        <f t="array" ref="G36:H36">LOGEST(H6:H30,$O$6:$O$30)</f>
        <v>1.0650920787182732</v>
      </c>
      <c r="H36" s="34">
        <v>82478588.099191889</v>
      </c>
      <c r="I36" s="34"/>
    </row>
    <row r="37" spans="1:14">
      <c r="A37" s="27">
        <v>39995</v>
      </c>
      <c r="B37" s="25">
        <v>148</v>
      </c>
      <c r="C37" s="28">
        <v>108265</v>
      </c>
      <c r="D37" s="25" t="s">
        <v>11</v>
      </c>
      <c r="F37" t="s">
        <v>60</v>
      </c>
      <c r="G37" s="33">
        <f t="array" ref="G37:H37">LINEST($I$6:$I$30,$O$6:$O$30)</f>
        <v>91300910.394615397</v>
      </c>
      <c r="H37" s="33">
        <v>1370561603.8246152</v>
      </c>
    </row>
    <row r="38" spans="1:14">
      <c r="A38" s="27">
        <v>39995</v>
      </c>
      <c r="B38" s="25">
        <v>147</v>
      </c>
      <c r="C38" s="28">
        <v>128688160</v>
      </c>
      <c r="D38" s="25" t="s">
        <v>11</v>
      </c>
      <c r="F38" t="s">
        <v>14</v>
      </c>
      <c r="G38" s="33">
        <f t="array" ref="G38:H38">LINEST($J$6:$J$30,$O$6:$O$30)</f>
        <v>-1021785.2400000012</v>
      </c>
      <c r="H38" s="33">
        <v>860210330.20000005</v>
      </c>
    </row>
    <row r="39" spans="1:14">
      <c r="A39" s="27">
        <v>39995</v>
      </c>
      <c r="B39" s="25">
        <v>152</v>
      </c>
      <c r="C39" s="28">
        <v>925416356</v>
      </c>
      <c r="D39" s="25" t="s">
        <v>14</v>
      </c>
    </row>
    <row r="40" spans="1:14">
      <c r="A40" s="27">
        <v>39995</v>
      </c>
      <c r="B40" s="25">
        <v>149</v>
      </c>
      <c r="C40" s="28">
        <v>1913331896</v>
      </c>
      <c r="D40" s="25" t="s">
        <v>22</v>
      </c>
    </row>
    <row r="41" spans="1:14">
      <c r="A41" s="27">
        <v>40026</v>
      </c>
      <c r="B41" s="25">
        <v>148</v>
      </c>
      <c r="C41" s="28">
        <v>109425</v>
      </c>
      <c r="D41" s="25" t="s">
        <v>11</v>
      </c>
      <c r="G41" s="31" t="s">
        <v>52</v>
      </c>
      <c r="H41" s="31" t="s">
        <v>63</v>
      </c>
      <c r="I41" s="31" t="s">
        <v>14</v>
      </c>
      <c r="J41" s="31" t="s">
        <v>64</v>
      </c>
      <c r="K41" s="31" t="s">
        <v>11</v>
      </c>
      <c r="L41" s="31" t="s">
        <v>65</v>
      </c>
      <c r="M41" s="31" t="s">
        <v>66</v>
      </c>
    </row>
    <row r="42" spans="1:14">
      <c r="A42" s="27">
        <v>40026</v>
      </c>
      <c r="B42" s="25">
        <v>147</v>
      </c>
      <c r="C42" s="28">
        <v>133404444</v>
      </c>
      <c r="D42" s="25" t="s">
        <v>11</v>
      </c>
      <c r="G42" s="31">
        <v>12</v>
      </c>
      <c r="H42" s="32">
        <v>40179</v>
      </c>
      <c r="I42" s="33">
        <f t="shared" ref="I42:I89" si="4">$G$38*$G42+$H$38</f>
        <v>847948907.32000005</v>
      </c>
      <c r="J42" s="33">
        <f t="shared" ref="J42:J89" si="5">$G$37*$G42+$H$37</f>
        <v>2466172528.5599999</v>
      </c>
      <c r="K42" s="34">
        <f t="shared" ref="K42:K89" si="6">($G$36^$G42)*$H$36</f>
        <v>175787129.79894045</v>
      </c>
      <c r="L42" s="33">
        <f t="shared" ref="L42:L86" si="7">SUM(I42:K42)</f>
        <v>3489908565.6789408</v>
      </c>
      <c r="M42" s="35">
        <f t="shared" ref="M42:M89" si="8">TRUNC(G42/12,0)+2009</f>
        <v>2010</v>
      </c>
    </row>
    <row r="43" spans="1:14">
      <c r="A43" s="27">
        <v>40026</v>
      </c>
      <c r="B43" s="25">
        <v>152</v>
      </c>
      <c r="C43" s="28">
        <v>925808769</v>
      </c>
      <c r="D43" s="25" t="s">
        <v>14</v>
      </c>
      <c r="G43" s="31">
        <v>13</v>
      </c>
      <c r="H43" s="32">
        <v>40210</v>
      </c>
      <c r="I43" s="33">
        <f t="shared" si="4"/>
        <v>846927122.08000004</v>
      </c>
      <c r="J43" s="33">
        <f t="shared" si="5"/>
        <v>2557473438.9546156</v>
      </c>
      <c r="K43" s="34">
        <f t="shared" si="6"/>
        <v>187229479.48947236</v>
      </c>
      <c r="L43" s="33">
        <f t="shared" si="7"/>
        <v>3591630040.5240879</v>
      </c>
      <c r="M43" s="35">
        <f t="shared" si="8"/>
        <v>2010</v>
      </c>
    </row>
    <row r="44" spans="1:14">
      <c r="A44" s="27">
        <v>40026</v>
      </c>
      <c r="B44" s="25">
        <v>149</v>
      </c>
      <c r="C44" s="28">
        <v>1817991335</v>
      </c>
      <c r="D44" s="25" t="s">
        <v>22</v>
      </c>
      <c r="G44" s="31">
        <v>14</v>
      </c>
      <c r="H44" s="32">
        <v>40238</v>
      </c>
      <c r="I44" s="33">
        <f t="shared" si="4"/>
        <v>845905336.84000003</v>
      </c>
      <c r="J44" s="33">
        <f t="shared" si="5"/>
        <v>2648774349.3492308</v>
      </c>
      <c r="K44" s="34">
        <f t="shared" si="6"/>
        <v>199416635.50678241</v>
      </c>
      <c r="L44" s="33">
        <f t="shared" si="7"/>
        <v>3694096321.6960135</v>
      </c>
      <c r="M44" s="35">
        <f t="shared" si="8"/>
        <v>2010</v>
      </c>
    </row>
    <row r="45" spans="1:14">
      <c r="A45" s="27">
        <v>40057</v>
      </c>
      <c r="B45" s="25">
        <v>148</v>
      </c>
      <c r="C45" s="28">
        <v>108080</v>
      </c>
      <c r="D45" s="25" t="s">
        <v>11</v>
      </c>
      <c r="G45" s="31">
        <v>15</v>
      </c>
      <c r="H45" s="32">
        <v>40269</v>
      </c>
      <c r="I45" s="33">
        <f t="shared" si="4"/>
        <v>844883551.60000002</v>
      </c>
      <c r="J45" s="33">
        <f t="shared" si="5"/>
        <v>2740075259.7438459</v>
      </c>
      <c r="K45" s="34">
        <f t="shared" si="6"/>
        <v>212397078.84292307</v>
      </c>
      <c r="L45" s="33">
        <f t="shared" si="7"/>
        <v>3797355890.186769</v>
      </c>
      <c r="M45" s="35">
        <f t="shared" si="8"/>
        <v>2010</v>
      </c>
    </row>
    <row r="46" spans="1:14">
      <c r="A46" s="27">
        <v>40057</v>
      </c>
      <c r="B46" s="25">
        <v>147</v>
      </c>
      <c r="C46" s="28">
        <v>127744012</v>
      </c>
      <c r="D46" s="25" t="s">
        <v>11</v>
      </c>
      <c r="G46" s="31">
        <v>16</v>
      </c>
      <c r="H46" s="32">
        <v>40299</v>
      </c>
      <c r="I46" s="33">
        <f t="shared" si="4"/>
        <v>843861766.36000001</v>
      </c>
      <c r="J46" s="33">
        <f t="shared" si="5"/>
        <v>2831376170.1384616</v>
      </c>
      <c r="K46" s="34">
        <f t="shared" si="6"/>
        <v>226222446.2184979</v>
      </c>
      <c r="L46" s="33">
        <f t="shared" si="7"/>
        <v>3901460382.7169595</v>
      </c>
      <c r="M46" s="35">
        <f t="shared" si="8"/>
        <v>2010</v>
      </c>
    </row>
    <row r="47" spans="1:14">
      <c r="A47" s="27">
        <v>40057</v>
      </c>
      <c r="B47" s="25">
        <v>152</v>
      </c>
      <c r="C47" s="28">
        <v>842464753</v>
      </c>
      <c r="D47" s="25" t="s">
        <v>14</v>
      </c>
      <c r="G47" s="31">
        <v>17</v>
      </c>
      <c r="H47" s="32">
        <v>40330</v>
      </c>
      <c r="I47" s="33">
        <f t="shared" si="4"/>
        <v>842839981.12</v>
      </c>
      <c r="J47" s="33">
        <f t="shared" si="5"/>
        <v>2922677080.5330772</v>
      </c>
      <c r="K47" s="34">
        <f t="shared" si="6"/>
        <v>240947735.49559268</v>
      </c>
      <c r="L47" s="33">
        <f t="shared" si="7"/>
        <v>4006464797.1486697</v>
      </c>
      <c r="M47" s="35">
        <f t="shared" si="8"/>
        <v>2010</v>
      </c>
    </row>
    <row r="48" spans="1:14">
      <c r="A48" s="27">
        <v>40057</v>
      </c>
      <c r="B48" s="25">
        <v>149</v>
      </c>
      <c r="C48" s="28">
        <v>1851854008</v>
      </c>
      <c r="D48" s="25" t="s">
        <v>22</v>
      </c>
      <c r="G48" s="31">
        <v>18</v>
      </c>
      <c r="H48" s="32">
        <v>40360</v>
      </c>
      <c r="I48" s="33">
        <f t="shared" si="4"/>
        <v>841818195.88</v>
      </c>
      <c r="J48" s="33">
        <f t="shared" si="5"/>
        <v>3013977990.9276924</v>
      </c>
      <c r="K48" s="34">
        <f t="shared" si="6"/>
        <v>256631524.46146148</v>
      </c>
      <c r="L48" s="33">
        <f t="shared" si="7"/>
        <v>4112427711.2691541</v>
      </c>
      <c r="M48" s="35">
        <f t="shared" si="8"/>
        <v>2010</v>
      </c>
    </row>
    <row r="49" spans="1:13">
      <c r="A49" s="27">
        <v>40087</v>
      </c>
      <c r="B49" s="25">
        <v>148</v>
      </c>
      <c r="C49" s="28">
        <v>110150</v>
      </c>
      <c r="D49" s="25" t="s">
        <v>11</v>
      </c>
      <c r="G49" s="31">
        <v>19</v>
      </c>
      <c r="H49" s="32">
        <v>40391</v>
      </c>
      <c r="I49" s="33">
        <f t="shared" si="4"/>
        <v>840796410.63999999</v>
      </c>
      <c r="J49" s="33">
        <f t="shared" si="5"/>
        <v>3105278901.3223076</v>
      </c>
      <c r="K49" s="34">
        <f t="shared" si="6"/>
        <v>273336203.85329735</v>
      </c>
      <c r="L49" s="33">
        <f t="shared" si="7"/>
        <v>4219411515.8156047</v>
      </c>
      <c r="M49" s="35">
        <f t="shared" si="8"/>
        <v>2010</v>
      </c>
    </row>
    <row r="50" spans="1:13">
      <c r="A50" s="27">
        <v>40087</v>
      </c>
      <c r="B50" s="25">
        <v>147</v>
      </c>
      <c r="C50" s="28">
        <v>149207402</v>
      </c>
      <c r="D50" s="25" t="s">
        <v>11</v>
      </c>
      <c r="G50" s="31">
        <v>20</v>
      </c>
      <c r="H50" s="32">
        <v>40422</v>
      </c>
      <c r="I50" s="33">
        <f t="shared" si="4"/>
        <v>839774625.39999998</v>
      </c>
      <c r="J50" s="33">
        <f t="shared" si="5"/>
        <v>3196579811.7169232</v>
      </c>
      <c r="K50" s="34">
        <f t="shared" si="6"/>
        <v>291128225.55107015</v>
      </c>
      <c r="L50" s="33">
        <f t="shared" si="7"/>
        <v>4327482662.6679935</v>
      </c>
      <c r="M50" s="35">
        <f t="shared" si="8"/>
        <v>2010</v>
      </c>
    </row>
    <row r="51" spans="1:13">
      <c r="A51" s="27">
        <v>40087</v>
      </c>
      <c r="B51" s="25">
        <v>152</v>
      </c>
      <c r="C51" s="28">
        <v>911376510</v>
      </c>
      <c r="D51" s="25" t="s">
        <v>14</v>
      </c>
      <c r="G51" s="31">
        <v>21</v>
      </c>
      <c r="H51" s="32">
        <v>40452</v>
      </c>
      <c r="I51" s="33">
        <f t="shared" si="4"/>
        <v>838752840.15999997</v>
      </c>
      <c r="J51" s="33">
        <f t="shared" si="5"/>
        <v>3287880722.1115389</v>
      </c>
      <c r="K51" s="34">
        <f t="shared" si="6"/>
        <v>310078366.92575163</v>
      </c>
      <c r="L51" s="33">
        <f t="shared" si="7"/>
        <v>4436711929.1972904</v>
      </c>
      <c r="M51" s="35">
        <f t="shared" si="8"/>
        <v>2010</v>
      </c>
    </row>
    <row r="52" spans="1:13">
      <c r="A52" s="27">
        <v>40087</v>
      </c>
      <c r="B52" s="25">
        <v>149</v>
      </c>
      <c r="C52" s="28">
        <v>2196033108</v>
      </c>
      <c r="D52" s="25" t="s">
        <v>22</v>
      </c>
      <c r="G52" s="31">
        <v>22</v>
      </c>
      <c r="H52" s="32">
        <v>40483</v>
      </c>
      <c r="I52" s="33">
        <f t="shared" si="4"/>
        <v>837731054.92000008</v>
      </c>
      <c r="J52" s="33">
        <f t="shared" si="5"/>
        <v>3379181632.5061541</v>
      </c>
      <c r="K52" s="34">
        <f t="shared" si="6"/>
        <v>330262012.39451623</v>
      </c>
      <c r="L52" s="33">
        <f t="shared" si="7"/>
        <v>4547174699.8206701</v>
      </c>
      <c r="M52" s="35">
        <f t="shared" si="8"/>
        <v>2010</v>
      </c>
    </row>
    <row r="53" spans="1:13">
      <c r="A53" s="27">
        <v>40118</v>
      </c>
      <c r="B53" s="25">
        <v>148</v>
      </c>
      <c r="C53" s="28">
        <v>93399</v>
      </c>
      <c r="D53" s="25" t="s">
        <v>11</v>
      </c>
      <c r="G53" s="31">
        <v>23</v>
      </c>
      <c r="H53" s="32">
        <v>40513</v>
      </c>
      <c r="I53" s="33">
        <f t="shared" si="4"/>
        <v>836709269.68000007</v>
      </c>
      <c r="J53" s="33">
        <f t="shared" si="5"/>
        <v>3470482542.9007692</v>
      </c>
      <c r="K53" s="34">
        <f t="shared" si="6"/>
        <v>351759453.30295539</v>
      </c>
      <c r="L53" s="33">
        <f t="shared" si="7"/>
        <v>4658951265.8837252</v>
      </c>
      <c r="M53" s="35">
        <f t="shared" si="8"/>
        <v>2010</v>
      </c>
    </row>
    <row r="54" spans="1:13">
      <c r="A54" s="27">
        <v>40118</v>
      </c>
      <c r="B54" s="25">
        <v>147</v>
      </c>
      <c r="C54" s="28">
        <v>135548590</v>
      </c>
      <c r="D54" s="25" t="s">
        <v>11</v>
      </c>
      <c r="G54" s="31">
        <v>24</v>
      </c>
      <c r="H54" s="32">
        <v>40544</v>
      </c>
      <c r="I54" s="33">
        <f t="shared" si="4"/>
        <v>835687484.44000006</v>
      </c>
      <c r="J54" s="33">
        <f t="shared" si="5"/>
        <v>3561783453.2953844</v>
      </c>
      <c r="K54" s="34">
        <f t="shared" si="6"/>
        <v>374656207.32724804</v>
      </c>
      <c r="L54" s="33">
        <f t="shared" si="7"/>
        <v>4772127145.0626316</v>
      </c>
      <c r="M54" s="35">
        <f t="shared" si="8"/>
        <v>2011</v>
      </c>
    </row>
    <row r="55" spans="1:13">
      <c r="A55" s="27">
        <v>40118</v>
      </c>
      <c r="B55" s="25">
        <v>152</v>
      </c>
      <c r="C55" s="28">
        <v>822638458</v>
      </c>
      <c r="D55" s="25" t="s">
        <v>14</v>
      </c>
      <c r="G55" s="31">
        <v>25</v>
      </c>
      <c r="H55" s="32">
        <v>40575</v>
      </c>
      <c r="I55" s="33">
        <f t="shared" si="4"/>
        <v>834665699.20000005</v>
      </c>
      <c r="J55" s="33">
        <f t="shared" si="5"/>
        <v>3653084363.6900005</v>
      </c>
      <c r="K55" s="34">
        <f t="shared" si="6"/>
        <v>399043358.66688299</v>
      </c>
      <c r="L55" s="33">
        <f t="shared" si="7"/>
        <v>4886793421.5568829</v>
      </c>
      <c r="M55" s="35">
        <f t="shared" si="8"/>
        <v>2011</v>
      </c>
    </row>
    <row r="56" spans="1:13">
      <c r="A56" s="27">
        <v>40118</v>
      </c>
      <c r="B56" s="25">
        <v>149</v>
      </c>
      <c r="C56" s="28">
        <v>2219405692</v>
      </c>
      <c r="D56" s="25" t="s">
        <v>22</v>
      </c>
      <c r="G56" s="31">
        <v>26</v>
      </c>
      <c r="H56" s="32">
        <v>40603</v>
      </c>
      <c r="I56" s="33">
        <f t="shared" si="4"/>
        <v>833643913.96000004</v>
      </c>
      <c r="J56" s="33">
        <f t="shared" si="5"/>
        <v>3744385274.0846157</v>
      </c>
      <c r="K56" s="34">
        <f t="shared" si="6"/>
        <v>425017920.3812319</v>
      </c>
      <c r="L56" s="33">
        <f t="shared" si="7"/>
        <v>5003047108.425848</v>
      </c>
      <c r="M56" s="35">
        <f t="shared" si="8"/>
        <v>2011</v>
      </c>
    </row>
    <row r="57" spans="1:13">
      <c r="A57" s="27">
        <v>40148</v>
      </c>
      <c r="B57" s="25">
        <v>148</v>
      </c>
      <c r="C57" s="28">
        <v>98570</v>
      </c>
      <c r="D57" s="25" t="s">
        <v>11</v>
      </c>
      <c r="G57" s="31">
        <v>27</v>
      </c>
      <c r="H57" s="32">
        <v>40634</v>
      </c>
      <c r="I57" s="33">
        <f t="shared" si="4"/>
        <v>832622128.72000003</v>
      </c>
      <c r="J57" s="33">
        <f t="shared" si="5"/>
        <v>3835686184.4792309</v>
      </c>
      <c r="K57" s="34">
        <f t="shared" si="6"/>
        <v>452683220.31136376</v>
      </c>
      <c r="L57" s="33">
        <f t="shared" si="7"/>
        <v>5120991533.5105953</v>
      </c>
      <c r="M57" s="35">
        <f t="shared" si="8"/>
        <v>2011</v>
      </c>
    </row>
    <row r="58" spans="1:13">
      <c r="A58" s="27">
        <v>40148</v>
      </c>
      <c r="B58" s="25">
        <v>147</v>
      </c>
      <c r="C58" s="28">
        <v>149054701</v>
      </c>
      <c r="D58" s="25" t="s">
        <v>11</v>
      </c>
      <c r="G58" s="31">
        <v>28</v>
      </c>
      <c r="H58" s="32">
        <v>40664</v>
      </c>
      <c r="I58" s="33">
        <f t="shared" si="4"/>
        <v>831600343.48000002</v>
      </c>
      <c r="J58" s="33">
        <f t="shared" si="5"/>
        <v>3926987094.8738461</v>
      </c>
      <c r="K58" s="34">
        <f t="shared" si="6"/>
        <v>482149312.12231243</v>
      </c>
      <c r="L58" s="33">
        <f t="shared" si="7"/>
        <v>5240736750.4761581</v>
      </c>
      <c r="M58" s="35">
        <f t="shared" si="8"/>
        <v>2011</v>
      </c>
    </row>
    <row r="59" spans="1:13">
      <c r="A59" s="27">
        <v>40148</v>
      </c>
      <c r="B59" s="25">
        <v>152</v>
      </c>
      <c r="C59" s="28">
        <v>851645852</v>
      </c>
      <c r="D59" s="25" t="s">
        <v>14</v>
      </c>
      <c r="G59" s="31">
        <v>29</v>
      </c>
      <c r="H59" s="32">
        <v>40695</v>
      </c>
      <c r="I59" s="33">
        <f t="shared" si="4"/>
        <v>830578558.24000001</v>
      </c>
      <c r="J59" s="33">
        <f t="shared" si="5"/>
        <v>4018288005.2684622</v>
      </c>
      <c r="K59" s="34">
        <f t="shared" si="6"/>
        <v>513533413.10093921</v>
      </c>
      <c r="L59" s="33">
        <f t="shared" si="7"/>
        <v>5362399976.6094007</v>
      </c>
      <c r="M59" s="35">
        <f t="shared" si="8"/>
        <v>2011</v>
      </c>
    </row>
    <row r="60" spans="1:13">
      <c r="A60" s="27">
        <v>40148</v>
      </c>
      <c r="B60" s="25">
        <v>149</v>
      </c>
      <c r="C60" s="28">
        <v>2460006734</v>
      </c>
      <c r="D60" s="25" t="s">
        <v>22</v>
      </c>
      <c r="G60" s="31">
        <v>30</v>
      </c>
      <c r="H60" s="32">
        <v>40725</v>
      </c>
      <c r="I60" s="33">
        <f t="shared" si="4"/>
        <v>829556773</v>
      </c>
      <c r="J60" s="33">
        <f t="shared" si="5"/>
        <v>4109588915.6630774</v>
      </c>
      <c r="K60" s="34">
        <f t="shared" si="6"/>
        <v>546960370.4509691</v>
      </c>
      <c r="L60" s="33">
        <f t="shared" si="7"/>
        <v>5486106059.1140461</v>
      </c>
      <c r="M60" s="35">
        <f t="shared" si="8"/>
        <v>2011</v>
      </c>
    </row>
    <row r="61" spans="1:13">
      <c r="A61" s="27">
        <v>40179</v>
      </c>
      <c r="B61" s="25">
        <v>148</v>
      </c>
      <c r="C61" s="28">
        <v>140558</v>
      </c>
      <c r="D61" s="25" t="s">
        <v>11</v>
      </c>
      <c r="G61" s="31">
        <v>31</v>
      </c>
      <c r="H61" s="32">
        <v>40756</v>
      </c>
      <c r="I61" s="33">
        <f t="shared" si="4"/>
        <v>828534987.75999999</v>
      </c>
      <c r="J61" s="33">
        <f t="shared" si="5"/>
        <v>4200889826.0576925</v>
      </c>
      <c r="K61" s="34">
        <f t="shared" si="6"/>
        <v>582563157.94013941</v>
      </c>
      <c r="L61" s="33">
        <f t="shared" si="7"/>
        <v>5611987971.7578325</v>
      </c>
      <c r="M61" s="35">
        <f t="shared" si="8"/>
        <v>2011</v>
      </c>
    </row>
    <row r="62" spans="1:13">
      <c r="A62" s="27">
        <v>40179</v>
      </c>
      <c r="B62" s="25">
        <v>147</v>
      </c>
      <c r="C62" s="28">
        <v>161829281</v>
      </c>
      <c r="D62" s="25" t="s">
        <v>11</v>
      </c>
      <c r="G62" s="31">
        <v>32</v>
      </c>
      <c r="H62" s="32">
        <v>40787</v>
      </c>
      <c r="I62" s="33">
        <f t="shared" si="4"/>
        <v>827513202.51999998</v>
      </c>
      <c r="J62" s="33">
        <f t="shared" si="5"/>
        <v>4292190736.4523077</v>
      </c>
      <c r="K62" s="34">
        <f t="shared" si="6"/>
        <v>620483404.87514484</v>
      </c>
      <c r="L62" s="33">
        <f t="shared" si="7"/>
        <v>5740187343.8474522</v>
      </c>
      <c r="M62" s="35">
        <f t="shared" si="8"/>
        <v>2011</v>
      </c>
    </row>
    <row r="63" spans="1:13">
      <c r="A63" s="27">
        <v>40179</v>
      </c>
      <c r="B63" s="25">
        <v>152</v>
      </c>
      <c r="C63" s="28">
        <v>775951357</v>
      </c>
      <c r="D63" s="25" t="s">
        <v>14</v>
      </c>
      <c r="G63" s="31">
        <v>33</v>
      </c>
      <c r="H63" s="32">
        <v>40817</v>
      </c>
      <c r="I63" s="33">
        <f t="shared" si="4"/>
        <v>826491417.27999997</v>
      </c>
      <c r="J63" s="33">
        <f t="shared" si="5"/>
        <v>4383491646.8469229</v>
      </c>
      <c r="K63" s="34">
        <f t="shared" si="6"/>
        <v>660871959.50865984</v>
      </c>
      <c r="L63" s="33">
        <f t="shared" si="7"/>
        <v>5870855023.635582</v>
      </c>
      <c r="M63" s="35">
        <f t="shared" si="8"/>
        <v>2011</v>
      </c>
    </row>
    <row r="64" spans="1:13">
      <c r="A64" s="27">
        <v>40179</v>
      </c>
      <c r="B64" s="25">
        <v>149</v>
      </c>
      <c r="C64" s="28">
        <v>2685894944</v>
      </c>
      <c r="D64" s="25" t="s">
        <v>22</v>
      </c>
      <c r="G64" s="31">
        <v>34</v>
      </c>
      <c r="H64" s="32">
        <v>40848</v>
      </c>
      <c r="I64" s="33">
        <f t="shared" si="4"/>
        <v>825469632.03999996</v>
      </c>
      <c r="J64" s="33">
        <f t="shared" si="5"/>
        <v>4474792557.241539</v>
      </c>
      <c r="K64" s="34">
        <f t="shared" si="6"/>
        <v>703889489.11969709</v>
      </c>
      <c r="L64" s="33">
        <f t="shared" si="7"/>
        <v>6004151678.4012356</v>
      </c>
      <c r="M64" s="35">
        <f t="shared" si="8"/>
        <v>2011</v>
      </c>
    </row>
    <row r="65" spans="1:13">
      <c r="A65" s="27">
        <v>40210</v>
      </c>
      <c r="B65" s="25">
        <v>148</v>
      </c>
      <c r="C65" s="28">
        <v>88083</v>
      </c>
      <c r="D65" s="25" t="s">
        <v>11</v>
      </c>
      <c r="G65" s="31">
        <v>35</v>
      </c>
      <c r="H65" s="32">
        <v>40878</v>
      </c>
      <c r="I65" s="33">
        <f t="shared" si="4"/>
        <v>824447846.79999995</v>
      </c>
      <c r="J65" s="33">
        <f t="shared" si="5"/>
        <v>4566093467.6361542</v>
      </c>
      <c r="K65" s="34">
        <f t="shared" si="6"/>
        <v>749707119.15444136</v>
      </c>
      <c r="L65" s="33">
        <f t="shared" si="7"/>
        <v>6140248433.5905952</v>
      </c>
      <c r="M65" s="35">
        <f t="shared" si="8"/>
        <v>2011</v>
      </c>
    </row>
    <row r="66" spans="1:13">
      <c r="A66" s="27">
        <v>40210</v>
      </c>
      <c r="B66" s="25">
        <v>147</v>
      </c>
      <c r="C66" s="28">
        <v>155307408</v>
      </c>
      <c r="D66" s="25" t="s">
        <v>11</v>
      </c>
      <c r="G66" s="31">
        <v>36</v>
      </c>
      <c r="H66" s="32">
        <v>40909</v>
      </c>
      <c r="I66" s="33">
        <f t="shared" si="4"/>
        <v>823426061.55999994</v>
      </c>
      <c r="J66" s="33">
        <f t="shared" si="5"/>
        <v>4657394378.0307693</v>
      </c>
      <c r="K66" s="34">
        <f t="shared" si="6"/>
        <v>798507113.97009218</v>
      </c>
      <c r="L66" s="33">
        <f t="shared" si="7"/>
        <v>6279327553.5608606</v>
      </c>
      <c r="M66" s="35">
        <f t="shared" si="8"/>
        <v>2012</v>
      </c>
    </row>
    <row r="67" spans="1:13">
      <c r="A67" s="27">
        <v>40210</v>
      </c>
      <c r="B67" s="25">
        <v>152</v>
      </c>
      <c r="C67" s="28">
        <v>714695021</v>
      </c>
      <c r="D67" s="25" t="s">
        <v>14</v>
      </c>
      <c r="G67" s="31">
        <v>37</v>
      </c>
      <c r="H67" s="32">
        <v>40940</v>
      </c>
      <c r="I67" s="33">
        <f t="shared" si="4"/>
        <v>822404276.32000005</v>
      </c>
      <c r="J67" s="33">
        <f t="shared" si="5"/>
        <v>4748695288.4253845</v>
      </c>
      <c r="K67" s="34">
        <f t="shared" si="6"/>
        <v>850483601.88973451</v>
      </c>
      <c r="L67" s="33">
        <f t="shared" si="7"/>
        <v>6421583166.6351185</v>
      </c>
      <c r="M67" s="35">
        <f t="shared" si="8"/>
        <v>2012</v>
      </c>
    </row>
    <row r="68" spans="1:13">
      <c r="A68" s="27">
        <v>40210</v>
      </c>
      <c r="B68" s="25">
        <v>149</v>
      </c>
      <c r="C68" s="28">
        <v>2435420248</v>
      </c>
      <c r="D68" s="25" t="s">
        <v>22</v>
      </c>
      <c r="G68" s="31">
        <v>38</v>
      </c>
      <c r="H68" s="32">
        <v>40969</v>
      </c>
      <c r="I68" s="33">
        <f t="shared" si="4"/>
        <v>821382491.08000004</v>
      </c>
      <c r="J68" s="33">
        <f t="shared" si="5"/>
        <v>4839996198.8200006</v>
      </c>
      <c r="K68" s="34">
        <f t="shared" si="6"/>
        <v>905843347.45254159</v>
      </c>
      <c r="L68" s="33">
        <f t="shared" si="7"/>
        <v>6567222037.3525419</v>
      </c>
      <c r="M68" s="35">
        <f t="shared" si="8"/>
        <v>2012</v>
      </c>
    </row>
    <row r="69" spans="1:13">
      <c r="A69" s="27">
        <v>40238</v>
      </c>
      <c r="B69" s="25">
        <v>148</v>
      </c>
      <c r="C69" s="28">
        <v>93037</v>
      </c>
      <c r="D69" s="25" t="s">
        <v>11</v>
      </c>
      <c r="G69" s="31">
        <v>39</v>
      </c>
      <c r="H69" s="32">
        <v>41000</v>
      </c>
      <c r="I69" s="33">
        <f t="shared" si="4"/>
        <v>820360705.84000003</v>
      </c>
      <c r="J69" s="33">
        <f t="shared" si="5"/>
        <v>4931297109.2146158</v>
      </c>
      <c r="K69" s="34">
        <f t="shared" si="6"/>
        <v>964806573.93134654</v>
      </c>
      <c r="L69" s="33">
        <f t="shared" si="7"/>
        <v>6716464388.9859629</v>
      </c>
      <c r="M69" s="35">
        <f t="shared" si="8"/>
        <v>2012</v>
      </c>
    </row>
    <row r="70" spans="1:13">
      <c r="A70" s="27">
        <v>40238</v>
      </c>
      <c r="B70" s="25">
        <v>147</v>
      </c>
      <c r="C70" s="28">
        <v>199693472</v>
      </c>
      <c r="D70" s="25" t="s">
        <v>11</v>
      </c>
      <c r="G70" s="31">
        <v>40</v>
      </c>
      <c r="H70" s="32">
        <v>41030</v>
      </c>
      <c r="I70" s="33">
        <f t="shared" si="4"/>
        <v>819338920.60000002</v>
      </c>
      <c r="J70" s="33">
        <f t="shared" si="5"/>
        <v>5022598019.609231</v>
      </c>
      <c r="K70" s="34">
        <f t="shared" si="6"/>
        <v>1027607839.3895931</v>
      </c>
      <c r="L70" s="33">
        <f t="shared" si="7"/>
        <v>6869544779.5988245</v>
      </c>
      <c r="M70" s="35">
        <f t="shared" si="8"/>
        <v>2012</v>
      </c>
    </row>
    <row r="71" spans="1:13">
      <c r="A71" s="27">
        <v>40238</v>
      </c>
      <c r="B71" s="25">
        <v>152</v>
      </c>
      <c r="C71" s="28">
        <v>819368646</v>
      </c>
      <c r="D71" s="25" t="s">
        <v>14</v>
      </c>
      <c r="G71" s="31">
        <v>41</v>
      </c>
      <c r="H71" s="32">
        <v>41061</v>
      </c>
      <c r="I71" s="33">
        <f t="shared" si="4"/>
        <v>818317135.36000001</v>
      </c>
      <c r="J71" s="33">
        <f t="shared" si="5"/>
        <v>5113898930.0038462</v>
      </c>
      <c r="K71" s="34">
        <f t="shared" si="6"/>
        <v>1094496969.7626553</v>
      </c>
      <c r="L71" s="33">
        <f t="shared" si="7"/>
        <v>7026713035.1265011</v>
      </c>
      <c r="M71" s="35">
        <f t="shared" si="8"/>
        <v>2012</v>
      </c>
    </row>
    <row r="72" spans="1:13">
      <c r="A72" s="27">
        <v>40238</v>
      </c>
      <c r="B72" s="25">
        <v>149</v>
      </c>
      <c r="C72" s="28">
        <v>2767645393</v>
      </c>
      <c r="D72" s="25" t="s">
        <v>22</v>
      </c>
      <c r="G72" s="31">
        <v>42</v>
      </c>
      <c r="H72" s="32">
        <v>41091</v>
      </c>
      <c r="I72" s="33">
        <f t="shared" si="4"/>
        <v>817295350.12</v>
      </c>
      <c r="J72" s="33">
        <f t="shared" si="5"/>
        <v>5205199840.3984623</v>
      </c>
      <c r="K72" s="34">
        <f t="shared" si="6"/>
        <v>1165740052.6753573</v>
      </c>
      <c r="L72" s="33">
        <f t="shared" si="7"/>
        <v>7188235243.193819</v>
      </c>
      <c r="M72" s="35">
        <f t="shared" si="8"/>
        <v>2012</v>
      </c>
    </row>
    <row r="73" spans="1:13">
      <c r="A73" s="27">
        <v>40269</v>
      </c>
      <c r="B73" s="25">
        <v>148</v>
      </c>
      <c r="C73" s="28">
        <v>92568</v>
      </c>
      <c r="D73" s="25" t="s">
        <v>11</v>
      </c>
      <c r="G73" s="31">
        <v>43</v>
      </c>
      <c r="H73" s="32">
        <v>41122</v>
      </c>
      <c r="I73" s="33">
        <f t="shared" si="4"/>
        <v>816273564.88</v>
      </c>
      <c r="J73" s="33">
        <f t="shared" si="5"/>
        <v>5296500750.7930775</v>
      </c>
      <c r="K73" s="34">
        <f t="shared" si="6"/>
        <v>1241620495.9491456</v>
      </c>
      <c r="L73" s="33">
        <f t="shared" si="7"/>
        <v>7354394811.6222229</v>
      </c>
      <c r="M73" s="35">
        <f t="shared" si="8"/>
        <v>2012</v>
      </c>
    </row>
    <row r="74" spans="1:13">
      <c r="A74" s="27">
        <v>40269</v>
      </c>
      <c r="B74" s="25">
        <v>147</v>
      </c>
      <c r="C74" s="28">
        <v>181792747</v>
      </c>
      <c r="D74" s="25" t="s">
        <v>11</v>
      </c>
      <c r="G74" s="31">
        <v>44</v>
      </c>
      <c r="H74" s="32">
        <v>41153</v>
      </c>
      <c r="I74" s="33">
        <f t="shared" si="4"/>
        <v>815251779.63999999</v>
      </c>
      <c r="J74" s="33">
        <f t="shared" si="5"/>
        <v>5387801661.1876926</v>
      </c>
      <c r="K74" s="34">
        <f t="shared" si="6"/>
        <v>1322440155.0096889</v>
      </c>
      <c r="L74" s="33">
        <f t="shared" si="7"/>
        <v>7525493595.8373814</v>
      </c>
      <c r="M74" s="35">
        <f t="shared" si="8"/>
        <v>2012</v>
      </c>
    </row>
    <row r="75" spans="1:13">
      <c r="A75" s="27">
        <v>40269</v>
      </c>
      <c r="B75" s="25">
        <v>152</v>
      </c>
      <c r="C75" s="28">
        <v>859331812</v>
      </c>
      <c r="D75" s="25" t="s">
        <v>14</v>
      </c>
      <c r="G75" s="31">
        <v>45</v>
      </c>
      <c r="H75" s="32">
        <v>41183</v>
      </c>
      <c r="I75" s="33">
        <f t="shared" si="4"/>
        <v>814229994.39999998</v>
      </c>
      <c r="J75" s="33">
        <f t="shared" si="5"/>
        <v>5479102571.5823078</v>
      </c>
      <c r="K75" s="34">
        <f t="shared" si="6"/>
        <v>1408520533.6797845</v>
      </c>
      <c r="L75" s="33">
        <f t="shared" si="7"/>
        <v>7701853099.6620922</v>
      </c>
      <c r="M75" s="35">
        <f t="shared" si="8"/>
        <v>2012</v>
      </c>
    </row>
    <row r="76" spans="1:13">
      <c r="A76" s="27">
        <v>40269</v>
      </c>
      <c r="B76" s="25">
        <v>149</v>
      </c>
      <c r="C76" s="28">
        <v>2874562861</v>
      </c>
      <c r="D76" s="25" t="s">
        <v>22</v>
      </c>
      <c r="G76" s="31">
        <v>46</v>
      </c>
      <c r="H76" s="32">
        <v>41214</v>
      </c>
      <c r="I76" s="33">
        <f t="shared" si="4"/>
        <v>813208209.15999997</v>
      </c>
      <c r="J76" s="33">
        <f t="shared" si="5"/>
        <v>5570403481.9769239</v>
      </c>
      <c r="K76" s="34">
        <f t="shared" si="6"/>
        <v>1500204063.1343734</v>
      </c>
      <c r="L76" s="33">
        <f t="shared" si="7"/>
        <v>7883815754.2712975</v>
      </c>
      <c r="M76" s="35">
        <f t="shared" si="8"/>
        <v>2012</v>
      </c>
    </row>
    <row r="77" spans="1:13">
      <c r="A77" s="27">
        <v>40299</v>
      </c>
      <c r="B77" s="25">
        <v>148</v>
      </c>
      <c r="C77" s="28">
        <v>90066</v>
      </c>
      <c r="D77" s="25" t="s">
        <v>11</v>
      </c>
      <c r="G77" s="31">
        <v>47</v>
      </c>
      <c r="H77" s="32">
        <v>41244</v>
      </c>
      <c r="I77" s="33">
        <f t="shared" si="4"/>
        <v>812186423.91999996</v>
      </c>
      <c r="J77" s="33">
        <f t="shared" si="5"/>
        <v>5661704392.3715391</v>
      </c>
      <c r="K77" s="34">
        <f t="shared" si="6"/>
        <v>1597855464.1053894</v>
      </c>
      <c r="L77" s="33">
        <f t="shared" si="7"/>
        <v>8071746280.3969288</v>
      </c>
      <c r="M77" s="35">
        <f t="shared" si="8"/>
        <v>2012</v>
      </c>
    </row>
    <row r="78" spans="1:13">
      <c r="A78" s="27">
        <v>40299</v>
      </c>
      <c r="B78" s="25">
        <v>147</v>
      </c>
      <c r="C78" s="28">
        <v>208325440</v>
      </c>
      <c r="D78" s="25" t="s">
        <v>11</v>
      </c>
      <c r="G78" s="31">
        <v>48</v>
      </c>
      <c r="H78" s="32">
        <v>41275</v>
      </c>
      <c r="I78" s="33">
        <f t="shared" si="4"/>
        <v>811164638.67999995</v>
      </c>
      <c r="J78" s="33">
        <f t="shared" si="5"/>
        <v>5753005302.7661543</v>
      </c>
      <c r="K78" s="34">
        <f t="shared" si="6"/>
        <v>1701863197.7553601</v>
      </c>
      <c r="L78" s="33">
        <f t="shared" si="7"/>
        <v>8266033139.2015152</v>
      </c>
      <c r="M78" s="35">
        <f t="shared" si="8"/>
        <v>2013</v>
      </c>
    </row>
    <row r="79" spans="1:13">
      <c r="A79" s="27">
        <v>40299</v>
      </c>
      <c r="B79" s="25">
        <v>152</v>
      </c>
      <c r="C79" s="28">
        <v>899251702</v>
      </c>
      <c r="D79" s="25" t="s">
        <v>14</v>
      </c>
      <c r="G79" s="31">
        <v>49</v>
      </c>
      <c r="H79" s="32">
        <v>41306</v>
      </c>
      <c r="I79" s="33">
        <f t="shared" si="4"/>
        <v>810142853.43999994</v>
      </c>
      <c r="J79" s="33">
        <f t="shared" si="5"/>
        <v>5844306213.1607695</v>
      </c>
      <c r="K79" s="34">
        <f t="shared" si="6"/>
        <v>1812641010.991384</v>
      </c>
      <c r="L79" s="33">
        <f t="shared" si="7"/>
        <v>8467090077.5921535</v>
      </c>
      <c r="M79" s="35">
        <f t="shared" si="8"/>
        <v>2013</v>
      </c>
    </row>
    <row r="80" spans="1:13">
      <c r="A80" s="27">
        <v>40299</v>
      </c>
      <c r="B80" s="25">
        <v>149</v>
      </c>
      <c r="C80" s="28">
        <v>2952291253</v>
      </c>
      <c r="D80" s="25" t="s">
        <v>22</v>
      </c>
      <c r="G80" s="31">
        <v>50</v>
      </c>
      <c r="H80" s="32">
        <v>41334</v>
      </c>
      <c r="I80" s="33">
        <f t="shared" si="4"/>
        <v>809121068.20000005</v>
      </c>
      <c r="J80" s="33">
        <f t="shared" si="5"/>
        <v>5935607123.5553856</v>
      </c>
      <c r="K80" s="34">
        <f t="shared" si="6"/>
        <v>1930629582.3668056</v>
      </c>
      <c r="L80" s="33">
        <f t="shared" si="7"/>
        <v>8675357774.1221905</v>
      </c>
      <c r="M80" s="35">
        <f t="shared" si="8"/>
        <v>2013</v>
      </c>
    </row>
    <row r="81" spans="1:13">
      <c r="A81" s="27">
        <v>40330</v>
      </c>
      <c r="B81" s="25">
        <v>148</v>
      </c>
      <c r="C81" s="28">
        <v>87529</v>
      </c>
      <c r="D81" s="25" t="s">
        <v>11</v>
      </c>
      <c r="G81" s="31">
        <v>51</v>
      </c>
      <c r="H81" s="32">
        <v>41365</v>
      </c>
      <c r="I81" s="33">
        <f t="shared" si="4"/>
        <v>808099282.96000004</v>
      </c>
      <c r="J81" s="33">
        <f t="shared" si="5"/>
        <v>6026908033.9500008</v>
      </c>
      <c r="K81" s="34">
        <f t="shared" si="6"/>
        <v>2056298275.1180522</v>
      </c>
      <c r="L81" s="33">
        <f t="shared" si="7"/>
        <v>8891305592.0280533</v>
      </c>
      <c r="M81" s="35">
        <f t="shared" si="8"/>
        <v>2013</v>
      </c>
    </row>
    <row r="82" spans="1:13">
      <c r="A82" s="27">
        <v>40330</v>
      </c>
      <c r="B82" s="25">
        <v>147</v>
      </c>
      <c r="C82" s="28">
        <v>220454109</v>
      </c>
      <c r="D82" s="25" t="s">
        <v>11</v>
      </c>
      <c r="G82" s="31">
        <v>52</v>
      </c>
      <c r="H82" s="32">
        <v>41395</v>
      </c>
      <c r="I82" s="33">
        <f t="shared" si="4"/>
        <v>807077497.72000003</v>
      </c>
      <c r="J82" s="33">
        <f t="shared" si="5"/>
        <v>6118208944.3446159</v>
      </c>
      <c r="K82" s="34">
        <f t="shared" si="6"/>
        <v>2190147004.310286</v>
      </c>
      <c r="L82" s="33">
        <f t="shared" si="7"/>
        <v>9115433446.3749027</v>
      </c>
      <c r="M82" s="35">
        <f t="shared" si="8"/>
        <v>2013</v>
      </c>
    </row>
    <row r="83" spans="1:13">
      <c r="A83" s="27">
        <v>40330</v>
      </c>
      <c r="B83" s="25">
        <v>152</v>
      </c>
      <c r="C83" s="28">
        <v>917155703</v>
      </c>
      <c r="D83" s="25" t="s">
        <v>14</v>
      </c>
      <c r="G83" s="31">
        <v>53</v>
      </c>
      <c r="H83" s="32">
        <v>41426</v>
      </c>
      <c r="I83" s="33">
        <f t="shared" si="4"/>
        <v>806055712.48000002</v>
      </c>
      <c r="J83" s="33">
        <f t="shared" si="5"/>
        <v>6209509854.7392311</v>
      </c>
      <c r="K83" s="34">
        <f t="shared" si="6"/>
        <v>2332708225.5194416</v>
      </c>
      <c r="L83" s="33">
        <f t="shared" si="7"/>
        <v>9348273792.7386723</v>
      </c>
      <c r="M83" s="35">
        <f t="shared" si="8"/>
        <v>2013</v>
      </c>
    </row>
    <row r="84" spans="1:13">
      <c r="A84" s="27">
        <v>40330</v>
      </c>
      <c r="B84" s="25">
        <v>149</v>
      </c>
      <c r="C84" s="28">
        <v>2884666870</v>
      </c>
      <c r="D84" s="25" t="s">
        <v>22</v>
      </c>
      <c r="G84" s="31">
        <v>54</v>
      </c>
      <c r="H84" s="32">
        <v>41456</v>
      </c>
      <c r="I84" s="33">
        <f t="shared" si="4"/>
        <v>805033927.24000001</v>
      </c>
      <c r="J84" s="33">
        <f t="shared" si="5"/>
        <v>6300810765.1338472</v>
      </c>
      <c r="K84" s="34">
        <f t="shared" si="6"/>
        <v>2484549052.9617167</v>
      </c>
      <c r="L84" s="33">
        <f t="shared" si="7"/>
        <v>9590393745.3355637</v>
      </c>
      <c r="M84" s="35">
        <f t="shared" si="8"/>
        <v>2013</v>
      </c>
    </row>
    <row r="85" spans="1:13">
      <c r="A85" s="27">
        <v>40360</v>
      </c>
      <c r="B85" s="25">
        <v>148</v>
      </c>
      <c r="C85" s="28">
        <v>92308</v>
      </c>
      <c r="D85" s="25" t="s">
        <v>11</v>
      </c>
      <c r="G85" s="31">
        <v>55</v>
      </c>
      <c r="H85" s="32">
        <v>41487</v>
      </c>
      <c r="I85" s="33">
        <f t="shared" si="4"/>
        <v>804012142</v>
      </c>
      <c r="J85" s="33">
        <f t="shared" si="5"/>
        <v>6392111675.5284624</v>
      </c>
      <c r="K85" s="34">
        <f t="shared" si="6"/>
        <v>2646273515.4965115</v>
      </c>
      <c r="L85" s="33">
        <f t="shared" si="7"/>
        <v>9842397333.0249748</v>
      </c>
      <c r="M85" s="35">
        <f t="shared" si="8"/>
        <v>2013</v>
      </c>
    </row>
    <row r="86" spans="1:13">
      <c r="A86" s="27">
        <v>40360</v>
      </c>
      <c r="B86" s="25">
        <v>147</v>
      </c>
      <c r="C86" s="28">
        <v>243560813</v>
      </c>
      <c r="D86" s="25" t="s">
        <v>11</v>
      </c>
      <c r="G86" s="31">
        <v>56</v>
      </c>
      <c r="H86" s="32">
        <v>41518</v>
      </c>
      <c r="I86" s="33">
        <f t="shared" si="4"/>
        <v>802990356.75999999</v>
      </c>
      <c r="J86" s="33">
        <f t="shared" si="5"/>
        <v>6483412585.9230776</v>
      </c>
      <c r="K86" s="34">
        <f t="shared" si="6"/>
        <v>2818524959.4772911</v>
      </c>
      <c r="L86" s="33">
        <f t="shared" si="7"/>
        <v>10104927902.16037</v>
      </c>
      <c r="M86" s="35">
        <f t="shared" si="8"/>
        <v>2013</v>
      </c>
    </row>
    <row r="87" spans="1:13">
      <c r="A87" s="27">
        <v>40360</v>
      </c>
      <c r="B87" s="25">
        <v>152</v>
      </c>
      <c r="C87" s="28">
        <v>906803120</v>
      </c>
      <c r="D87" s="25" t="s">
        <v>14</v>
      </c>
      <c r="G87" s="31">
        <v>57</v>
      </c>
      <c r="H87" s="32">
        <v>41548</v>
      </c>
      <c r="I87" s="33">
        <f t="shared" si="4"/>
        <v>801968571.51999998</v>
      </c>
      <c r="J87" s="33">
        <f t="shared" si="5"/>
        <v>6574713496.3176928</v>
      </c>
      <c r="K87" s="34">
        <f t="shared" si="6"/>
        <v>3001988608.0090055</v>
      </c>
      <c r="L87" s="33">
        <f t="shared" ref="L87:L89" si="9">SUM(I87:K87)</f>
        <v>10378670675.846699</v>
      </c>
      <c r="M87" s="35">
        <f t="shared" si="8"/>
        <v>2013</v>
      </c>
    </row>
    <row r="88" spans="1:13">
      <c r="A88" s="27">
        <v>40360</v>
      </c>
      <c r="B88" s="25">
        <v>149</v>
      </c>
      <c r="C88" s="28">
        <v>2970778325</v>
      </c>
      <c r="D88" s="25" t="s">
        <v>22</v>
      </c>
      <c r="G88" s="31">
        <v>58</v>
      </c>
      <c r="H88" s="32">
        <v>41579</v>
      </c>
      <c r="I88" s="33">
        <f t="shared" si="4"/>
        <v>800946786.27999997</v>
      </c>
      <c r="J88" s="33">
        <f t="shared" si="5"/>
        <v>6666014406.7123089</v>
      </c>
      <c r="K88" s="34">
        <f t="shared" si="6"/>
        <v>3197394286.7928872</v>
      </c>
      <c r="L88" s="33">
        <f t="shared" si="9"/>
        <v>10664355479.785196</v>
      </c>
      <c r="M88" s="35">
        <f t="shared" si="8"/>
        <v>2013</v>
      </c>
    </row>
    <row r="89" spans="1:13">
      <c r="A89" s="27">
        <v>40391</v>
      </c>
      <c r="B89" s="25">
        <v>148</v>
      </c>
      <c r="C89" s="28">
        <v>92142</v>
      </c>
      <c r="D89" s="25" t="s">
        <v>11</v>
      </c>
      <c r="G89" s="31">
        <v>59</v>
      </c>
      <c r="H89" s="32">
        <v>41609</v>
      </c>
      <c r="I89" s="33">
        <f t="shared" si="4"/>
        <v>799925001.03999996</v>
      </c>
      <c r="J89" s="33">
        <f t="shared" si="5"/>
        <v>6757315317.1069241</v>
      </c>
      <c r="K89" s="34">
        <f t="shared" si="6"/>
        <v>3405519327.4021659</v>
      </c>
      <c r="L89" s="33">
        <f t="shared" si="9"/>
        <v>10962759645.549089</v>
      </c>
      <c r="M89" s="35">
        <f t="shared" si="8"/>
        <v>2013</v>
      </c>
    </row>
    <row r="90" spans="1:13">
      <c r="A90" s="27">
        <v>40391</v>
      </c>
      <c r="B90" s="25">
        <v>147</v>
      </c>
      <c r="C90" s="28">
        <v>296329762</v>
      </c>
      <c r="D90" s="25" t="s">
        <v>11</v>
      </c>
    </row>
    <row r="91" spans="1:13">
      <c r="A91" s="27">
        <v>40391</v>
      </c>
      <c r="B91" s="25">
        <v>152</v>
      </c>
      <c r="C91" s="28">
        <v>878322349</v>
      </c>
      <c r="D91" s="25" t="s">
        <v>14</v>
      </c>
    </row>
    <row r="92" spans="1:13">
      <c r="A92" s="27">
        <v>40391</v>
      </c>
      <c r="B92" s="25">
        <v>149</v>
      </c>
      <c r="C92" s="28">
        <v>2849731400</v>
      </c>
      <c r="D92" s="25" t="s">
        <v>22</v>
      </c>
    </row>
    <row r="93" spans="1:13">
      <c r="A93" s="27">
        <v>40422</v>
      </c>
      <c r="B93" s="25">
        <v>148</v>
      </c>
      <c r="C93" s="28">
        <v>91073</v>
      </c>
      <c r="D93" s="25" t="s">
        <v>11</v>
      </c>
      <c r="H93" s="36" t="s">
        <v>67</v>
      </c>
    </row>
    <row r="94" spans="1:13">
      <c r="A94" s="27">
        <v>40422</v>
      </c>
      <c r="B94" s="25">
        <v>147</v>
      </c>
      <c r="C94" s="28">
        <v>317991522</v>
      </c>
      <c r="D94" s="25" t="s">
        <v>11</v>
      </c>
      <c r="G94" s="36" t="s">
        <v>16</v>
      </c>
      <c r="H94" t="s">
        <v>68</v>
      </c>
      <c r="I94" t="s">
        <v>69</v>
      </c>
      <c r="J94" t="s">
        <v>70</v>
      </c>
    </row>
    <row r="95" spans="1:13">
      <c r="A95" s="27">
        <v>40422</v>
      </c>
      <c r="B95" s="25">
        <v>152</v>
      </c>
      <c r="C95" s="28">
        <v>864891082</v>
      </c>
      <c r="D95" s="25" t="s">
        <v>14</v>
      </c>
      <c r="G95" s="37">
        <v>2010</v>
      </c>
      <c r="H95" s="33">
        <v>10107949062</v>
      </c>
      <c r="I95" s="33">
        <v>35619930428.764618</v>
      </c>
      <c r="J95" s="33">
        <v>3055196291.8412619</v>
      </c>
    </row>
    <row r="96" spans="1:13">
      <c r="A96" s="27">
        <v>40422</v>
      </c>
      <c r="B96" s="25">
        <v>149</v>
      </c>
      <c r="C96" s="28">
        <v>3065229977</v>
      </c>
      <c r="D96" s="25" t="s">
        <v>22</v>
      </c>
      <c r="G96" s="37">
        <v>2011</v>
      </c>
      <c r="H96" s="33">
        <v>9960811987.4400005</v>
      </c>
      <c r="I96" s="33">
        <v>48767261525.589233</v>
      </c>
      <c r="J96" s="33">
        <v>6511558932.9590302</v>
      </c>
    </row>
    <row r="97" spans="1:10">
      <c r="A97" s="27">
        <v>40452</v>
      </c>
      <c r="B97" s="25">
        <v>148</v>
      </c>
      <c r="C97" s="28">
        <v>84008</v>
      </c>
      <c r="D97" s="25" t="s">
        <v>11</v>
      </c>
      <c r="G97" s="37">
        <v>2012</v>
      </c>
      <c r="H97" s="33">
        <v>9813674912.8800011</v>
      </c>
      <c r="I97" s="33">
        <v>61914592622.413834</v>
      </c>
      <c r="J97" s="33">
        <v>13878126210.949701</v>
      </c>
    </row>
    <row r="98" spans="1:10">
      <c r="A98" s="27">
        <v>40452</v>
      </c>
      <c r="B98" s="25">
        <v>147</v>
      </c>
      <c r="C98" s="28">
        <v>336305181</v>
      </c>
      <c r="D98" s="25" t="s">
        <v>11</v>
      </c>
      <c r="G98" s="37">
        <v>2013</v>
      </c>
      <c r="H98" s="33">
        <v>9666537838.3199997</v>
      </c>
      <c r="I98" s="33">
        <v>75061923719.23848</v>
      </c>
      <c r="J98" s="33">
        <v>29578537046.200909</v>
      </c>
    </row>
    <row r="99" spans="1:10">
      <c r="A99" s="27">
        <v>40452</v>
      </c>
      <c r="B99" s="25">
        <v>152</v>
      </c>
      <c r="C99" s="28">
        <v>879562528</v>
      </c>
      <c r="D99" s="25" t="s">
        <v>14</v>
      </c>
      <c r="G99" s="37" t="s">
        <v>17</v>
      </c>
      <c r="H99" s="38">
        <v>39548973800.639999</v>
      </c>
      <c r="I99" s="38">
        <v>221363708296.00616</v>
      </c>
      <c r="J99" s="38">
        <v>53023418481.950897</v>
      </c>
    </row>
    <row r="100" spans="1:10">
      <c r="A100" s="27">
        <v>40452</v>
      </c>
      <c r="B100" s="25">
        <v>149</v>
      </c>
      <c r="C100" s="28">
        <v>3357870413</v>
      </c>
      <c r="D100" s="25" t="s">
        <v>22</v>
      </c>
    </row>
    <row r="101" spans="1:10">
      <c r="A101" s="27">
        <v>40483</v>
      </c>
      <c r="B101" s="25">
        <v>148</v>
      </c>
      <c r="C101" s="28">
        <v>76354</v>
      </c>
      <c r="D101" s="25" t="s">
        <v>11</v>
      </c>
    </row>
    <row r="102" spans="1:10">
      <c r="A102" s="27">
        <v>40483</v>
      </c>
      <c r="B102" s="25">
        <v>147</v>
      </c>
      <c r="C102" s="28">
        <v>352473258</v>
      </c>
      <c r="D102" s="25" t="s">
        <v>11</v>
      </c>
    </row>
    <row r="103" spans="1:10">
      <c r="A103" s="27">
        <v>40483</v>
      </c>
      <c r="B103" s="25">
        <v>152</v>
      </c>
      <c r="C103" s="28">
        <v>811886043</v>
      </c>
      <c r="D103" s="25" t="s">
        <v>14</v>
      </c>
    </row>
    <row r="104" spans="1:10">
      <c r="A104" s="27">
        <v>40483</v>
      </c>
      <c r="B104" s="25">
        <v>149</v>
      </c>
      <c r="C104" s="28">
        <v>3317683574</v>
      </c>
      <c r="D104" s="25" t="s">
        <v>22</v>
      </c>
    </row>
    <row r="105" spans="1:10">
      <c r="A105" s="27">
        <v>40513</v>
      </c>
      <c r="B105" s="25">
        <v>148</v>
      </c>
      <c r="C105" s="28">
        <v>62989</v>
      </c>
      <c r="D105" s="25" t="s">
        <v>11</v>
      </c>
    </row>
    <row r="106" spans="1:10">
      <c r="A106" s="27">
        <v>40513</v>
      </c>
      <c r="B106" s="25">
        <v>147</v>
      </c>
      <c r="C106" s="28">
        <v>384915725</v>
      </c>
      <c r="D106" s="25" t="s">
        <v>11</v>
      </c>
    </row>
    <row r="107" spans="1:10">
      <c r="A107" s="27">
        <v>40513</v>
      </c>
      <c r="B107" s="25">
        <v>152</v>
      </c>
      <c r="C107" s="28">
        <v>795432396</v>
      </c>
      <c r="D107" s="25" t="s">
        <v>14</v>
      </c>
    </row>
    <row r="108" spans="1:10">
      <c r="A108" s="27">
        <v>40513</v>
      </c>
      <c r="B108" s="25">
        <v>149</v>
      </c>
      <c r="C108" s="28">
        <v>3538195568</v>
      </c>
      <c r="D108" s="25" t="s">
        <v>22</v>
      </c>
    </row>
    <row r="109" spans="1:10">
      <c r="A109" s="27">
        <v>40544</v>
      </c>
      <c r="B109" s="25">
        <v>148</v>
      </c>
      <c r="C109" s="28">
        <v>57984</v>
      </c>
      <c r="D109" s="25" t="s">
        <v>11</v>
      </c>
    </row>
    <row r="110" spans="1:10">
      <c r="A110" s="27">
        <v>40544</v>
      </c>
      <c r="B110" s="25">
        <v>147</v>
      </c>
      <c r="C110" s="28">
        <v>412817503</v>
      </c>
      <c r="D110" s="25" t="s">
        <v>11</v>
      </c>
    </row>
    <row r="111" spans="1:10">
      <c r="A111" s="27">
        <v>40544</v>
      </c>
      <c r="B111" s="25">
        <v>152</v>
      </c>
      <c r="C111" s="28">
        <v>722604920</v>
      </c>
      <c r="D111" s="25" t="s">
        <v>14</v>
      </c>
    </row>
    <row r="112" spans="1:10">
      <c r="A112" s="27">
        <v>40544</v>
      </c>
      <c r="B112" s="25">
        <v>149</v>
      </c>
      <c r="C112" s="28">
        <v>3719803146</v>
      </c>
      <c r="D112" s="25" t="s">
        <v>22</v>
      </c>
    </row>
    <row r="113" spans="1:6">
      <c r="A113" s="27">
        <v>40575</v>
      </c>
      <c r="B113" s="25">
        <v>148</v>
      </c>
      <c r="C113" s="28">
        <v>39971</v>
      </c>
      <c r="D113" s="25" t="s">
        <v>11</v>
      </c>
    </row>
    <row r="114" spans="1:6">
      <c r="A114" s="27">
        <v>40575</v>
      </c>
      <c r="B114" s="25">
        <v>147</v>
      </c>
      <c r="C114" s="28">
        <v>312700690</v>
      </c>
      <c r="D114" s="25" t="s">
        <v>11</v>
      </c>
    </row>
    <row r="115" spans="1:6">
      <c r="A115" s="27">
        <v>40575</v>
      </c>
      <c r="B115" s="25">
        <v>152</v>
      </c>
      <c r="C115" s="28">
        <v>542051771</v>
      </c>
      <c r="D115" s="25" t="s">
        <v>14</v>
      </c>
    </row>
    <row r="116" spans="1:6">
      <c r="A116" s="27">
        <v>40575</v>
      </c>
      <c r="B116" s="25">
        <v>149</v>
      </c>
      <c r="C116" s="28">
        <v>2601235655</v>
      </c>
      <c r="D116" s="25" t="s">
        <v>22</v>
      </c>
    </row>
    <row r="120" spans="1:6">
      <c r="A120" t="s">
        <v>3</v>
      </c>
    </row>
    <row r="121" spans="1:6">
      <c r="A121" t="s">
        <v>4</v>
      </c>
    </row>
    <row r="122" spans="1:6">
      <c r="A122" t="s">
        <v>5</v>
      </c>
      <c r="F122" t="s">
        <v>21</v>
      </c>
    </row>
    <row r="123" spans="1:6">
      <c r="A123" t="s">
        <v>6</v>
      </c>
      <c r="F123" t="s">
        <v>21</v>
      </c>
    </row>
    <row r="124" spans="1:6">
      <c r="A124" t="s">
        <v>7</v>
      </c>
      <c r="F124" t="s">
        <v>20</v>
      </c>
    </row>
    <row r="125" spans="1:6">
      <c r="A125" t="s">
        <v>8</v>
      </c>
    </row>
    <row r="126" spans="1:6">
      <c r="A126" t="s">
        <v>9</v>
      </c>
    </row>
    <row r="127" spans="1:6">
      <c r="A127" t="s">
        <v>10</v>
      </c>
    </row>
    <row r="129" spans="1:2">
      <c r="A129">
        <v>147</v>
      </c>
      <c r="B129" t="s">
        <v>11</v>
      </c>
    </row>
    <row r="130" spans="1:2">
      <c r="A130">
        <v>148</v>
      </c>
      <c r="B130" t="s">
        <v>11</v>
      </c>
    </row>
    <row r="131" spans="1:2">
      <c r="A131">
        <v>149</v>
      </c>
      <c r="B131" t="s">
        <v>22</v>
      </c>
    </row>
    <row r="132" spans="1:2">
      <c r="A132">
        <v>150</v>
      </c>
      <c r="B132" t="s">
        <v>12</v>
      </c>
    </row>
    <row r="133" spans="1:2">
      <c r="A133">
        <v>151</v>
      </c>
      <c r="B133" t="s">
        <v>13</v>
      </c>
    </row>
    <row r="134" spans="1:2">
      <c r="A134">
        <v>152</v>
      </c>
      <c r="B134" t="s">
        <v>14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G67"/>
  <sheetViews>
    <sheetView topLeftCell="A43" workbookViewId="0">
      <selection activeCell="AE56" sqref="AE56:AG67"/>
    </sheetView>
  </sheetViews>
  <sheetFormatPr defaultRowHeight="15"/>
  <cols>
    <col min="1" max="1" width="13.28515625" customWidth="1"/>
    <col min="3" max="3" width="11" bestFit="1" customWidth="1"/>
    <col min="4" max="11" width="10.140625" customWidth="1"/>
    <col min="12" max="12" width="11.140625" customWidth="1"/>
    <col min="13" max="26" width="10.5703125" customWidth="1"/>
    <col min="27" max="27" width="13.7109375" customWidth="1"/>
    <col min="28" max="28" width="14.85546875" customWidth="1"/>
    <col min="29" max="29" width="12.140625" customWidth="1"/>
    <col min="30" max="30" width="12.28515625" customWidth="1"/>
    <col min="31" max="31" width="11" customWidth="1"/>
    <col min="32" max="32" width="10.7109375" customWidth="1"/>
    <col min="33" max="33" width="12.140625" customWidth="1"/>
  </cols>
  <sheetData>
    <row r="1" spans="1:33">
      <c r="A1" s="1" t="s">
        <v>23</v>
      </c>
      <c r="B1" s="1" t="s">
        <v>52</v>
      </c>
      <c r="C1" s="1" t="s">
        <v>51</v>
      </c>
      <c r="D1" s="2" t="s">
        <v>24</v>
      </c>
      <c r="E1" s="3" t="s">
        <v>25</v>
      </c>
      <c r="F1" s="2" t="s">
        <v>26</v>
      </c>
      <c r="G1" s="3" t="s">
        <v>27</v>
      </c>
      <c r="H1" s="3" t="s">
        <v>28</v>
      </c>
      <c r="I1" s="3" t="s">
        <v>29</v>
      </c>
      <c r="J1" s="4" t="s">
        <v>30</v>
      </c>
      <c r="K1" s="3" t="s">
        <v>31</v>
      </c>
      <c r="L1" s="4" t="s">
        <v>32</v>
      </c>
      <c r="M1" s="4" t="s">
        <v>33</v>
      </c>
      <c r="N1" s="4" t="s">
        <v>34</v>
      </c>
      <c r="O1" s="2" t="s">
        <v>35</v>
      </c>
      <c r="P1" s="3" t="s">
        <v>36</v>
      </c>
      <c r="Q1" s="2" t="s">
        <v>37</v>
      </c>
      <c r="R1" s="3" t="s">
        <v>38</v>
      </c>
      <c r="S1" s="2" t="s">
        <v>39</v>
      </c>
      <c r="T1" s="4" t="s">
        <v>40</v>
      </c>
      <c r="U1" s="3" t="s">
        <v>41</v>
      </c>
      <c r="V1" s="2" t="s">
        <v>42</v>
      </c>
      <c r="W1" s="4" t="s">
        <v>43</v>
      </c>
      <c r="X1" s="2" t="s">
        <v>44</v>
      </c>
      <c r="Y1" s="4" t="s">
        <v>45</v>
      </c>
      <c r="Z1" s="3" t="s">
        <v>46</v>
      </c>
      <c r="AA1" s="5" t="s">
        <v>53</v>
      </c>
      <c r="AB1" s="6" t="s">
        <v>47</v>
      </c>
      <c r="AC1" s="7" t="s">
        <v>48</v>
      </c>
      <c r="AD1" s="8" t="s">
        <v>49</v>
      </c>
      <c r="AE1" s="25" t="s">
        <v>54</v>
      </c>
      <c r="AF1" s="25" t="s">
        <v>55</v>
      </c>
      <c r="AG1" s="13" t="s">
        <v>56</v>
      </c>
    </row>
    <row r="2" spans="1:33">
      <c r="A2" s="9" t="s">
        <v>50</v>
      </c>
      <c r="B2" s="10">
        <v>1</v>
      </c>
      <c r="C2" s="11">
        <f>SUM(D2:Z2)</f>
        <v>561386825</v>
      </c>
      <c r="D2" s="12">
        <v>42089499</v>
      </c>
      <c r="E2" s="13">
        <v>23857799</v>
      </c>
      <c r="F2" s="12">
        <v>16398544</v>
      </c>
      <c r="G2" s="13">
        <v>18658392</v>
      </c>
      <c r="H2" s="13">
        <v>39688572</v>
      </c>
      <c r="I2" s="13">
        <v>278636</v>
      </c>
      <c r="J2" s="14">
        <v>53645296</v>
      </c>
      <c r="K2" s="13">
        <v>20095734</v>
      </c>
      <c r="L2" s="15">
        <v>24541672</v>
      </c>
      <c r="M2" s="15">
        <v>19882055</v>
      </c>
      <c r="N2" s="15">
        <v>16823185</v>
      </c>
      <c r="O2" s="12">
        <v>22958300</v>
      </c>
      <c r="P2" s="13">
        <v>13711724</v>
      </c>
      <c r="Q2" s="12">
        <v>16819314</v>
      </c>
      <c r="R2" s="13">
        <v>16715738</v>
      </c>
      <c r="S2" s="12">
        <v>18520942</v>
      </c>
      <c r="T2" s="15">
        <v>21004358</v>
      </c>
      <c r="U2" s="13">
        <v>11710286</v>
      </c>
      <c r="V2" s="12">
        <v>56051298</v>
      </c>
      <c r="W2" s="15">
        <v>19121288</v>
      </c>
      <c r="X2" s="12">
        <v>22030461</v>
      </c>
      <c r="Y2" s="15">
        <v>54226217</v>
      </c>
      <c r="Z2" s="13">
        <v>12557515</v>
      </c>
      <c r="AA2" s="16">
        <v>561386825</v>
      </c>
      <c r="AB2" s="17">
        <v>209244071</v>
      </c>
      <c r="AC2" s="13">
        <v>157274396</v>
      </c>
      <c r="AD2" s="12">
        <v>194868358</v>
      </c>
      <c r="AE2" s="26">
        <f t="shared" ref="AE2:AE33" si="0">AB2/$AA2</f>
        <v>0.37272707816041106</v>
      </c>
      <c r="AF2" s="26">
        <f t="shared" ref="AF2:AF33" si="1">AC2/$AA2</f>
        <v>0.28015334346330623</v>
      </c>
      <c r="AG2" s="26">
        <f t="shared" ref="AG2:AG33" si="2">AD2/$AA2</f>
        <v>0.34711957837628271</v>
      </c>
    </row>
    <row r="3" spans="1:33">
      <c r="A3" s="18">
        <v>38565</v>
      </c>
      <c r="B3" s="10">
        <v>2</v>
      </c>
      <c r="C3" s="11">
        <f t="shared" ref="C3:C66" si="3">SUM(D3:Z3)</f>
        <v>559362611</v>
      </c>
      <c r="D3" s="12">
        <v>43250776</v>
      </c>
      <c r="E3" s="13">
        <v>23946531</v>
      </c>
      <c r="F3" s="12">
        <v>15994522</v>
      </c>
      <c r="G3" s="13">
        <v>18462243</v>
      </c>
      <c r="H3" s="13">
        <v>39765276</v>
      </c>
      <c r="I3" s="13">
        <v>327922</v>
      </c>
      <c r="J3" s="15">
        <v>52363881</v>
      </c>
      <c r="K3" s="13">
        <v>19591220</v>
      </c>
      <c r="L3" s="15">
        <v>23635830</v>
      </c>
      <c r="M3" s="15">
        <v>19059148</v>
      </c>
      <c r="N3" s="15">
        <v>17329841</v>
      </c>
      <c r="O3" s="12">
        <v>21908101</v>
      </c>
      <c r="P3" s="13">
        <v>13240525</v>
      </c>
      <c r="Q3" s="12">
        <v>16465178</v>
      </c>
      <c r="R3" s="13">
        <v>15910771</v>
      </c>
      <c r="S3" s="12">
        <v>17767979</v>
      </c>
      <c r="T3" s="15">
        <v>20600875</v>
      </c>
      <c r="U3" s="13">
        <v>11746429</v>
      </c>
      <c r="V3" s="12">
        <v>56067915</v>
      </c>
      <c r="W3" s="15">
        <v>19493428</v>
      </c>
      <c r="X3" s="12">
        <v>22340324</v>
      </c>
      <c r="Y3" s="15">
        <v>56811769</v>
      </c>
      <c r="Z3" s="13">
        <v>13282127</v>
      </c>
      <c r="AA3" s="16">
        <v>559362611</v>
      </c>
      <c r="AB3" s="17">
        <v>209294772</v>
      </c>
      <c r="AC3" s="13">
        <v>156273044</v>
      </c>
      <c r="AD3" s="12">
        <v>193794795</v>
      </c>
      <c r="AE3" s="26">
        <f t="shared" si="0"/>
        <v>0.37416653863552563</v>
      </c>
      <c r="AF3" s="26">
        <f t="shared" si="1"/>
        <v>0.2793769925391027</v>
      </c>
      <c r="AG3" s="26">
        <f t="shared" si="2"/>
        <v>0.34645646882537168</v>
      </c>
    </row>
    <row r="4" spans="1:33">
      <c r="A4" s="18">
        <v>38596</v>
      </c>
      <c r="B4" s="10">
        <v>3</v>
      </c>
      <c r="C4" s="11">
        <f t="shared" si="3"/>
        <v>579320228</v>
      </c>
      <c r="D4" s="12">
        <v>45439685</v>
      </c>
      <c r="E4" s="13">
        <v>24304068</v>
      </c>
      <c r="F4" s="12">
        <v>16459634</v>
      </c>
      <c r="G4" s="13">
        <v>19051309</v>
      </c>
      <c r="H4" s="13">
        <v>39974054</v>
      </c>
      <c r="I4" s="13">
        <v>297775</v>
      </c>
      <c r="J4" s="15">
        <v>53840311</v>
      </c>
      <c r="K4" s="13">
        <v>21537314</v>
      </c>
      <c r="L4" s="15">
        <v>23790859</v>
      </c>
      <c r="M4" s="15">
        <v>20255765</v>
      </c>
      <c r="N4" s="15">
        <v>17979960</v>
      </c>
      <c r="O4" s="12">
        <v>22224417</v>
      </c>
      <c r="P4" s="13">
        <v>14022895</v>
      </c>
      <c r="Q4" s="12">
        <v>16946257</v>
      </c>
      <c r="R4" s="13">
        <v>16604749</v>
      </c>
      <c r="S4" s="12">
        <v>18886758</v>
      </c>
      <c r="T4" s="15">
        <v>21540437</v>
      </c>
      <c r="U4" s="13">
        <v>12451766</v>
      </c>
      <c r="V4" s="12">
        <v>59987497</v>
      </c>
      <c r="W4" s="15">
        <v>20591481</v>
      </c>
      <c r="X4" s="12">
        <v>23006077</v>
      </c>
      <c r="Y4" s="15">
        <v>57064722</v>
      </c>
      <c r="Z4" s="13">
        <v>13062438</v>
      </c>
      <c r="AA4" s="16">
        <v>579320228</v>
      </c>
      <c r="AB4" s="17">
        <v>215063535</v>
      </c>
      <c r="AC4" s="13">
        <v>161306368</v>
      </c>
      <c r="AD4" s="12">
        <v>202950325</v>
      </c>
      <c r="AE4" s="26">
        <f t="shared" si="0"/>
        <v>0.37123429254743717</v>
      </c>
      <c r="AF4" s="26">
        <f t="shared" si="1"/>
        <v>0.27844076592471412</v>
      </c>
      <c r="AG4" s="26">
        <f t="shared" si="2"/>
        <v>0.35032494152784877</v>
      </c>
    </row>
    <row r="5" spans="1:33">
      <c r="A5" s="18">
        <v>38626</v>
      </c>
      <c r="B5" s="10">
        <v>4</v>
      </c>
      <c r="C5" s="11">
        <f t="shared" si="3"/>
        <v>567728555</v>
      </c>
      <c r="D5" s="12">
        <v>44907421</v>
      </c>
      <c r="E5" s="13">
        <v>23893206</v>
      </c>
      <c r="F5" s="12">
        <v>15862500</v>
      </c>
      <c r="G5" s="13">
        <v>18419161</v>
      </c>
      <c r="H5" s="13">
        <v>37046668</v>
      </c>
      <c r="I5" s="13">
        <v>592077</v>
      </c>
      <c r="J5" s="15">
        <v>53695630</v>
      </c>
      <c r="K5" s="13">
        <v>21676998</v>
      </c>
      <c r="L5" s="15">
        <v>23419758</v>
      </c>
      <c r="M5" s="15">
        <v>19490302</v>
      </c>
      <c r="N5" s="15">
        <v>17400281</v>
      </c>
      <c r="O5" s="12">
        <v>21901708</v>
      </c>
      <c r="P5" s="13">
        <v>14155802</v>
      </c>
      <c r="Q5" s="12">
        <v>16296962</v>
      </c>
      <c r="R5" s="13">
        <v>15920347</v>
      </c>
      <c r="S5" s="12">
        <v>17628250</v>
      </c>
      <c r="T5" s="15">
        <v>20913679</v>
      </c>
      <c r="U5" s="13">
        <v>12154459</v>
      </c>
      <c r="V5" s="12">
        <v>58900906</v>
      </c>
      <c r="W5" s="15">
        <v>19526594</v>
      </c>
      <c r="X5" s="12">
        <v>21903642</v>
      </c>
      <c r="Y5" s="15">
        <v>58495773</v>
      </c>
      <c r="Z5" s="13">
        <v>13526431</v>
      </c>
      <c r="AA5" s="16">
        <v>567728555</v>
      </c>
      <c r="AB5" s="17">
        <v>212942017</v>
      </c>
      <c r="AC5" s="13">
        <v>157385149</v>
      </c>
      <c r="AD5" s="12">
        <v>197401389</v>
      </c>
      <c r="AE5" s="26">
        <f t="shared" si="0"/>
        <v>0.375077165177996</v>
      </c>
      <c r="AF5" s="26">
        <f t="shared" si="1"/>
        <v>0.27721901182159142</v>
      </c>
      <c r="AG5" s="26">
        <f t="shared" si="2"/>
        <v>0.34770382300041258</v>
      </c>
    </row>
    <row r="6" spans="1:33">
      <c r="A6" s="18">
        <v>38657</v>
      </c>
      <c r="B6" s="10">
        <v>5</v>
      </c>
      <c r="C6" s="11">
        <f t="shared" si="3"/>
        <v>589042301</v>
      </c>
      <c r="D6" s="12">
        <v>48686611</v>
      </c>
      <c r="E6" s="13">
        <v>24034887</v>
      </c>
      <c r="F6" s="12">
        <v>16569357</v>
      </c>
      <c r="G6" s="13">
        <v>19631482</v>
      </c>
      <c r="H6" s="13">
        <v>38344369</v>
      </c>
      <c r="I6" s="13">
        <v>559967</v>
      </c>
      <c r="J6" s="15">
        <v>56389764</v>
      </c>
      <c r="K6" s="13">
        <v>22718542</v>
      </c>
      <c r="L6" s="15">
        <v>24275946</v>
      </c>
      <c r="M6" s="15">
        <v>20117692</v>
      </c>
      <c r="N6" s="15">
        <v>17939895</v>
      </c>
      <c r="O6" s="12">
        <v>21522171</v>
      </c>
      <c r="P6" s="13">
        <v>14677176</v>
      </c>
      <c r="Q6" s="12">
        <v>17019813</v>
      </c>
      <c r="R6" s="13">
        <v>16522788</v>
      </c>
      <c r="S6" s="12">
        <v>18250774</v>
      </c>
      <c r="T6" s="15">
        <v>21849629</v>
      </c>
      <c r="U6" s="13">
        <v>12696066</v>
      </c>
      <c r="V6" s="12">
        <v>61469185</v>
      </c>
      <c r="W6" s="15">
        <v>20993885</v>
      </c>
      <c r="X6" s="12">
        <v>23182708</v>
      </c>
      <c r="Y6" s="15">
        <v>58210591</v>
      </c>
      <c r="Z6" s="13">
        <v>13379003</v>
      </c>
      <c r="AA6" s="16">
        <v>589042301</v>
      </c>
      <c r="AB6" s="17">
        <v>219777402</v>
      </c>
      <c r="AC6" s="13">
        <v>162564280</v>
      </c>
      <c r="AD6" s="12">
        <v>206700619</v>
      </c>
      <c r="AE6" s="26">
        <f t="shared" si="0"/>
        <v>0.37310970982370922</v>
      </c>
      <c r="AF6" s="26">
        <f t="shared" si="1"/>
        <v>0.27598065491055457</v>
      </c>
      <c r="AG6" s="26">
        <f t="shared" si="2"/>
        <v>0.35090963526573621</v>
      </c>
    </row>
    <row r="7" spans="1:33">
      <c r="A7" s="19">
        <v>38687</v>
      </c>
      <c r="B7" s="10">
        <v>6</v>
      </c>
      <c r="C7" s="11">
        <f t="shared" si="3"/>
        <v>592673342</v>
      </c>
      <c r="D7" s="20">
        <v>48427554</v>
      </c>
      <c r="E7" s="20">
        <v>23950845</v>
      </c>
      <c r="F7" s="20">
        <v>16354953</v>
      </c>
      <c r="G7" s="20">
        <v>20030214</v>
      </c>
      <c r="H7" s="20">
        <v>38366804</v>
      </c>
      <c r="I7" s="20">
        <v>522706</v>
      </c>
      <c r="J7" s="20">
        <v>54294903</v>
      </c>
      <c r="K7" s="20">
        <v>23875514</v>
      </c>
      <c r="L7" s="20">
        <v>22922928</v>
      </c>
      <c r="M7" s="20">
        <v>20083536</v>
      </c>
      <c r="N7" s="20">
        <v>18347450</v>
      </c>
      <c r="O7" s="20">
        <v>21153037</v>
      </c>
      <c r="P7" s="20">
        <v>15515935</v>
      </c>
      <c r="Q7" s="20">
        <v>16677000</v>
      </c>
      <c r="R7" s="20">
        <v>16776255</v>
      </c>
      <c r="S7" s="20">
        <v>18613610</v>
      </c>
      <c r="T7" s="20">
        <v>22209807</v>
      </c>
      <c r="U7" s="20">
        <v>13151600</v>
      </c>
      <c r="V7" s="20">
        <v>64159031</v>
      </c>
      <c r="W7" s="20">
        <v>21846388</v>
      </c>
      <c r="X7" s="20">
        <v>23331488</v>
      </c>
      <c r="Y7" s="20">
        <v>58584183</v>
      </c>
      <c r="Z7" s="20">
        <v>13477601</v>
      </c>
      <c r="AA7" s="21">
        <v>592673342</v>
      </c>
      <c r="AB7" s="21">
        <v>218289195</v>
      </c>
      <c r="AC7" s="20">
        <v>165667474</v>
      </c>
      <c r="AD7" s="20">
        <v>208716673</v>
      </c>
      <c r="AE7" s="26">
        <f t="shared" si="0"/>
        <v>0.36831282855303454</v>
      </c>
      <c r="AF7" s="26">
        <f t="shared" si="1"/>
        <v>0.27952577290037789</v>
      </c>
      <c r="AG7" s="26">
        <f t="shared" si="2"/>
        <v>0.35216139854658757</v>
      </c>
    </row>
    <row r="8" spans="1:33">
      <c r="A8" s="18">
        <v>38718</v>
      </c>
      <c r="B8" s="10">
        <v>7</v>
      </c>
      <c r="C8" s="11">
        <f t="shared" si="3"/>
        <v>597988843</v>
      </c>
      <c r="D8" s="12">
        <v>52383691</v>
      </c>
      <c r="E8" s="13">
        <v>24587387</v>
      </c>
      <c r="F8" s="12">
        <v>15871472</v>
      </c>
      <c r="G8" s="13">
        <v>19507263</v>
      </c>
      <c r="H8" s="13">
        <v>36875388</v>
      </c>
      <c r="I8" s="13">
        <v>545832</v>
      </c>
      <c r="J8" s="15">
        <v>53837752</v>
      </c>
      <c r="K8" s="13">
        <v>25174861</v>
      </c>
      <c r="L8" s="15">
        <v>22923113</v>
      </c>
      <c r="M8" s="15">
        <v>19399210</v>
      </c>
      <c r="N8" s="15">
        <v>20528253</v>
      </c>
      <c r="O8" s="12">
        <v>21373703</v>
      </c>
      <c r="P8" s="13">
        <v>15774722</v>
      </c>
      <c r="Q8" s="12">
        <v>16661469</v>
      </c>
      <c r="R8" s="13">
        <v>16327005</v>
      </c>
      <c r="S8" s="12">
        <v>18380530</v>
      </c>
      <c r="T8" s="15">
        <v>23700182</v>
      </c>
      <c r="U8" s="13">
        <v>13732387</v>
      </c>
      <c r="V8" s="12">
        <v>63323547</v>
      </c>
      <c r="W8" s="15">
        <v>22785990</v>
      </c>
      <c r="X8" s="12">
        <v>23727739</v>
      </c>
      <c r="Y8" s="15">
        <v>57817299</v>
      </c>
      <c r="Z8" s="13">
        <v>12750048</v>
      </c>
      <c r="AA8" s="16">
        <v>597988843</v>
      </c>
      <c r="AB8" s="17">
        <v>220991799</v>
      </c>
      <c r="AC8" s="13">
        <v>165274893</v>
      </c>
      <c r="AD8" s="12">
        <v>211722151</v>
      </c>
      <c r="AE8" s="26">
        <f t="shared" si="0"/>
        <v>0.36955839826596898</v>
      </c>
      <c r="AF8" s="26">
        <f t="shared" si="1"/>
        <v>0.27638457629217006</v>
      </c>
      <c r="AG8" s="26">
        <f t="shared" si="2"/>
        <v>0.35405702544186096</v>
      </c>
    </row>
    <row r="9" spans="1:33">
      <c r="A9" s="18">
        <v>38749</v>
      </c>
      <c r="B9" s="10">
        <v>8</v>
      </c>
      <c r="C9" s="11">
        <f t="shared" si="3"/>
        <v>642548936</v>
      </c>
      <c r="D9" s="12">
        <v>58724694</v>
      </c>
      <c r="E9" s="13">
        <v>26197011</v>
      </c>
      <c r="F9" s="12">
        <v>16990934</v>
      </c>
      <c r="G9" s="13">
        <v>21150819</v>
      </c>
      <c r="H9" s="13">
        <v>40252511</v>
      </c>
      <c r="I9" s="13">
        <v>505117</v>
      </c>
      <c r="J9" s="15">
        <v>59395770</v>
      </c>
      <c r="K9" s="13">
        <v>28095341</v>
      </c>
      <c r="L9" s="15">
        <v>23687768</v>
      </c>
      <c r="M9" s="15">
        <v>21009041</v>
      </c>
      <c r="N9" s="15">
        <v>21751936</v>
      </c>
      <c r="O9" s="12">
        <v>22314344</v>
      </c>
      <c r="P9" s="13">
        <v>17110967</v>
      </c>
      <c r="Q9" s="12">
        <v>18236754</v>
      </c>
      <c r="R9" s="13">
        <v>17509845</v>
      </c>
      <c r="S9" s="12">
        <v>19387222</v>
      </c>
      <c r="T9" s="15">
        <v>25827670</v>
      </c>
      <c r="U9" s="13">
        <v>14885994</v>
      </c>
      <c r="V9" s="12">
        <v>70224813</v>
      </c>
      <c r="W9" s="15">
        <v>25005298</v>
      </c>
      <c r="X9" s="12">
        <v>25315286</v>
      </c>
      <c r="Y9" s="15">
        <v>56768994</v>
      </c>
      <c r="Z9" s="13">
        <v>12200807</v>
      </c>
      <c r="AA9" s="16">
        <v>642548936</v>
      </c>
      <c r="AB9" s="17">
        <v>233446477</v>
      </c>
      <c r="AC9" s="13">
        <v>177908412</v>
      </c>
      <c r="AD9" s="12">
        <v>231194047</v>
      </c>
      <c r="AE9" s="26">
        <f t="shared" si="0"/>
        <v>0.3633131484945763</v>
      </c>
      <c r="AF9" s="26">
        <f t="shared" si="1"/>
        <v>0.27687916364396564</v>
      </c>
      <c r="AG9" s="26">
        <f t="shared" si="2"/>
        <v>0.35980768786145806</v>
      </c>
    </row>
    <row r="10" spans="1:33">
      <c r="A10" s="18">
        <v>38777</v>
      </c>
      <c r="B10" s="10">
        <v>9</v>
      </c>
      <c r="C10" s="11">
        <f t="shared" si="3"/>
        <v>616283756</v>
      </c>
      <c r="D10" s="12">
        <v>56113086</v>
      </c>
      <c r="E10" s="13">
        <v>24179285</v>
      </c>
      <c r="F10" s="12">
        <v>15942898</v>
      </c>
      <c r="G10" s="13">
        <v>19846023</v>
      </c>
      <c r="H10" s="13">
        <v>36849551</v>
      </c>
      <c r="I10" s="13">
        <v>560121</v>
      </c>
      <c r="J10" s="15">
        <v>54164649</v>
      </c>
      <c r="K10" s="13">
        <v>26165354</v>
      </c>
      <c r="L10" s="15">
        <v>22468224</v>
      </c>
      <c r="M10" s="15">
        <v>19430427</v>
      </c>
      <c r="N10" s="15">
        <v>20182594</v>
      </c>
      <c r="O10" s="12">
        <v>20738032</v>
      </c>
      <c r="P10" s="13">
        <v>16146285</v>
      </c>
      <c r="Q10" s="12">
        <v>16814195</v>
      </c>
      <c r="R10" s="13">
        <v>16325296</v>
      </c>
      <c r="S10" s="12">
        <v>18059078</v>
      </c>
      <c r="T10" s="15">
        <v>24685181</v>
      </c>
      <c r="U10" s="13">
        <v>13818579</v>
      </c>
      <c r="V10" s="12">
        <v>66732236</v>
      </c>
      <c r="W10" s="15">
        <v>23554325</v>
      </c>
      <c r="X10" s="12">
        <v>24015866</v>
      </c>
      <c r="Y10" s="15">
        <v>65678054</v>
      </c>
      <c r="Z10" s="13">
        <v>13814417</v>
      </c>
      <c r="AA10" s="16">
        <v>616283756</v>
      </c>
      <c r="AB10" s="17">
        <v>230163454</v>
      </c>
      <c r="AC10" s="13">
        <v>167704911</v>
      </c>
      <c r="AD10" s="12">
        <v>218415391</v>
      </c>
      <c r="AE10" s="26">
        <f t="shared" si="0"/>
        <v>0.37346993452152583</v>
      </c>
      <c r="AF10" s="26">
        <f t="shared" si="1"/>
        <v>0.27212288068160601</v>
      </c>
      <c r="AG10" s="26">
        <f t="shared" si="2"/>
        <v>0.35440718479686817</v>
      </c>
    </row>
    <row r="11" spans="1:33">
      <c r="A11" s="18">
        <v>38808</v>
      </c>
      <c r="B11" s="10">
        <v>10</v>
      </c>
      <c r="C11" s="11">
        <f t="shared" si="3"/>
        <v>710071717</v>
      </c>
      <c r="D11" s="12">
        <v>64966111</v>
      </c>
      <c r="E11" s="13">
        <v>28246006</v>
      </c>
      <c r="F11" s="12">
        <v>18799176</v>
      </c>
      <c r="G11" s="13">
        <v>23534283</v>
      </c>
      <c r="H11" s="13">
        <v>42850596</v>
      </c>
      <c r="I11" s="13">
        <v>492685</v>
      </c>
      <c r="J11" s="15">
        <v>62967026</v>
      </c>
      <c r="K11" s="13">
        <v>31289319</v>
      </c>
      <c r="L11" s="15">
        <v>26174277</v>
      </c>
      <c r="M11" s="15">
        <v>22702820</v>
      </c>
      <c r="N11" s="15">
        <v>23520585</v>
      </c>
      <c r="O11" s="12">
        <v>24430869</v>
      </c>
      <c r="P11" s="13">
        <v>19593146</v>
      </c>
      <c r="Q11" s="12">
        <v>19568093</v>
      </c>
      <c r="R11" s="13">
        <v>19167963</v>
      </c>
      <c r="S11" s="12">
        <v>21320070</v>
      </c>
      <c r="T11" s="15">
        <v>28989058</v>
      </c>
      <c r="U11" s="13">
        <v>15883780</v>
      </c>
      <c r="V11" s="12">
        <v>78863659</v>
      </c>
      <c r="W11" s="15">
        <v>27560083</v>
      </c>
      <c r="X11" s="12">
        <v>28514067</v>
      </c>
      <c r="Y11" s="15">
        <v>66407370</v>
      </c>
      <c r="Z11" s="13">
        <v>14230675</v>
      </c>
      <c r="AA11" s="16">
        <v>710071717</v>
      </c>
      <c r="AB11" s="17">
        <v>258321219</v>
      </c>
      <c r="AC11" s="13">
        <v>195288453</v>
      </c>
      <c r="AD11" s="12">
        <v>256462045</v>
      </c>
      <c r="AE11" s="26">
        <f t="shared" si="0"/>
        <v>0.36379595583864099</v>
      </c>
      <c r="AF11" s="26">
        <f t="shared" si="1"/>
        <v>0.27502637877914521</v>
      </c>
      <c r="AG11" s="26">
        <f t="shared" si="2"/>
        <v>0.3611776653822138</v>
      </c>
    </row>
    <row r="12" spans="1:33">
      <c r="A12" s="18">
        <v>38838</v>
      </c>
      <c r="B12" s="10">
        <v>11</v>
      </c>
      <c r="C12" s="11">
        <f t="shared" si="3"/>
        <v>734880006</v>
      </c>
      <c r="D12" s="12">
        <v>67748059</v>
      </c>
      <c r="E12" s="13">
        <v>29406460</v>
      </c>
      <c r="F12" s="12">
        <v>19495118</v>
      </c>
      <c r="G12" s="13">
        <v>24408499</v>
      </c>
      <c r="H12" s="13">
        <v>44056776</v>
      </c>
      <c r="I12" s="13">
        <v>510086</v>
      </c>
      <c r="J12" s="15">
        <v>64232826</v>
      </c>
      <c r="K12" s="13">
        <v>31736670</v>
      </c>
      <c r="L12" s="15">
        <v>27266731</v>
      </c>
      <c r="M12" s="15">
        <v>23534604</v>
      </c>
      <c r="N12" s="15">
        <v>24477655</v>
      </c>
      <c r="O12" s="12">
        <v>24514113</v>
      </c>
      <c r="P12" s="13">
        <v>19891136</v>
      </c>
      <c r="Q12" s="12">
        <v>19505547</v>
      </c>
      <c r="R12" s="13">
        <v>18937440</v>
      </c>
      <c r="S12" s="12">
        <v>22136301</v>
      </c>
      <c r="T12" s="15">
        <v>29294074</v>
      </c>
      <c r="U12" s="13">
        <v>16507054</v>
      </c>
      <c r="V12" s="12">
        <v>80616814</v>
      </c>
      <c r="W12" s="15">
        <v>28039638</v>
      </c>
      <c r="X12" s="12">
        <v>29026864</v>
      </c>
      <c r="Y12" s="15">
        <v>73898773</v>
      </c>
      <c r="Z12" s="13">
        <v>15638768</v>
      </c>
      <c r="AA12" s="16">
        <v>734880006</v>
      </c>
      <c r="AB12" s="17">
        <v>270744301</v>
      </c>
      <c r="AC12" s="13">
        <v>201092889</v>
      </c>
      <c r="AD12" s="12">
        <v>263042816</v>
      </c>
      <c r="AE12" s="26">
        <f t="shared" si="0"/>
        <v>0.36841974035146086</v>
      </c>
      <c r="AF12" s="26">
        <f t="shared" si="1"/>
        <v>0.27364044110352348</v>
      </c>
      <c r="AG12" s="26">
        <f t="shared" si="2"/>
        <v>0.35793981854501561</v>
      </c>
    </row>
    <row r="13" spans="1:33">
      <c r="A13" s="18">
        <v>38869</v>
      </c>
      <c r="B13" s="10">
        <v>12</v>
      </c>
      <c r="C13" s="11">
        <f t="shared" si="3"/>
        <v>791330700</v>
      </c>
      <c r="D13" s="12">
        <v>73759454</v>
      </c>
      <c r="E13" s="13">
        <v>31742378</v>
      </c>
      <c r="F13" s="12">
        <v>20811569</v>
      </c>
      <c r="G13" s="13">
        <v>25619996</v>
      </c>
      <c r="H13" s="13">
        <v>48942366</v>
      </c>
      <c r="I13" s="13">
        <v>484890</v>
      </c>
      <c r="J13" s="15">
        <v>68545392</v>
      </c>
      <c r="K13" s="13">
        <v>34912616</v>
      </c>
      <c r="L13" s="15">
        <v>28945942</v>
      </c>
      <c r="M13" s="15">
        <v>26074641</v>
      </c>
      <c r="N13" s="15">
        <v>26979954</v>
      </c>
      <c r="O13" s="12">
        <v>26402677</v>
      </c>
      <c r="P13" s="13">
        <v>21580138</v>
      </c>
      <c r="Q13" s="12">
        <v>21263209</v>
      </c>
      <c r="R13" s="13">
        <v>20163100</v>
      </c>
      <c r="S13" s="12">
        <v>24270137</v>
      </c>
      <c r="T13" s="15">
        <v>30987320</v>
      </c>
      <c r="U13" s="13">
        <v>17929586</v>
      </c>
      <c r="V13" s="12">
        <v>87768773</v>
      </c>
      <c r="W13" s="15">
        <v>29849876</v>
      </c>
      <c r="X13" s="12">
        <v>31372873</v>
      </c>
      <c r="Y13" s="15">
        <v>76703193</v>
      </c>
      <c r="Z13" s="13">
        <v>16220620</v>
      </c>
      <c r="AA13" s="16">
        <v>791330700</v>
      </c>
      <c r="AB13" s="17">
        <v>288086318</v>
      </c>
      <c r="AC13" s="13">
        <v>217595690</v>
      </c>
      <c r="AD13" s="12">
        <v>285648692</v>
      </c>
      <c r="AE13" s="26">
        <f t="shared" si="0"/>
        <v>0.36405300337772817</v>
      </c>
      <c r="AF13" s="26">
        <f t="shared" si="1"/>
        <v>0.27497440703362069</v>
      </c>
      <c r="AG13" s="26">
        <f t="shared" si="2"/>
        <v>0.36097258958865114</v>
      </c>
    </row>
    <row r="14" spans="1:33">
      <c r="A14" s="18">
        <v>38899</v>
      </c>
      <c r="B14" s="10">
        <v>13</v>
      </c>
      <c r="C14" s="11">
        <f t="shared" si="3"/>
        <v>800088919</v>
      </c>
      <c r="D14" s="12">
        <v>74092432</v>
      </c>
      <c r="E14" s="13">
        <v>31622742</v>
      </c>
      <c r="F14" s="12">
        <v>20999978</v>
      </c>
      <c r="G14" s="13">
        <v>28430405</v>
      </c>
      <c r="H14" s="13">
        <v>49479982</v>
      </c>
      <c r="I14" s="13">
        <v>377377</v>
      </c>
      <c r="J14" s="15">
        <v>69784848</v>
      </c>
      <c r="K14" s="13">
        <v>40726856</v>
      </c>
      <c r="L14" s="15">
        <v>29108106</v>
      </c>
      <c r="M14" s="15">
        <v>25916150</v>
      </c>
      <c r="N14" s="15">
        <v>27463528</v>
      </c>
      <c r="O14" s="12">
        <v>26382473</v>
      </c>
      <c r="P14" s="13">
        <v>24642406</v>
      </c>
      <c r="Q14" s="12">
        <v>20701886</v>
      </c>
      <c r="R14" s="13">
        <v>22319426</v>
      </c>
      <c r="S14" s="12">
        <v>24315780</v>
      </c>
      <c r="T14" s="15">
        <v>30491655</v>
      </c>
      <c r="U14" s="13">
        <v>19499772</v>
      </c>
      <c r="V14" s="12">
        <v>86645883</v>
      </c>
      <c r="W14" s="15">
        <v>28578877</v>
      </c>
      <c r="X14" s="12">
        <v>29800871</v>
      </c>
      <c r="Y14" s="15">
        <v>72761031</v>
      </c>
      <c r="Z14" s="13">
        <v>15946455</v>
      </c>
      <c r="AA14" s="16">
        <v>800088919</v>
      </c>
      <c r="AB14" s="17">
        <v>284104195</v>
      </c>
      <c r="AC14" s="13">
        <v>233045421</v>
      </c>
      <c r="AD14" s="12">
        <v>282939303</v>
      </c>
      <c r="AE14" s="26">
        <f t="shared" si="0"/>
        <v>0.35509077585412729</v>
      </c>
      <c r="AF14" s="26">
        <f t="shared" si="1"/>
        <v>0.29127440146437023</v>
      </c>
      <c r="AG14" s="26">
        <f t="shared" si="2"/>
        <v>0.35363482268150248</v>
      </c>
    </row>
    <row r="15" spans="1:33">
      <c r="A15" s="18">
        <v>38930</v>
      </c>
      <c r="B15" s="10">
        <v>14</v>
      </c>
      <c r="C15" s="11">
        <f t="shared" si="3"/>
        <v>820643648</v>
      </c>
      <c r="D15" s="12">
        <v>79079310</v>
      </c>
      <c r="E15" s="13">
        <v>32357570</v>
      </c>
      <c r="F15" s="12">
        <v>21209297</v>
      </c>
      <c r="G15" s="13">
        <v>28164238</v>
      </c>
      <c r="H15" s="13">
        <v>46626178</v>
      </c>
      <c r="I15" s="13">
        <v>382070</v>
      </c>
      <c r="J15" s="15">
        <v>70484979</v>
      </c>
      <c r="K15" s="13">
        <v>43352478</v>
      </c>
      <c r="L15" s="15">
        <v>29252699</v>
      </c>
      <c r="M15" s="15">
        <v>27092102</v>
      </c>
      <c r="N15" s="15">
        <v>29272210</v>
      </c>
      <c r="O15" s="12">
        <v>26601772</v>
      </c>
      <c r="P15" s="13">
        <v>23487131</v>
      </c>
      <c r="Q15" s="12">
        <v>20523850</v>
      </c>
      <c r="R15" s="13">
        <v>22389230</v>
      </c>
      <c r="S15" s="12">
        <v>25781739</v>
      </c>
      <c r="T15" s="15">
        <v>31296215</v>
      </c>
      <c r="U15" s="13">
        <v>18679326</v>
      </c>
      <c r="V15" s="12">
        <v>89232773</v>
      </c>
      <c r="W15" s="15">
        <v>31266052</v>
      </c>
      <c r="X15" s="12">
        <v>31677639</v>
      </c>
      <c r="Y15" s="15">
        <v>76338369</v>
      </c>
      <c r="Z15" s="13">
        <v>16096421</v>
      </c>
      <c r="AA15" s="16">
        <v>820643648</v>
      </c>
      <c r="AB15" s="17">
        <v>295002626</v>
      </c>
      <c r="AC15" s="13">
        <v>231534642</v>
      </c>
      <c r="AD15" s="12">
        <v>294106380</v>
      </c>
      <c r="AE15" s="26">
        <f t="shared" si="0"/>
        <v>0.35947713324651237</v>
      </c>
      <c r="AF15" s="26">
        <f t="shared" si="1"/>
        <v>0.28213785918440448</v>
      </c>
      <c r="AG15" s="26">
        <f t="shared" si="2"/>
        <v>0.35838500756908315</v>
      </c>
    </row>
    <row r="16" spans="1:33">
      <c r="A16" s="18">
        <v>38961</v>
      </c>
      <c r="B16" s="10">
        <v>15</v>
      </c>
      <c r="C16" s="11">
        <f t="shared" si="3"/>
        <v>852284703</v>
      </c>
      <c r="D16" s="12">
        <v>83498707</v>
      </c>
      <c r="E16" s="13">
        <v>33011286</v>
      </c>
      <c r="F16" s="12">
        <v>22520300</v>
      </c>
      <c r="G16" s="13">
        <v>29448981</v>
      </c>
      <c r="H16" s="13">
        <v>49439933</v>
      </c>
      <c r="I16" s="13">
        <v>463336</v>
      </c>
      <c r="J16" s="15">
        <v>72768039</v>
      </c>
      <c r="K16" s="13">
        <v>39573229</v>
      </c>
      <c r="L16" s="15">
        <v>31807485</v>
      </c>
      <c r="M16" s="15">
        <v>28626576</v>
      </c>
      <c r="N16" s="15">
        <v>32337042</v>
      </c>
      <c r="O16" s="12">
        <v>26415707</v>
      </c>
      <c r="P16" s="13">
        <v>24913455</v>
      </c>
      <c r="Q16" s="12">
        <v>20616429</v>
      </c>
      <c r="R16" s="13">
        <v>23610348</v>
      </c>
      <c r="S16" s="12">
        <v>27265799</v>
      </c>
      <c r="T16" s="15">
        <v>31945882</v>
      </c>
      <c r="U16" s="13">
        <v>19452912</v>
      </c>
      <c r="V16" s="12">
        <v>94932173</v>
      </c>
      <c r="W16" s="15">
        <v>32907374</v>
      </c>
      <c r="X16" s="12">
        <v>32843130</v>
      </c>
      <c r="Y16" s="15">
        <v>77624754</v>
      </c>
      <c r="Z16" s="13">
        <v>16261826</v>
      </c>
      <c r="AA16" s="16">
        <v>852284703</v>
      </c>
      <c r="AB16" s="17">
        <v>308017152</v>
      </c>
      <c r="AC16" s="13">
        <v>236175306</v>
      </c>
      <c r="AD16" s="12">
        <v>308092245</v>
      </c>
      <c r="AE16" s="26">
        <f t="shared" si="0"/>
        <v>0.36140171343659561</v>
      </c>
      <c r="AF16" s="26">
        <f t="shared" si="1"/>
        <v>0.27710846524485844</v>
      </c>
      <c r="AG16" s="26">
        <f t="shared" si="2"/>
        <v>0.36148982131854596</v>
      </c>
    </row>
    <row r="17" spans="1:33">
      <c r="A17" s="18">
        <v>38991</v>
      </c>
      <c r="B17" s="10">
        <v>16</v>
      </c>
      <c r="C17" s="11">
        <f t="shared" si="3"/>
        <v>858284923</v>
      </c>
      <c r="D17" s="12">
        <v>83248234</v>
      </c>
      <c r="E17" s="13">
        <v>33215044</v>
      </c>
      <c r="F17" s="12">
        <v>22351006</v>
      </c>
      <c r="G17" s="13">
        <v>30225240</v>
      </c>
      <c r="H17" s="13">
        <v>48806791</v>
      </c>
      <c r="I17" s="13">
        <v>387874</v>
      </c>
      <c r="J17" s="15">
        <v>74148571</v>
      </c>
      <c r="K17" s="13">
        <v>46873288</v>
      </c>
      <c r="L17" s="15">
        <v>32819462</v>
      </c>
      <c r="M17" s="15">
        <v>30839784</v>
      </c>
      <c r="N17" s="15">
        <v>32717895</v>
      </c>
      <c r="O17" s="12">
        <v>26996743</v>
      </c>
      <c r="P17" s="13">
        <v>24675198</v>
      </c>
      <c r="Q17" s="12">
        <v>21050750</v>
      </c>
      <c r="R17" s="13">
        <v>23925409</v>
      </c>
      <c r="S17" s="12">
        <v>26603247</v>
      </c>
      <c r="T17" s="15">
        <v>30274490</v>
      </c>
      <c r="U17" s="13">
        <v>19926827</v>
      </c>
      <c r="V17" s="12">
        <v>92163311</v>
      </c>
      <c r="W17" s="15">
        <v>31658346</v>
      </c>
      <c r="X17" s="12">
        <v>30966017</v>
      </c>
      <c r="Y17" s="15">
        <v>78766979</v>
      </c>
      <c r="Z17" s="13">
        <v>15644417</v>
      </c>
      <c r="AA17" s="16">
        <v>858284923</v>
      </c>
      <c r="AB17" s="17">
        <v>311225527</v>
      </c>
      <c r="AC17" s="13">
        <v>243680088</v>
      </c>
      <c r="AD17" s="12">
        <v>303379308</v>
      </c>
      <c r="AE17" s="26">
        <f t="shared" si="0"/>
        <v>0.36261329852114854</v>
      </c>
      <c r="AF17" s="26">
        <f t="shared" si="1"/>
        <v>0.28391514457489775</v>
      </c>
      <c r="AG17" s="26">
        <f t="shared" si="2"/>
        <v>0.35347155690395365</v>
      </c>
    </row>
    <row r="18" spans="1:33">
      <c r="A18" s="18">
        <v>39022</v>
      </c>
      <c r="B18" s="10">
        <v>17</v>
      </c>
      <c r="C18" s="11">
        <f t="shared" si="3"/>
        <v>867237661</v>
      </c>
      <c r="D18" s="12">
        <v>86318958</v>
      </c>
      <c r="E18" s="13">
        <v>32797057</v>
      </c>
      <c r="F18" s="12">
        <v>23095795</v>
      </c>
      <c r="G18" s="13">
        <v>29710983</v>
      </c>
      <c r="H18" s="13">
        <v>46689332</v>
      </c>
      <c r="I18" s="13">
        <v>493632</v>
      </c>
      <c r="J18" s="15">
        <v>77190807</v>
      </c>
      <c r="K18" s="13">
        <v>47255798</v>
      </c>
      <c r="L18" s="15">
        <v>31685236</v>
      </c>
      <c r="M18" s="15">
        <v>27826446</v>
      </c>
      <c r="N18" s="15">
        <v>31273271</v>
      </c>
      <c r="O18" s="12">
        <v>26715990</v>
      </c>
      <c r="P18" s="13">
        <v>23042851</v>
      </c>
      <c r="Q18" s="12">
        <v>20689819</v>
      </c>
      <c r="R18" s="13">
        <v>23290963</v>
      </c>
      <c r="S18" s="12">
        <v>27654636</v>
      </c>
      <c r="T18" s="15">
        <v>32087009</v>
      </c>
      <c r="U18" s="13">
        <v>19707430</v>
      </c>
      <c r="V18" s="12">
        <v>98310526</v>
      </c>
      <c r="W18" s="15">
        <v>33364133</v>
      </c>
      <c r="X18" s="12">
        <v>33061520</v>
      </c>
      <c r="Y18" s="15">
        <v>79900704</v>
      </c>
      <c r="Z18" s="13">
        <v>15074765</v>
      </c>
      <c r="AA18" s="16">
        <v>867237661</v>
      </c>
      <c r="AB18" s="17">
        <v>313327606</v>
      </c>
      <c r="AC18" s="13">
        <v>238062811</v>
      </c>
      <c r="AD18" s="12">
        <v>315847244</v>
      </c>
      <c r="AE18" s="26">
        <f t="shared" si="0"/>
        <v>0.36129381839656982</v>
      </c>
      <c r="AF18" s="26">
        <f t="shared" si="1"/>
        <v>0.27450700275803636</v>
      </c>
      <c r="AG18" s="26">
        <f t="shared" si="2"/>
        <v>0.36419917884539382</v>
      </c>
    </row>
    <row r="19" spans="1:33">
      <c r="A19" s="19">
        <v>39052</v>
      </c>
      <c r="B19" s="10">
        <v>18</v>
      </c>
      <c r="C19" s="11">
        <f t="shared" si="3"/>
        <v>884944404</v>
      </c>
      <c r="D19" s="20">
        <v>87730216</v>
      </c>
      <c r="E19" s="20">
        <v>33341838</v>
      </c>
      <c r="F19" s="20">
        <v>23710236</v>
      </c>
      <c r="G19" s="20">
        <v>30742731</v>
      </c>
      <c r="H19" s="20">
        <v>48938977</v>
      </c>
      <c r="I19" s="20">
        <v>450672</v>
      </c>
      <c r="J19" s="20">
        <v>77124432</v>
      </c>
      <c r="K19" s="20">
        <v>34912616</v>
      </c>
      <c r="L19" s="20">
        <v>38390386</v>
      </c>
      <c r="M19" s="20">
        <v>32142868</v>
      </c>
      <c r="N19" s="20">
        <v>36373121</v>
      </c>
      <c r="O19" s="20">
        <v>27622762</v>
      </c>
      <c r="P19" s="20">
        <v>24093695</v>
      </c>
      <c r="Q19" s="20">
        <v>21127587</v>
      </c>
      <c r="R19" s="20">
        <v>24302812</v>
      </c>
      <c r="S19" s="20">
        <v>28339233</v>
      </c>
      <c r="T19" s="20">
        <v>32712791</v>
      </c>
      <c r="U19" s="20">
        <v>20562513</v>
      </c>
      <c r="V19" s="20">
        <v>100993375</v>
      </c>
      <c r="W19" s="20">
        <v>34711556</v>
      </c>
      <c r="X19" s="20">
        <v>33253184</v>
      </c>
      <c r="Y19" s="20">
        <v>78959528</v>
      </c>
      <c r="Z19" s="20">
        <v>14407275</v>
      </c>
      <c r="AA19" s="21">
        <v>884944404</v>
      </c>
      <c r="AB19" s="21">
        <v>330414682</v>
      </c>
      <c r="AC19" s="20">
        <v>231753129</v>
      </c>
      <c r="AD19" s="20">
        <v>322776593</v>
      </c>
      <c r="AE19" s="26">
        <f t="shared" si="0"/>
        <v>0.37337337860605307</v>
      </c>
      <c r="AF19" s="26">
        <f t="shared" si="1"/>
        <v>0.26188439403928926</v>
      </c>
      <c r="AG19" s="26">
        <f t="shared" si="2"/>
        <v>0.36474222735465761</v>
      </c>
    </row>
    <row r="20" spans="1:33">
      <c r="A20" s="18">
        <v>39083</v>
      </c>
      <c r="B20" s="10">
        <v>19</v>
      </c>
      <c r="C20" s="11">
        <f t="shared" si="3"/>
        <v>872350597</v>
      </c>
      <c r="D20" s="12">
        <v>90330861</v>
      </c>
      <c r="E20" s="13">
        <v>33898630</v>
      </c>
      <c r="F20" s="12">
        <v>24041358</v>
      </c>
      <c r="G20" s="13">
        <v>28373351</v>
      </c>
      <c r="H20" s="13">
        <v>45916428</v>
      </c>
      <c r="I20" s="13">
        <v>380437</v>
      </c>
      <c r="J20" s="15">
        <v>74399798</v>
      </c>
      <c r="K20" s="13">
        <v>35535078</v>
      </c>
      <c r="L20" s="15">
        <v>37537323</v>
      </c>
      <c r="M20" s="15">
        <v>32856731</v>
      </c>
      <c r="N20" s="15">
        <v>36598757</v>
      </c>
      <c r="O20" s="12">
        <v>24680145</v>
      </c>
      <c r="P20" s="13">
        <v>21920227</v>
      </c>
      <c r="Q20" s="12">
        <v>21472316</v>
      </c>
      <c r="R20" s="13">
        <v>22256164</v>
      </c>
      <c r="S20" s="12">
        <v>28102744</v>
      </c>
      <c r="T20" s="15">
        <v>33210864</v>
      </c>
      <c r="U20" s="13">
        <v>19199697</v>
      </c>
      <c r="V20" s="12">
        <v>95314791</v>
      </c>
      <c r="W20" s="15">
        <v>36655001</v>
      </c>
      <c r="X20" s="12">
        <v>33821639</v>
      </c>
      <c r="Y20" s="15">
        <v>78993587</v>
      </c>
      <c r="Z20" s="13">
        <v>16854670</v>
      </c>
      <c r="AA20" s="16">
        <v>872350597</v>
      </c>
      <c r="AB20" s="17">
        <v>330252061</v>
      </c>
      <c r="AC20" s="13">
        <v>224334682</v>
      </c>
      <c r="AD20" s="12">
        <v>317763854</v>
      </c>
      <c r="AE20" s="26">
        <f t="shared" si="0"/>
        <v>0.37857721670132588</v>
      </c>
      <c r="AF20" s="26">
        <f t="shared" si="1"/>
        <v>0.25716114916580951</v>
      </c>
      <c r="AG20" s="26">
        <f t="shared" si="2"/>
        <v>0.36426163413286461</v>
      </c>
    </row>
    <row r="21" spans="1:33">
      <c r="A21" s="18">
        <v>39114</v>
      </c>
      <c r="B21" s="10">
        <v>20</v>
      </c>
      <c r="C21" s="11">
        <f t="shared" si="3"/>
        <v>910321135</v>
      </c>
      <c r="D21" s="12">
        <v>92466291</v>
      </c>
      <c r="E21" s="13">
        <v>35693567</v>
      </c>
      <c r="F21" s="12">
        <v>25090669</v>
      </c>
      <c r="G21" s="13">
        <v>32899078</v>
      </c>
      <c r="H21" s="13">
        <v>52456709</v>
      </c>
      <c r="I21" s="13">
        <v>337233</v>
      </c>
      <c r="J21" s="15">
        <v>77794078</v>
      </c>
      <c r="K21" s="13">
        <v>36428218</v>
      </c>
      <c r="L21" s="15">
        <v>43983201</v>
      </c>
      <c r="M21" s="15">
        <v>28793837</v>
      </c>
      <c r="N21" s="15">
        <v>30686807</v>
      </c>
      <c r="O21" s="12">
        <v>29483949</v>
      </c>
      <c r="P21" s="13">
        <v>25387032</v>
      </c>
      <c r="Q21" s="12">
        <v>22691595</v>
      </c>
      <c r="R21" s="13">
        <v>25989826</v>
      </c>
      <c r="S21" s="12">
        <v>29322230</v>
      </c>
      <c r="T21" s="15">
        <v>33898044</v>
      </c>
      <c r="U21" s="13">
        <v>22874790</v>
      </c>
      <c r="V21" s="12">
        <v>100846057</v>
      </c>
      <c r="W21" s="15">
        <v>37993401</v>
      </c>
      <c r="X21" s="12">
        <v>33801440</v>
      </c>
      <c r="Y21" s="15">
        <v>75146781</v>
      </c>
      <c r="Z21" s="13">
        <v>16256302</v>
      </c>
      <c r="AA21" s="16">
        <v>910321135</v>
      </c>
      <c r="AB21" s="17">
        <v>328296149</v>
      </c>
      <c r="AC21" s="13">
        <v>248322755</v>
      </c>
      <c r="AD21" s="12">
        <v>333702231</v>
      </c>
      <c r="AE21" s="26">
        <f t="shared" si="0"/>
        <v>0.36063773143089772</v>
      </c>
      <c r="AF21" s="26">
        <f t="shared" si="1"/>
        <v>0.27278588341245091</v>
      </c>
      <c r="AG21" s="26">
        <f t="shared" si="2"/>
        <v>0.36657638515665136</v>
      </c>
    </row>
    <row r="22" spans="1:33">
      <c r="A22" s="18">
        <v>39142</v>
      </c>
      <c r="B22" s="10">
        <v>21</v>
      </c>
      <c r="C22" s="11">
        <f t="shared" si="3"/>
        <v>871831615</v>
      </c>
      <c r="D22" s="12">
        <v>81625013</v>
      </c>
      <c r="E22" s="13">
        <v>31110730</v>
      </c>
      <c r="F22" s="12">
        <v>23395279</v>
      </c>
      <c r="G22" s="13">
        <v>33091055</v>
      </c>
      <c r="H22" s="13">
        <v>54198086</v>
      </c>
      <c r="I22" s="13">
        <v>328351</v>
      </c>
      <c r="J22" s="15">
        <v>70827080</v>
      </c>
      <c r="K22" s="13">
        <v>37956117</v>
      </c>
      <c r="L22" s="15">
        <v>29403877</v>
      </c>
      <c r="M22" s="15">
        <v>28307998</v>
      </c>
      <c r="N22" s="15">
        <v>29527202</v>
      </c>
      <c r="O22" s="12">
        <v>28875803</v>
      </c>
      <c r="P22" s="13">
        <v>25623848</v>
      </c>
      <c r="Q22" s="12">
        <v>20417471</v>
      </c>
      <c r="R22" s="13">
        <v>26486704</v>
      </c>
      <c r="S22" s="12">
        <v>26843053</v>
      </c>
      <c r="T22" s="15">
        <v>31698104</v>
      </c>
      <c r="U22" s="13">
        <v>23106355</v>
      </c>
      <c r="V22" s="12">
        <v>93846813</v>
      </c>
      <c r="W22" s="15">
        <v>36327881</v>
      </c>
      <c r="X22" s="12">
        <v>31823714</v>
      </c>
      <c r="Y22" s="15">
        <v>88667990</v>
      </c>
      <c r="Z22" s="13">
        <v>18343091</v>
      </c>
      <c r="AA22" s="16">
        <v>871831615</v>
      </c>
      <c r="AB22" s="17">
        <v>314760132</v>
      </c>
      <c r="AC22" s="13">
        <v>250244337</v>
      </c>
      <c r="AD22" s="12">
        <v>306827146</v>
      </c>
      <c r="AE22" s="26">
        <f t="shared" si="0"/>
        <v>0.36103317037889249</v>
      </c>
      <c r="AF22" s="26">
        <f t="shared" si="1"/>
        <v>0.2870328773291847</v>
      </c>
      <c r="AG22" s="26">
        <f t="shared" si="2"/>
        <v>0.35193395229192281</v>
      </c>
    </row>
    <row r="23" spans="1:33">
      <c r="A23" s="18">
        <v>39173</v>
      </c>
      <c r="B23" s="10">
        <v>22</v>
      </c>
      <c r="C23" s="11">
        <f t="shared" si="3"/>
        <v>919759435</v>
      </c>
      <c r="D23" s="12">
        <v>94414512</v>
      </c>
      <c r="E23" s="13">
        <v>38018014</v>
      </c>
      <c r="F23" s="12">
        <v>27665415</v>
      </c>
      <c r="G23" s="13">
        <v>25619996</v>
      </c>
      <c r="H23" s="13">
        <v>48942366</v>
      </c>
      <c r="I23" s="13">
        <v>484890</v>
      </c>
      <c r="J23" s="15">
        <v>82161239</v>
      </c>
      <c r="K23" s="13">
        <v>37476113</v>
      </c>
      <c r="L23" s="15">
        <v>29490826</v>
      </c>
      <c r="M23" s="15">
        <v>29317265</v>
      </c>
      <c r="N23" s="15">
        <v>31399341</v>
      </c>
      <c r="O23" s="12">
        <v>31181465</v>
      </c>
      <c r="P23" s="13">
        <v>21580138</v>
      </c>
      <c r="Q23" s="12">
        <v>24155792</v>
      </c>
      <c r="R23" s="13">
        <v>20163100</v>
      </c>
      <c r="S23" s="12">
        <v>31352688</v>
      </c>
      <c r="T23" s="15">
        <v>37503232</v>
      </c>
      <c r="U23" s="13">
        <v>17929586</v>
      </c>
      <c r="V23" s="12">
        <v>108441527</v>
      </c>
      <c r="W23" s="15">
        <v>42783857</v>
      </c>
      <c r="X23" s="12">
        <v>36341123</v>
      </c>
      <c r="Y23" s="15">
        <v>87116330</v>
      </c>
      <c r="Z23" s="13">
        <v>16220620</v>
      </c>
      <c r="AA23" s="16">
        <v>919759435</v>
      </c>
      <c r="AB23" s="17">
        <v>339772090</v>
      </c>
      <c r="AC23" s="13">
        <v>226434823</v>
      </c>
      <c r="AD23" s="12">
        <v>353552522</v>
      </c>
      <c r="AE23" s="26">
        <f t="shared" si="0"/>
        <v>0.36941408489057792</v>
      </c>
      <c r="AF23" s="26">
        <f t="shared" si="1"/>
        <v>0.24618918206585183</v>
      </c>
      <c r="AG23" s="26">
        <f t="shared" si="2"/>
        <v>0.38439673304357025</v>
      </c>
    </row>
    <row r="24" spans="1:33">
      <c r="A24" s="18">
        <v>39203</v>
      </c>
      <c r="B24" s="10">
        <v>23</v>
      </c>
      <c r="C24" s="11">
        <f t="shared" si="3"/>
        <v>922936530</v>
      </c>
      <c r="D24" s="12">
        <v>92618691</v>
      </c>
      <c r="E24" s="13">
        <v>35024538</v>
      </c>
      <c r="F24" s="12">
        <v>28569619</v>
      </c>
      <c r="G24" s="13">
        <v>25194760</v>
      </c>
      <c r="H24" s="13">
        <v>47017704</v>
      </c>
      <c r="I24" s="13">
        <v>449019</v>
      </c>
      <c r="J24" s="15">
        <v>83229265</v>
      </c>
      <c r="K24" s="13">
        <v>39568793</v>
      </c>
      <c r="L24" s="15">
        <v>30088118</v>
      </c>
      <c r="M24" s="15">
        <v>29295655</v>
      </c>
      <c r="N24" s="15">
        <v>31118586</v>
      </c>
      <c r="O24" s="12">
        <v>26059268</v>
      </c>
      <c r="P24" s="13">
        <v>22461454</v>
      </c>
      <c r="Q24" s="12">
        <v>24732711</v>
      </c>
      <c r="R24" s="13">
        <v>20079170</v>
      </c>
      <c r="S24" s="12">
        <v>31847592</v>
      </c>
      <c r="T24" s="15">
        <v>38098168</v>
      </c>
      <c r="U24" s="13">
        <v>17946279</v>
      </c>
      <c r="V24" s="12">
        <v>106362464</v>
      </c>
      <c r="W24" s="15">
        <v>42843818</v>
      </c>
      <c r="X24" s="12">
        <v>37666949</v>
      </c>
      <c r="Y24" s="15">
        <v>97822210</v>
      </c>
      <c r="Z24" s="13">
        <v>14841699</v>
      </c>
      <c r="AA24" s="16">
        <v>922936530</v>
      </c>
      <c r="AB24" s="17">
        <v>352495820</v>
      </c>
      <c r="AC24" s="13">
        <v>222583416</v>
      </c>
      <c r="AD24" s="12">
        <v>347857294</v>
      </c>
      <c r="AE24" s="26">
        <f t="shared" si="0"/>
        <v>0.38192856013619919</v>
      </c>
      <c r="AF24" s="26">
        <f t="shared" si="1"/>
        <v>0.24116871395262685</v>
      </c>
      <c r="AG24" s="26">
        <f t="shared" si="2"/>
        <v>0.37690272591117396</v>
      </c>
    </row>
    <row r="25" spans="1:33">
      <c r="A25" s="18">
        <v>39234</v>
      </c>
      <c r="B25" s="10">
        <v>24</v>
      </c>
      <c r="C25" s="11">
        <f t="shared" si="3"/>
        <v>1003151929</v>
      </c>
      <c r="D25" s="12">
        <v>103892106</v>
      </c>
      <c r="E25" s="13">
        <v>43362177</v>
      </c>
      <c r="F25" s="12">
        <v>31654001</v>
      </c>
      <c r="G25" s="13">
        <v>26171910</v>
      </c>
      <c r="H25" s="13">
        <v>48688164</v>
      </c>
      <c r="I25" s="13">
        <v>466502</v>
      </c>
      <c r="J25" s="15">
        <v>88267035</v>
      </c>
      <c r="K25" s="13">
        <v>41464244</v>
      </c>
      <c r="L25" s="15">
        <v>30181477</v>
      </c>
      <c r="M25" s="15">
        <v>35839604</v>
      </c>
      <c r="N25" s="15">
        <v>40103421</v>
      </c>
      <c r="O25" s="12">
        <v>25841551</v>
      </c>
      <c r="P25" s="13">
        <v>23944334</v>
      </c>
      <c r="Q25" s="12">
        <v>26514167</v>
      </c>
      <c r="R25" s="13">
        <v>20959902</v>
      </c>
      <c r="S25" s="12">
        <v>34346834</v>
      </c>
      <c r="T25" s="15">
        <v>40305334</v>
      </c>
      <c r="U25" s="13">
        <v>18535474</v>
      </c>
      <c r="V25" s="12">
        <v>118436380</v>
      </c>
      <c r="W25" s="15">
        <v>47337640</v>
      </c>
      <c r="X25" s="12">
        <v>41013147</v>
      </c>
      <c r="Y25" s="15">
        <v>100189050</v>
      </c>
      <c r="Z25" s="13">
        <v>15637475</v>
      </c>
      <c r="AA25" s="16">
        <v>1003151929</v>
      </c>
      <c r="AB25" s="17">
        <v>382223561</v>
      </c>
      <c r="AC25" s="13">
        <v>239230182</v>
      </c>
      <c r="AD25" s="12">
        <v>381698186</v>
      </c>
      <c r="AE25" s="26">
        <f t="shared" si="0"/>
        <v>0.38102260480226818</v>
      </c>
      <c r="AF25" s="26">
        <f t="shared" si="1"/>
        <v>0.23847851465378581</v>
      </c>
      <c r="AG25" s="26">
        <f t="shared" si="2"/>
        <v>0.38049888054394598</v>
      </c>
    </row>
    <row r="26" spans="1:33">
      <c r="A26" s="18">
        <v>39264</v>
      </c>
      <c r="B26" s="10">
        <v>25</v>
      </c>
      <c r="C26" s="11">
        <f t="shared" si="3"/>
        <v>1056803627</v>
      </c>
      <c r="D26" s="12">
        <v>102782002</v>
      </c>
      <c r="E26" s="13">
        <v>41449002</v>
      </c>
      <c r="F26" s="12">
        <v>31957752</v>
      </c>
      <c r="G26" s="13">
        <v>35020932</v>
      </c>
      <c r="H26" s="13">
        <v>56778854</v>
      </c>
      <c r="I26" s="13">
        <v>320961</v>
      </c>
      <c r="J26" s="15">
        <v>90156637</v>
      </c>
      <c r="K26" s="13">
        <v>50683196</v>
      </c>
      <c r="L26" s="15">
        <v>44237959</v>
      </c>
      <c r="M26" s="15">
        <v>35887599</v>
      </c>
      <c r="N26" s="15">
        <v>38589706</v>
      </c>
      <c r="O26" s="12">
        <v>31314582</v>
      </c>
      <c r="P26" s="13">
        <v>27991404</v>
      </c>
      <c r="Q26" s="12">
        <v>26638923</v>
      </c>
      <c r="R26" s="13">
        <v>27895191</v>
      </c>
      <c r="S26" s="12">
        <v>34116676</v>
      </c>
      <c r="T26" s="15">
        <v>40029711</v>
      </c>
      <c r="U26" s="13">
        <v>25726086</v>
      </c>
      <c r="V26" s="12">
        <v>114376052</v>
      </c>
      <c r="W26" s="15">
        <v>47085410</v>
      </c>
      <c r="X26" s="12">
        <v>39249483</v>
      </c>
      <c r="Y26" s="15">
        <v>97497128</v>
      </c>
      <c r="Z26" s="13">
        <v>17018381</v>
      </c>
      <c r="AA26" s="16">
        <v>1056803627</v>
      </c>
      <c r="AB26" s="17">
        <v>393484150</v>
      </c>
      <c r="AC26" s="13">
        <v>282884007</v>
      </c>
      <c r="AD26" s="12">
        <v>380435470</v>
      </c>
      <c r="AE26" s="26">
        <f t="shared" si="0"/>
        <v>0.37233421607096734</v>
      </c>
      <c r="AF26" s="26">
        <f t="shared" si="1"/>
        <v>0.26767887597342621</v>
      </c>
      <c r="AG26" s="26">
        <f t="shared" si="2"/>
        <v>0.35998690795560639</v>
      </c>
    </row>
    <row r="27" spans="1:33">
      <c r="A27" s="18">
        <v>39295</v>
      </c>
      <c r="B27" s="10">
        <v>26</v>
      </c>
      <c r="C27" s="11">
        <f t="shared" si="3"/>
        <v>1079093423</v>
      </c>
      <c r="D27" s="12">
        <v>105837686</v>
      </c>
      <c r="E27" s="13">
        <v>41637040</v>
      </c>
      <c r="F27" s="12">
        <v>32241679</v>
      </c>
      <c r="G27" s="13">
        <v>34438688</v>
      </c>
      <c r="H27" s="13">
        <v>58897897</v>
      </c>
      <c r="I27" s="13">
        <v>335269</v>
      </c>
      <c r="J27" s="15">
        <v>89405881</v>
      </c>
      <c r="K27" s="13">
        <v>51898140</v>
      </c>
      <c r="L27" s="15">
        <v>44826720</v>
      </c>
      <c r="M27" s="15">
        <v>36099156</v>
      </c>
      <c r="N27" s="15">
        <v>39977731</v>
      </c>
      <c r="O27" s="12">
        <v>32023192</v>
      </c>
      <c r="P27" s="13">
        <v>28699080</v>
      </c>
      <c r="Q27" s="12">
        <v>27296358</v>
      </c>
      <c r="R27" s="13">
        <v>28349962</v>
      </c>
      <c r="S27" s="12">
        <v>34256851</v>
      </c>
      <c r="T27" s="15">
        <v>41037752</v>
      </c>
      <c r="U27" s="13">
        <v>26251634</v>
      </c>
      <c r="V27" s="12">
        <v>114851586</v>
      </c>
      <c r="W27" s="15">
        <v>49567847</v>
      </c>
      <c r="X27" s="12">
        <v>41081924</v>
      </c>
      <c r="Y27" s="15">
        <v>102104718</v>
      </c>
      <c r="Z27" s="13">
        <v>17976632</v>
      </c>
      <c r="AA27" s="16">
        <v>1079093423</v>
      </c>
      <c r="AB27" s="17">
        <v>403019805</v>
      </c>
      <c r="AC27" s="13">
        <v>288484342</v>
      </c>
      <c r="AD27" s="12">
        <v>387589276</v>
      </c>
      <c r="AE27" s="26">
        <f t="shared" si="0"/>
        <v>0.3734799938633302</v>
      </c>
      <c r="AF27" s="26">
        <f t="shared" si="1"/>
        <v>0.2673395424818561</v>
      </c>
      <c r="AG27" s="26">
        <f t="shared" si="2"/>
        <v>0.35918046365481371</v>
      </c>
    </row>
    <row r="28" spans="1:33">
      <c r="A28" s="18">
        <v>39333</v>
      </c>
      <c r="B28" s="10">
        <v>27</v>
      </c>
      <c r="C28" s="11">
        <f t="shared" si="3"/>
        <v>1124709385</v>
      </c>
      <c r="D28" s="12">
        <v>105366083</v>
      </c>
      <c r="E28" s="13">
        <v>42928344</v>
      </c>
      <c r="F28" s="12">
        <v>34965340</v>
      </c>
      <c r="G28" s="13">
        <v>37908090</v>
      </c>
      <c r="H28" s="13">
        <v>60470631</v>
      </c>
      <c r="I28" s="13">
        <v>294566</v>
      </c>
      <c r="J28" s="15">
        <v>93152619</v>
      </c>
      <c r="K28" s="13">
        <v>54818851</v>
      </c>
      <c r="L28" s="15">
        <v>47612223</v>
      </c>
      <c r="M28" s="15">
        <v>37832344</v>
      </c>
      <c r="N28" s="15">
        <v>41151116</v>
      </c>
      <c r="O28" s="12">
        <v>33012792</v>
      </c>
      <c r="P28" s="13">
        <v>30296254</v>
      </c>
      <c r="Q28" s="12">
        <v>27986030</v>
      </c>
      <c r="R28" s="13">
        <v>29771517</v>
      </c>
      <c r="S28" s="12">
        <v>35642993</v>
      </c>
      <c r="T28" s="15">
        <v>42965683</v>
      </c>
      <c r="U28" s="13">
        <v>28013985</v>
      </c>
      <c r="V28" s="12">
        <v>124130357</v>
      </c>
      <c r="W28" s="15">
        <v>52465829</v>
      </c>
      <c r="X28" s="12">
        <v>43606076</v>
      </c>
      <c r="Y28" s="15">
        <v>102645954</v>
      </c>
      <c r="Z28" s="13">
        <v>17671708</v>
      </c>
      <c r="AA28" s="16">
        <v>1124709385</v>
      </c>
      <c r="AB28" s="17">
        <v>417825768</v>
      </c>
      <c r="AC28" s="13">
        <v>302173946</v>
      </c>
      <c r="AD28" s="12">
        <v>404709671</v>
      </c>
      <c r="AE28" s="26">
        <f t="shared" si="0"/>
        <v>0.37149664933221838</v>
      </c>
      <c r="AF28" s="26">
        <f t="shared" si="1"/>
        <v>0.26866846674352235</v>
      </c>
      <c r="AG28" s="26">
        <f t="shared" si="2"/>
        <v>0.35983488392425922</v>
      </c>
    </row>
    <row r="29" spans="1:33">
      <c r="A29" s="18">
        <v>39362</v>
      </c>
      <c r="B29" s="10">
        <v>28</v>
      </c>
      <c r="C29" s="11">
        <f t="shared" si="3"/>
        <v>1125664910</v>
      </c>
      <c r="D29" s="12">
        <v>107414641</v>
      </c>
      <c r="E29" s="13">
        <v>43615627</v>
      </c>
      <c r="F29" s="12">
        <v>35459882</v>
      </c>
      <c r="G29" s="13">
        <v>36573935</v>
      </c>
      <c r="H29" s="13">
        <v>58377600</v>
      </c>
      <c r="I29" s="13">
        <v>312595</v>
      </c>
      <c r="J29" s="15">
        <v>94354635</v>
      </c>
      <c r="K29" s="13">
        <v>53392099</v>
      </c>
      <c r="L29" s="15">
        <v>48872351</v>
      </c>
      <c r="M29" s="15">
        <v>38490980</v>
      </c>
      <c r="N29" s="15">
        <v>41171825</v>
      </c>
      <c r="O29" s="12">
        <v>32683825</v>
      </c>
      <c r="P29" s="13">
        <v>30333216</v>
      </c>
      <c r="Q29" s="12">
        <v>27775631</v>
      </c>
      <c r="R29" s="13">
        <v>29221732</v>
      </c>
      <c r="S29" s="12">
        <v>35556918</v>
      </c>
      <c r="T29" s="15">
        <v>42561452</v>
      </c>
      <c r="U29" s="13">
        <v>28004454</v>
      </c>
      <c r="V29" s="12">
        <v>119664190</v>
      </c>
      <c r="W29" s="15">
        <v>52498562</v>
      </c>
      <c r="X29" s="12">
        <v>42683276</v>
      </c>
      <c r="Y29" s="15">
        <v>108341115</v>
      </c>
      <c r="Z29" s="13">
        <v>18304369</v>
      </c>
      <c r="AA29" s="16">
        <v>1125664910</v>
      </c>
      <c r="AB29" s="17">
        <v>426290920</v>
      </c>
      <c r="AC29" s="13">
        <v>298135627</v>
      </c>
      <c r="AD29" s="12">
        <v>401238363</v>
      </c>
      <c r="AE29" s="26">
        <f t="shared" si="0"/>
        <v>0.37870143789060634</v>
      </c>
      <c r="AF29" s="26">
        <f t="shared" si="1"/>
        <v>0.26485290991259558</v>
      </c>
      <c r="AG29" s="26">
        <f t="shared" si="2"/>
        <v>0.35644565219679808</v>
      </c>
    </row>
    <row r="30" spans="1:33">
      <c r="A30" s="18">
        <v>39393</v>
      </c>
      <c r="B30" s="10">
        <v>29</v>
      </c>
      <c r="C30" s="11">
        <f t="shared" si="3"/>
        <v>1167668811</v>
      </c>
      <c r="D30" s="12">
        <v>110805144</v>
      </c>
      <c r="E30" s="13">
        <v>45331974</v>
      </c>
      <c r="F30" s="12">
        <v>37102133</v>
      </c>
      <c r="G30" s="13">
        <v>37897371</v>
      </c>
      <c r="H30" s="13">
        <v>61691288</v>
      </c>
      <c r="I30" s="13">
        <v>287165</v>
      </c>
      <c r="J30" s="15">
        <v>97669869</v>
      </c>
      <c r="K30" s="13">
        <v>57021840</v>
      </c>
      <c r="L30" s="15">
        <v>51522129</v>
      </c>
      <c r="M30" s="15">
        <v>40951281</v>
      </c>
      <c r="N30" s="15">
        <v>42590228</v>
      </c>
      <c r="O30" s="12">
        <v>34197019</v>
      </c>
      <c r="P30" s="13">
        <v>32258145</v>
      </c>
      <c r="Q30" s="12">
        <v>29912158</v>
      </c>
      <c r="R30" s="13">
        <v>30416647</v>
      </c>
      <c r="S30" s="12">
        <v>37401796</v>
      </c>
      <c r="T30" s="15">
        <v>44229709</v>
      </c>
      <c r="U30" s="13">
        <v>29859497</v>
      </c>
      <c r="V30" s="12">
        <v>125220235</v>
      </c>
      <c r="W30" s="15">
        <v>55397677</v>
      </c>
      <c r="X30" s="12">
        <v>44032259</v>
      </c>
      <c r="Y30" s="15">
        <v>104347473</v>
      </c>
      <c r="Z30" s="13">
        <v>17525774</v>
      </c>
      <c r="AA30" s="16">
        <v>1167668811</v>
      </c>
      <c r="AB30" s="17">
        <v>436708366</v>
      </c>
      <c r="AC30" s="13">
        <v>312289701</v>
      </c>
      <c r="AD30" s="12">
        <v>418670744</v>
      </c>
      <c r="AE30" s="26">
        <f t="shared" si="0"/>
        <v>0.37400019756115588</v>
      </c>
      <c r="AF30" s="26">
        <f t="shared" si="1"/>
        <v>0.26744715458534246</v>
      </c>
      <c r="AG30" s="26">
        <f t="shared" si="2"/>
        <v>0.35855264785350166</v>
      </c>
    </row>
    <row r="31" spans="1:33">
      <c r="A31" s="19">
        <v>39423</v>
      </c>
      <c r="B31" s="10">
        <v>30</v>
      </c>
      <c r="C31" s="11">
        <f t="shared" si="3"/>
        <v>1086449747</v>
      </c>
      <c r="D31" s="20">
        <v>102418052</v>
      </c>
      <c r="E31" s="20">
        <v>42057756</v>
      </c>
      <c r="F31" s="20">
        <v>34786162</v>
      </c>
      <c r="G31" s="20">
        <v>34199679</v>
      </c>
      <c r="H31" s="20">
        <v>57647430</v>
      </c>
      <c r="I31" s="20">
        <v>245385</v>
      </c>
      <c r="J31" s="20">
        <v>90323152</v>
      </c>
      <c r="K31" s="20">
        <v>53476938</v>
      </c>
      <c r="L31" s="20">
        <v>50277935</v>
      </c>
      <c r="M31" s="20">
        <v>38204362</v>
      </c>
      <c r="N31" s="20">
        <v>38969577</v>
      </c>
      <c r="O31" s="20">
        <v>32110134</v>
      </c>
      <c r="P31" s="20">
        <v>29957166</v>
      </c>
      <c r="Q31" s="20">
        <v>27562334</v>
      </c>
      <c r="R31" s="20">
        <v>28183840</v>
      </c>
      <c r="S31" s="20">
        <v>34554735</v>
      </c>
      <c r="T31" s="20">
        <v>40612777</v>
      </c>
      <c r="U31" s="20">
        <v>28065229</v>
      </c>
      <c r="V31" s="20">
        <v>112754365</v>
      </c>
      <c r="W31" s="20">
        <v>50425728</v>
      </c>
      <c r="X31" s="20">
        <v>39829437</v>
      </c>
      <c r="Y31" s="20">
        <v>103001861</v>
      </c>
      <c r="Z31" s="20">
        <v>16785713</v>
      </c>
      <c r="AA31" s="21">
        <v>1086449747</v>
      </c>
      <c r="AB31" s="21">
        <v>411815392</v>
      </c>
      <c r="AC31" s="20">
        <v>290619136</v>
      </c>
      <c r="AD31" s="20">
        <v>384015219</v>
      </c>
      <c r="AE31" s="26">
        <f t="shared" si="0"/>
        <v>0.37904688471523018</v>
      </c>
      <c r="AF31" s="26">
        <f t="shared" si="1"/>
        <v>0.26749431973497434</v>
      </c>
      <c r="AG31" s="26">
        <f t="shared" si="2"/>
        <v>0.35345879554979548</v>
      </c>
    </row>
    <row r="32" spans="1:33">
      <c r="A32" s="18">
        <v>39455</v>
      </c>
      <c r="B32" s="10">
        <v>31</v>
      </c>
      <c r="C32" s="11">
        <f t="shared" si="3"/>
        <v>1181067995</v>
      </c>
      <c r="D32" s="12">
        <v>109886135</v>
      </c>
      <c r="E32" s="13">
        <v>44381506</v>
      </c>
      <c r="F32" s="12">
        <v>37462019</v>
      </c>
      <c r="G32" s="13">
        <v>38122190</v>
      </c>
      <c r="H32" s="13">
        <v>62919113</v>
      </c>
      <c r="I32" s="13">
        <v>285040</v>
      </c>
      <c r="J32" s="15">
        <v>92951893</v>
      </c>
      <c r="K32" s="13">
        <v>56349446</v>
      </c>
      <c r="L32" s="15">
        <v>52817475</v>
      </c>
      <c r="M32" s="15">
        <v>41822755</v>
      </c>
      <c r="N32" s="15">
        <v>46322915</v>
      </c>
      <c r="O32" s="12">
        <v>33457621</v>
      </c>
      <c r="P32" s="13">
        <v>31590053</v>
      </c>
      <c r="Q32" s="12">
        <v>29873267</v>
      </c>
      <c r="R32" s="13">
        <v>30193285</v>
      </c>
      <c r="S32" s="12">
        <v>37205179</v>
      </c>
      <c r="T32" s="15">
        <v>45998899</v>
      </c>
      <c r="U32" s="13">
        <v>31327653</v>
      </c>
      <c r="V32" s="12">
        <v>120625172</v>
      </c>
      <c r="W32" s="15">
        <v>61782221</v>
      </c>
      <c r="X32" s="12">
        <v>49130918</v>
      </c>
      <c r="Y32" s="15">
        <v>109915114</v>
      </c>
      <c r="Z32" s="13">
        <v>16648126</v>
      </c>
      <c r="AA32" s="16">
        <v>1181067995</v>
      </c>
      <c r="AB32" s="17">
        <v>451611272</v>
      </c>
      <c r="AC32" s="13">
        <v>311816412</v>
      </c>
      <c r="AD32" s="12">
        <v>417640311</v>
      </c>
      <c r="AE32" s="26">
        <f t="shared" si="0"/>
        <v>0.38237533648517841</v>
      </c>
      <c r="AF32" s="26">
        <f t="shared" si="1"/>
        <v>0.26401224427387859</v>
      </c>
      <c r="AG32" s="26">
        <f t="shared" si="2"/>
        <v>0.353612419240943</v>
      </c>
    </row>
    <row r="33" spans="1:33">
      <c r="A33" s="18">
        <v>39486</v>
      </c>
      <c r="B33" s="10">
        <v>32</v>
      </c>
      <c r="C33" s="11">
        <f t="shared" si="3"/>
        <v>1276957296</v>
      </c>
      <c r="D33" s="12">
        <v>117662041</v>
      </c>
      <c r="E33" s="13">
        <v>48450287</v>
      </c>
      <c r="F33" s="12">
        <v>41700400</v>
      </c>
      <c r="G33" s="13">
        <v>41291225</v>
      </c>
      <c r="H33" s="13">
        <v>68477689</v>
      </c>
      <c r="I33" s="13">
        <v>275627</v>
      </c>
      <c r="J33" s="15">
        <v>103274715</v>
      </c>
      <c r="K33" s="13">
        <v>62366702</v>
      </c>
      <c r="L33" s="15">
        <v>56815026</v>
      </c>
      <c r="M33" s="15">
        <v>46085562</v>
      </c>
      <c r="N33" s="15">
        <v>49071982</v>
      </c>
      <c r="O33" s="12">
        <v>36341190</v>
      </c>
      <c r="P33" s="13">
        <v>34479494</v>
      </c>
      <c r="Q33" s="12">
        <v>32304809</v>
      </c>
      <c r="R33" s="13">
        <v>33626494</v>
      </c>
      <c r="S33" s="12">
        <v>41540767</v>
      </c>
      <c r="T33" s="15">
        <v>49094577</v>
      </c>
      <c r="U33" s="13">
        <v>34786305</v>
      </c>
      <c r="V33" s="12">
        <v>133623729</v>
      </c>
      <c r="W33" s="15">
        <v>66767370</v>
      </c>
      <c r="X33" s="12">
        <v>50667280</v>
      </c>
      <c r="Y33" s="15">
        <v>111699993</v>
      </c>
      <c r="Z33" s="13">
        <v>16554032</v>
      </c>
      <c r="AA33" s="16">
        <v>1276957296</v>
      </c>
      <c r="AB33" s="17">
        <v>482809225</v>
      </c>
      <c r="AC33" s="13">
        <v>340307855</v>
      </c>
      <c r="AD33" s="12">
        <v>453840216</v>
      </c>
      <c r="AE33" s="26">
        <f t="shared" si="0"/>
        <v>0.37809347776340985</v>
      </c>
      <c r="AF33" s="26">
        <f t="shared" si="1"/>
        <v>0.26649900984629327</v>
      </c>
      <c r="AG33" s="26">
        <f t="shared" si="2"/>
        <v>0.35540751239029689</v>
      </c>
    </row>
    <row r="34" spans="1:33">
      <c r="A34" s="18">
        <v>39515</v>
      </c>
      <c r="B34" s="10">
        <v>33</v>
      </c>
      <c r="C34" s="11">
        <f t="shared" si="3"/>
        <v>1242494054</v>
      </c>
      <c r="D34" s="12">
        <v>113815424</v>
      </c>
      <c r="E34" s="13">
        <v>46558751</v>
      </c>
      <c r="F34" s="12">
        <v>40318566</v>
      </c>
      <c r="G34" s="13">
        <v>39921121</v>
      </c>
      <c r="H34" s="13">
        <v>64847019</v>
      </c>
      <c r="I34" s="13">
        <v>273242</v>
      </c>
      <c r="J34" s="15">
        <v>99391278</v>
      </c>
      <c r="K34" s="13">
        <v>59988150</v>
      </c>
      <c r="L34" s="15">
        <v>55556799</v>
      </c>
      <c r="M34" s="15">
        <v>43919298</v>
      </c>
      <c r="N34" s="15">
        <v>46950491</v>
      </c>
      <c r="O34" s="12">
        <v>35774164</v>
      </c>
      <c r="P34" s="13">
        <v>33060915</v>
      </c>
      <c r="Q34" s="12">
        <v>31208285</v>
      </c>
      <c r="R34" s="13">
        <v>32425510</v>
      </c>
      <c r="S34" s="12">
        <v>40037780</v>
      </c>
      <c r="T34" s="15">
        <v>47761783</v>
      </c>
      <c r="U34" s="13">
        <v>34030095</v>
      </c>
      <c r="V34" s="12">
        <v>127065603</v>
      </c>
      <c r="W34" s="15">
        <v>63823715</v>
      </c>
      <c r="X34" s="12">
        <v>48586739</v>
      </c>
      <c r="Y34" s="15">
        <v>119689981</v>
      </c>
      <c r="Z34" s="13">
        <v>17489345</v>
      </c>
      <c r="AA34" s="16">
        <v>1242494054</v>
      </c>
      <c r="AB34" s="17">
        <v>477093345</v>
      </c>
      <c r="AC34" s="13">
        <v>328594148</v>
      </c>
      <c r="AD34" s="12">
        <v>436806561</v>
      </c>
      <c r="AE34" s="26">
        <f t="shared" ref="AE34:AE67" si="4">AB34/$AA34</f>
        <v>0.3839803848268557</v>
      </c>
      <c r="AF34" s="26">
        <f t="shared" ref="AF34:AF67" si="5">AC34/$AA34</f>
        <v>0.26446335653852554</v>
      </c>
      <c r="AG34" s="26">
        <f t="shared" ref="AG34:AG67" si="6">AD34/$AA34</f>
        <v>0.35155625863461881</v>
      </c>
    </row>
    <row r="35" spans="1:33">
      <c r="A35" s="18">
        <v>39546</v>
      </c>
      <c r="B35" s="10">
        <v>34</v>
      </c>
      <c r="C35" s="11">
        <f t="shared" si="3"/>
        <v>1404351887</v>
      </c>
      <c r="D35" s="12">
        <v>129682600</v>
      </c>
      <c r="E35" s="13">
        <v>52881798</v>
      </c>
      <c r="F35" s="12">
        <v>44399649</v>
      </c>
      <c r="G35" s="13">
        <v>42936416</v>
      </c>
      <c r="H35" s="13">
        <v>76039881</v>
      </c>
      <c r="I35" s="13">
        <v>275451</v>
      </c>
      <c r="J35" s="15">
        <v>109294458</v>
      </c>
      <c r="K35" s="13">
        <v>64116257</v>
      </c>
      <c r="L35" s="15">
        <v>65857554</v>
      </c>
      <c r="M35" s="15">
        <v>50409226</v>
      </c>
      <c r="N35" s="15">
        <v>85042924</v>
      </c>
      <c r="O35" s="12">
        <v>39783144</v>
      </c>
      <c r="P35" s="13">
        <v>36666870</v>
      </c>
      <c r="Q35" s="12">
        <v>35571162</v>
      </c>
      <c r="R35" s="13">
        <v>35095506</v>
      </c>
      <c r="S35" s="12">
        <v>43492217</v>
      </c>
      <c r="T35" s="15">
        <v>50846265</v>
      </c>
      <c r="U35" s="13">
        <v>36174237</v>
      </c>
      <c r="V35" s="12">
        <v>136337174</v>
      </c>
      <c r="W35" s="15">
        <v>71632025</v>
      </c>
      <c r="X35" s="12">
        <v>54537937</v>
      </c>
      <c r="Y35" s="15">
        <v>125501518</v>
      </c>
      <c r="Z35" s="13">
        <v>17777618</v>
      </c>
      <c r="AA35" s="16">
        <v>1404351887</v>
      </c>
      <c r="AB35" s="17">
        <v>558583970</v>
      </c>
      <c r="AC35" s="13">
        <v>361964034</v>
      </c>
      <c r="AD35" s="12">
        <v>483803883</v>
      </c>
      <c r="AE35" s="26">
        <f t="shared" si="4"/>
        <v>0.39775214116260876</v>
      </c>
      <c r="AF35" s="26">
        <f t="shared" si="5"/>
        <v>0.25774454205579034</v>
      </c>
      <c r="AG35" s="26">
        <f t="shared" si="6"/>
        <v>0.3445033167816009</v>
      </c>
    </row>
    <row r="36" spans="1:33">
      <c r="A36" s="18">
        <v>39576</v>
      </c>
      <c r="B36" s="10">
        <v>35</v>
      </c>
      <c r="C36" s="11">
        <f t="shared" si="3"/>
        <v>1593039711</v>
      </c>
      <c r="D36" s="12">
        <v>135163872</v>
      </c>
      <c r="E36" s="13">
        <v>65998073</v>
      </c>
      <c r="F36" s="12">
        <v>45670552</v>
      </c>
      <c r="G36" s="13">
        <v>44052967</v>
      </c>
      <c r="H36" s="13">
        <v>78537337</v>
      </c>
      <c r="I36" s="13">
        <v>261361</v>
      </c>
      <c r="J36" s="15">
        <v>112029483</v>
      </c>
      <c r="K36" s="13">
        <v>96850860</v>
      </c>
      <c r="L36" s="15">
        <v>65386519</v>
      </c>
      <c r="M36" s="15">
        <v>57667972</v>
      </c>
      <c r="N36" s="15">
        <v>120903423</v>
      </c>
      <c r="O36" s="12">
        <v>42598383</v>
      </c>
      <c r="P36" s="13">
        <v>37511274</v>
      </c>
      <c r="Q36" s="12">
        <v>55586383</v>
      </c>
      <c r="R36" s="13">
        <v>62584581</v>
      </c>
      <c r="S36" s="12">
        <v>45526800</v>
      </c>
      <c r="T36" s="15">
        <v>51550993</v>
      </c>
      <c r="U36" s="13">
        <v>53534673</v>
      </c>
      <c r="V36" s="12">
        <v>151621981</v>
      </c>
      <c r="W36" s="15">
        <v>70987628</v>
      </c>
      <c r="X36" s="12">
        <v>56166298</v>
      </c>
      <c r="Y36" s="15">
        <v>125145609</v>
      </c>
      <c r="Z36" s="13">
        <v>17702689</v>
      </c>
      <c r="AA36" s="16">
        <v>1593039711</v>
      </c>
      <c r="AB36" s="17">
        <v>603671627</v>
      </c>
      <c r="AC36" s="13">
        <v>457033815</v>
      </c>
      <c r="AD36" s="12">
        <v>532334269</v>
      </c>
      <c r="AE36" s="26">
        <f t="shared" si="4"/>
        <v>0.37894323840870031</v>
      </c>
      <c r="AF36" s="26">
        <f t="shared" si="5"/>
        <v>0.28689417586025262</v>
      </c>
      <c r="AG36" s="26">
        <f t="shared" si="6"/>
        <v>0.33416258573104712</v>
      </c>
    </row>
    <row r="37" spans="1:33">
      <c r="A37" s="18">
        <v>39607</v>
      </c>
      <c r="B37" s="10">
        <v>36</v>
      </c>
      <c r="C37" s="11">
        <f t="shared" si="3"/>
        <v>1709589343</v>
      </c>
      <c r="D37" s="12">
        <v>143502214</v>
      </c>
      <c r="E37" s="13">
        <v>73588506</v>
      </c>
      <c r="F37" s="12">
        <v>48420798</v>
      </c>
      <c r="G37" s="13">
        <v>46308226</v>
      </c>
      <c r="H37" s="13">
        <v>84406714</v>
      </c>
      <c r="I37" s="13">
        <v>242794</v>
      </c>
      <c r="J37" s="15">
        <v>117487430</v>
      </c>
      <c r="K37" s="13">
        <v>109676313</v>
      </c>
      <c r="L37" s="15">
        <v>71708978</v>
      </c>
      <c r="M37" s="15">
        <v>62376684</v>
      </c>
      <c r="N37" s="15">
        <v>126255361</v>
      </c>
      <c r="O37" s="12">
        <v>42979966</v>
      </c>
      <c r="P37" s="13">
        <v>39175581</v>
      </c>
      <c r="Q37" s="12">
        <v>64717075</v>
      </c>
      <c r="R37" s="13">
        <v>70234636</v>
      </c>
      <c r="S37" s="12">
        <v>46972300</v>
      </c>
      <c r="T37" s="15">
        <v>55273762</v>
      </c>
      <c r="U37" s="13">
        <v>58796963</v>
      </c>
      <c r="V37" s="12">
        <v>159935379</v>
      </c>
      <c r="W37" s="15">
        <v>76349416</v>
      </c>
      <c r="X37" s="12">
        <v>59245563</v>
      </c>
      <c r="Y37" s="15">
        <v>133246080</v>
      </c>
      <c r="Z37" s="13">
        <v>18688604</v>
      </c>
      <c r="AA37" s="16">
        <v>1709589343</v>
      </c>
      <c r="AB37" s="17">
        <v>642697711</v>
      </c>
      <c r="AC37" s="13">
        <v>501118337</v>
      </c>
      <c r="AD37" s="12">
        <v>565773295</v>
      </c>
      <c r="AE37" s="26">
        <f t="shared" si="4"/>
        <v>0.37593689597537461</v>
      </c>
      <c r="AF37" s="26">
        <f t="shared" si="5"/>
        <v>0.29312205241092215</v>
      </c>
      <c r="AG37" s="26">
        <f t="shared" si="6"/>
        <v>0.33094105161370324</v>
      </c>
    </row>
    <row r="38" spans="1:33">
      <c r="A38" s="18">
        <v>39637</v>
      </c>
      <c r="B38" s="10">
        <v>37</v>
      </c>
      <c r="C38" s="11">
        <f t="shared" si="3"/>
        <v>1697527844</v>
      </c>
      <c r="D38" s="12">
        <v>145487958</v>
      </c>
      <c r="E38" s="13">
        <v>73083317</v>
      </c>
      <c r="F38" s="12">
        <v>49225194</v>
      </c>
      <c r="G38" s="13">
        <v>46218391</v>
      </c>
      <c r="H38" s="13">
        <v>82538786</v>
      </c>
      <c r="I38" s="13">
        <v>304771</v>
      </c>
      <c r="J38" s="15">
        <v>117324106</v>
      </c>
      <c r="K38" s="13">
        <v>110910652</v>
      </c>
      <c r="L38" s="15">
        <v>71885841</v>
      </c>
      <c r="M38" s="15">
        <v>62819648</v>
      </c>
      <c r="N38" s="15">
        <v>120491436</v>
      </c>
      <c r="O38" s="12">
        <v>43075766</v>
      </c>
      <c r="P38" s="13">
        <v>40190011</v>
      </c>
      <c r="Q38" s="12">
        <v>64785344</v>
      </c>
      <c r="R38" s="13">
        <v>69330123</v>
      </c>
      <c r="S38" s="12">
        <v>47294002</v>
      </c>
      <c r="T38" s="15">
        <v>56648980</v>
      </c>
      <c r="U38" s="13">
        <v>56765141</v>
      </c>
      <c r="V38" s="12">
        <v>152196608</v>
      </c>
      <c r="W38" s="15">
        <v>76463513</v>
      </c>
      <c r="X38" s="12">
        <v>58224224</v>
      </c>
      <c r="Y38" s="15">
        <v>134117751</v>
      </c>
      <c r="Z38" s="13">
        <v>18146281</v>
      </c>
      <c r="AA38" s="16">
        <v>1697527844</v>
      </c>
      <c r="AB38" s="17">
        <v>639751275</v>
      </c>
      <c r="AC38" s="13">
        <v>497487473</v>
      </c>
      <c r="AD38" s="12">
        <v>560289096</v>
      </c>
      <c r="AE38" s="26">
        <f t="shared" si="4"/>
        <v>0.37687233070210541</v>
      </c>
      <c r="AF38" s="26">
        <f t="shared" si="5"/>
        <v>0.2930658691451779</v>
      </c>
      <c r="AG38" s="26">
        <f t="shared" si="6"/>
        <v>0.33006180015271669</v>
      </c>
    </row>
    <row r="39" spans="1:33">
      <c r="A39" s="18">
        <v>39668</v>
      </c>
      <c r="B39" s="10">
        <v>38</v>
      </c>
      <c r="C39" s="11">
        <f t="shared" si="3"/>
        <v>1717252155</v>
      </c>
      <c r="D39" s="12">
        <v>149625951</v>
      </c>
      <c r="E39" s="13">
        <v>76259859</v>
      </c>
      <c r="F39" s="12">
        <v>51537555</v>
      </c>
      <c r="G39" s="13">
        <v>47082394</v>
      </c>
      <c r="H39" s="13">
        <v>83313599</v>
      </c>
      <c r="I39" s="13">
        <v>231048</v>
      </c>
      <c r="J39" s="15">
        <v>114955555</v>
      </c>
      <c r="K39" s="13">
        <v>111598949</v>
      </c>
      <c r="L39" s="15">
        <v>73889457</v>
      </c>
      <c r="M39" s="15">
        <v>63286242</v>
      </c>
      <c r="N39" s="15">
        <v>120564698</v>
      </c>
      <c r="O39" s="12">
        <v>43576137</v>
      </c>
      <c r="P39" s="13">
        <v>41643080</v>
      </c>
      <c r="Q39" s="12">
        <v>65001562</v>
      </c>
      <c r="R39" s="13">
        <v>69686803</v>
      </c>
      <c r="S39" s="12">
        <v>48180709</v>
      </c>
      <c r="T39" s="15">
        <v>57057547</v>
      </c>
      <c r="U39" s="13">
        <v>56953098</v>
      </c>
      <c r="V39" s="12">
        <v>152069270</v>
      </c>
      <c r="W39" s="15">
        <v>78372106</v>
      </c>
      <c r="X39" s="12">
        <v>60607726</v>
      </c>
      <c r="Y39" s="15">
        <v>133768546</v>
      </c>
      <c r="Z39" s="13">
        <v>17990264</v>
      </c>
      <c r="AA39" s="16">
        <v>1717252155</v>
      </c>
      <c r="AB39" s="17">
        <v>641894151</v>
      </c>
      <c r="AC39" s="13">
        <v>504759094</v>
      </c>
      <c r="AD39" s="12">
        <v>570598910</v>
      </c>
      <c r="AE39" s="26">
        <f t="shared" si="4"/>
        <v>0.37379143716957514</v>
      </c>
      <c r="AF39" s="26">
        <f t="shared" si="5"/>
        <v>0.29393417415743467</v>
      </c>
      <c r="AG39" s="26">
        <f t="shared" si="6"/>
        <v>0.3322743886729902</v>
      </c>
    </row>
    <row r="40" spans="1:33">
      <c r="A40" s="18">
        <v>39699</v>
      </c>
      <c r="B40" s="10">
        <v>39</v>
      </c>
      <c r="C40" s="11">
        <f t="shared" si="3"/>
        <v>1807289807</v>
      </c>
      <c r="D40" s="12">
        <v>152291071</v>
      </c>
      <c r="E40" s="13">
        <v>77083429</v>
      </c>
      <c r="F40" s="12">
        <v>54171179</v>
      </c>
      <c r="G40" s="13">
        <v>50561759</v>
      </c>
      <c r="H40" s="13">
        <v>89761775</v>
      </c>
      <c r="I40" s="13">
        <v>238132</v>
      </c>
      <c r="J40" s="15">
        <v>121814908</v>
      </c>
      <c r="K40" s="13">
        <v>116936087</v>
      </c>
      <c r="L40" s="15">
        <v>76385384</v>
      </c>
      <c r="M40" s="15">
        <v>66196412</v>
      </c>
      <c r="N40" s="15">
        <v>132702481</v>
      </c>
      <c r="O40" s="12">
        <v>44019288</v>
      </c>
      <c r="P40" s="13">
        <v>42678861</v>
      </c>
      <c r="Q40" s="12">
        <v>67244342</v>
      </c>
      <c r="R40" s="13">
        <v>72894105</v>
      </c>
      <c r="S40" s="12">
        <v>50975787</v>
      </c>
      <c r="T40" s="15">
        <v>59307669</v>
      </c>
      <c r="U40" s="13">
        <v>62978015</v>
      </c>
      <c r="V40" s="12">
        <v>159238456</v>
      </c>
      <c r="W40" s="15">
        <v>85647545</v>
      </c>
      <c r="X40" s="12">
        <v>66047390</v>
      </c>
      <c r="Y40" s="15">
        <v>139200601</v>
      </c>
      <c r="Z40" s="13">
        <v>18915131</v>
      </c>
      <c r="AA40" s="16">
        <v>1807289807</v>
      </c>
      <c r="AB40" s="17">
        <v>681255000</v>
      </c>
      <c r="AC40" s="13">
        <v>532047294</v>
      </c>
      <c r="AD40" s="12">
        <v>593987513</v>
      </c>
      <c r="AE40" s="26">
        <f t="shared" si="4"/>
        <v>0.37694839939967634</v>
      </c>
      <c r="AF40" s="26">
        <f t="shared" si="5"/>
        <v>0.29438958375091417</v>
      </c>
      <c r="AG40" s="26">
        <f t="shared" si="6"/>
        <v>0.32866201684940949</v>
      </c>
    </row>
    <row r="41" spans="1:33">
      <c r="A41" s="18">
        <v>39729</v>
      </c>
      <c r="B41" s="10">
        <v>40</v>
      </c>
      <c r="C41" s="11">
        <f t="shared" si="3"/>
        <v>1805393075</v>
      </c>
      <c r="D41" s="12">
        <v>159401114</v>
      </c>
      <c r="E41" s="13">
        <v>78375640</v>
      </c>
      <c r="F41" s="12">
        <v>54575251</v>
      </c>
      <c r="G41" s="13">
        <v>49674728</v>
      </c>
      <c r="H41" s="13">
        <v>86187570</v>
      </c>
      <c r="I41" s="13">
        <v>246418</v>
      </c>
      <c r="J41" s="15">
        <v>122570348</v>
      </c>
      <c r="K41" s="13">
        <v>115747597</v>
      </c>
      <c r="L41" s="15">
        <v>80061584</v>
      </c>
      <c r="M41" s="15">
        <v>66532643</v>
      </c>
      <c r="N41" s="15">
        <v>125364559</v>
      </c>
      <c r="O41" s="12">
        <v>44725529</v>
      </c>
      <c r="P41" s="13">
        <v>42970816</v>
      </c>
      <c r="Q41" s="12">
        <v>67299676</v>
      </c>
      <c r="R41" s="13">
        <v>70138692</v>
      </c>
      <c r="S41" s="12">
        <v>51591069</v>
      </c>
      <c r="T41" s="15">
        <v>60554553</v>
      </c>
      <c r="U41" s="13">
        <v>60482662</v>
      </c>
      <c r="V41" s="12">
        <v>154126652</v>
      </c>
      <c r="W41" s="15">
        <v>85193292</v>
      </c>
      <c r="X41" s="12">
        <v>64433671</v>
      </c>
      <c r="Y41" s="15">
        <v>145488773</v>
      </c>
      <c r="Z41" s="13">
        <v>19650238</v>
      </c>
      <c r="AA41" s="16">
        <v>1805393075</v>
      </c>
      <c r="AB41" s="17">
        <v>685765752</v>
      </c>
      <c r="AC41" s="13">
        <v>523474361</v>
      </c>
      <c r="AD41" s="12">
        <v>596152962</v>
      </c>
      <c r="AE41" s="26">
        <f t="shared" si="4"/>
        <v>0.37984290595553549</v>
      </c>
      <c r="AF41" s="26">
        <f t="shared" si="5"/>
        <v>0.28995035388623058</v>
      </c>
      <c r="AG41" s="26">
        <f t="shared" si="6"/>
        <v>0.33020674015823398</v>
      </c>
    </row>
    <row r="42" spans="1:33">
      <c r="A42" s="18">
        <v>39760</v>
      </c>
      <c r="B42" s="10">
        <v>41</v>
      </c>
      <c r="C42" s="11">
        <f t="shared" si="3"/>
        <v>1906289638</v>
      </c>
      <c r="D42" s="12">
        <v>165078406</v>
      </c>
      <c r="E42" s="13">
        <v>82950343</v>
      </c>
      <c r="F42" s="12">
        <v>59478972</v>
      </c>
      <c r="G42" s="13">
        <v>53851537</v>
      </c>
      <c r="H42" s="13">
        <v>91260064</v>
      </c>
      <c r="I42" s="13">
        <v>233180</v>
      </c>
      <c r="J42" s="15">
        <v>126358428</v>
      </c>
      <c r="K42" s="13">
        <v>122030612</v>
      </c>
      <c r="L42" s="15">
        <v>86523355</v>
      </c>
      <c r="M42" s="15">
        <v>70020618</v>
      </c>
      <c r="N42" s="15">
        <v>133431990</v>
      </c>
      <c r="O42" s="12">
        <v>47436177</v>
      </c>
      <c r="P42" s="13">
        <v>45421987</v>
      </c>
      <c r="Q42" s="12">
        <v>71210035</v>
      </c>
      <c r="R42" s="13">
        <v>76151694</v>
      </c>
      <c r="S42" s="12">
        <v>55047388</v>
      </c>
      <c r="T42" s="15">
        <v>64651255</v>
      </c>
      <c r="U42" s="13">
        <v>64929748</v>
      </c>
      <c r="V42" s="12">
        <v>166159942</v>
      </c>
      <c r="W42" s="15">
        <v>92172159</v>
      </c>
      <c r="X42" s="12">
        <v>70753710</v>
      </c>
      <c r="Y42" s="15">
        <v>142234605</v>
      </c>
      <c r="Z42" s="13">
        <v>18903433</v>
      </c>
      <c r="AA42" s="16">
        <v>1906289638</v>
      </c>
      <c r="AB42" s="17">
        <v>715392410</v>
      </c>
      <c r="AC42" s="13">
        <v>555732598</v>
      </c>
      <c r="AD42" s="12">
        <v>635164630</v>
      </c>
      <c r="AE42" s="26">
        <f t="shared" si="4"/>
        <v>0.37528001817738466</v>
      </c>
      <c r="AF42" s="26">
        <f t="shared" si="5"/>
        <v>0.29152579278721336</v>
      </c>
      <c r="AG42" s="26">
        <f t="shared" si="6"/>
        <v>0.33319418903540199</v>
      </c>
    </row>
    <row r="43" spans="1:33">
      <c r="A43" s="19">
        <v>39790</v>
      </c>
      <c r="B43" s="10">
        <v>42</v>
      </c>
      <c r="C43" s="11">
        <f t="shared" si="3"/>
        <v>1912794931</v>
      </c>
      <c r="D43" s="20">
        <v>165947749</v>
      </c>
      <c r="E43" s="20">
        <v>81545184</v>
      </c>
      <c r="F43" s="20">
        <v>61007117</v>
      </c>
      <c r="G43" s="20">
        <v>54238174</v>
      </c>
      <c r="H43" s="20">
        <v>91151430</v>
      </c>
      <c r="I43" s="20">
        <v>231555</v>
      </c>
      <c r="J43" s="20">
        <v>127948922</v>
      </c>
      <c r="K43" s="20">
        <v>121763141</v>
      </c>
      <c r="L43" s="20">
        <v>86647483</v>
      </c>
      <c r="M43" s="20">
        <v>70291059</v>
      </c>
      <c r="N43" s="20">
        <v>133308711</v>
      </c>
      <c r="O43" s="20">
        <v>46928262</v>
      </c>
      <c r="P43" s="20">
        <v>45551245</v>
      </c>
      <c r="Q43" s="20">
        <v>71847239</v>
      </c>
      <c r="R43" s="20">
        <v>75294055</v>
      </c>
      <c r="S43" s="20">
        <v>55566180</v>
      </c>
      <c r="T43" s="20">
        <v>65715747</v>
      </c>
      <c r="U43" s="20">
        <v>64577179</v>
      </c>
      <c r="V43" s="20">
        <v>160998866</v>
      </c>
      <c r="W43" s="20">
        <v>94698282</v>
      </c>
      <c r="X43" s="20">
        <v>71066595</v>
      </c>
      <c r="Y43" s="20">
        <v>147003822</v>
      </c>
      <c r="Z43" s="20">
        <v>19466934</v>
      </c>
      <c r="AA43" s="21">
        <v>1912794931</v>
      </c>
      <c r="AB43" s="21">
        <v>725614026</v>
      </c>
      <c r="AC43" s="20">
        <v>553818897</v>
      </c>
      <c r="AD43" s="20">
        <v>633362008</v>
      </c>
      <c r="AE43" s="26">
        <f t="shared" si="4"/>
        <v>0.37934752661679866</v>
      </c>
      <c r="AF43" s="26">
        <f t="shared" si="5"/>
        <v>0.28953385855663372</v>
      </c>
      <c r="AG43" s="26">
        <f t="shared" si="6"/>
        <v>0.33111861482656763</v>
      </c>
    </row>
    <row r="44" spans="1:33">
      <c r="A44" s="22">
        <v>39822</v>
      </c>
      <c r="B44" s="10">
        <v>43</v>
      </c>
      <c r="C44" s="11">
        <f t="shared" si="3"/>
        <v>2020213299</v>
      </c>
      <c r="D44" s="12">
        <v>177870194</v>
      </c>
      <c r="E44" s="13">
        <v>87094478</v>
      </c>
      <c r="F44" s="12">
        <v>64335155</v>
      </c>
      <c r="G44" s="13">
        <v>56452193</v>
      </c>
      <c r="H44" s="13">
        <v>98527192</v>
      </c>
      <c r="I44" s="13">
        <v>240242</v>
      </c>
      <c r="J44" s="15">
        <v>126348327</v>
      </c>
      <c r="K44" s="13">
        <v>130845057</v>
      </c>
      <c r="L44" s="15">
        <v>92219768</v>
      </c>
      <c r="M44" s="15">
        <v>74274361</v>
      </c>
      <c r="N44" s="15">
        <v>142831036</v>
      </c>
      <c r="O44" s="12">
        <v>50326657</v>
      </c>
      <c r="P44" s="13">
        <v>47999513</v>
      </c>
      <c r="Q44" s="12">
        <v>78385948</v>
      </c>
      <c r="R44" s="13">
        <v>78709179</v>
      </c>
      <c r="S44" s="12">
        <v>59199568</v>
      </c>
      <c r="T44" s="15">
        <v>69748317</v>
      </c>
      <c r="U44" s="13">
        <v>67609981</v>
      </c>
      <c r="V44" s="12">
        <v>162119301</v>
      </c>
      <c r="W44" s="15">
        <v>107552765</v>
      </c>
      <c r="X44" s="12">
        <v>79724133</v>
      </c>
      <c r="Y44" s="15">
        <v>148862838</v>
      </c>
      <c r="Z44" s="13">
        <v>18937096</v>
      </c>
      <c r="AA44" s="23">
        <v>2020213299</v>
      </c>
      <c r="AB44" s="23">
        <v>761837412</v>
      </c>
      <c r="AC44" s="24">
        <v>586414931</v>
      </c>
      <c r="AD44" s="24">
        <v>671960956</v>
      </c>
      <c r="AE44" s="26">
        <f t="shared" si="4"/>
        <v>0.37710741354742461</v>
      </c>
      <c r="AF44" s="26">
        <f t="shared" si="5"/>
        <v>0.29027377024508938</v>
      </c>
      <c r="AG44" s="26">
        <f t="shared" si="6"/>
        <v>0.33261881620748601</v>
      </c>
    </row>
    <row r="45" spans="1:33">
      <c r="A45" s="22">
        <v>39853</v>
      </c>
      <c r="B45" s="10">
        <v>44</v>
      </c>
      <c r="C45" s="11">
        <f t="shared" si="3"/>
        <v>2071344158</v>
      </c>
      <c r="D45" s="12">
        <v>189846629</v>
      </c>
      <c r="E45" s="13">
        <v>90438426</v>
      </c>
      <c r="F45" s="12">
        <v>67946344</v>
      </c>
      <c r="G45" s="13">
        <v>58408678</v>
      </c>
      <c r="H45" s="13">
        <v>100228030</v>
      </c>
      <c r="I45" s="13">
        <v>208457</v>
      </c>
      <c r="J45" s="15">
        <v>132700272</v>
      </c>
      <c r="K45" s="13">
        <v>134218004</v>
      </c>
      <c r="L45" s="15">
        <v>96809279</v>
      </c>
      <c r="M45" s="15">
        <v>76266979</v>
      </c>
      <c r="N45" s="15">
        <v>144794676</v>
      </c>
      <c r="O45" s="12">
        <v>52755457</v>
      </c>
      <c r="P45" s="13">
        <v>50041892</v>
      </c>
      <c r="Q45" s="12">
        <v>80238490</v>
      </c>
      <c r="R45" s="13">
        <v>80689743</v>
      </c>
      <c r="S45" s="12">
        <v>61415399</v>
      </c>
      <c r="T45" s="15">
        <v>73814571</v>
      </c>
      <c r="U45" s="13">
        <v>70156220</v>
      </c>
      <c r="V45" s="12">
        <v>165369857</v>
      </c>
      <c r="W45" s="15">
        <v>109909854</v>
      </c>
      <c r="X45" s="12">
        <v>80593172</v>
      </c>
      <c r="Y45" s="15">
        <v>137168628</v>
      </c>
      <c r="Z45" s="13">
        <v>17325101</v>
      </c>
      <c r="AA45" s="23">
        <v>2071344158</v>
      </c>
      <c r="AB45" s="23">
        <v>771464259</v>
      </c>
      <c r="AC45" s="24">
        <v>601714551</v>
      </c>
      <c r="AD45" s="24">
        <v>698165348</v>
      </c>
      <c r="AE45" s="26">
        <f t="shared" si="4"/>
        <v>0.37244619925685957</v>
      </c>
      <c r="AF45" s="26">
        <f t="shared" si="5"/>
        <v>0.29049472473033622</v>
      </c>
      <c r="AG45" s="26">
        <f t="shared" si="6"/>
        <v>0.33705907601280422</v>
      </c>
    </row>
    <row r="46" spans="1:33">
      <c r="A46" s="22">
        <v>39873</v>
      </c>
      <c r="B46" s="10">
        <v>45</v>
      </c>
      <c r="C46" s="11">
        <f t="shared" si="3"/>
        <v>1937341582</v>
      </c>
      <c r="D46" s="12">
        <v>174485815</v>
      </c>
      <c r="E46" s="13">
        <v>81876848</v>
      </c>
      <c r="F46" s="12">
        <v>62117901</v>
      </c>
      <c r="G46" s="13">
        <v>54046859</v>
      </c>
      <c r="H46" s="13">
        <v>93254561</v>
      </c>
      <c r="I46" s="13">
        <v>260879</v>
      </c>
      <c r="J46" s="15">
        <v>119778492</v>
      </c>
      <c r="K46" s="13">
        <v>123329521</v>
      </c>
      <c r="L46" s="15">
        <v>88904269</v>
      </c>
      <c r="M46" s="15">
        <v>69028279</v>
      </c>
      <c r="N46" s="15">
        <v>133749717</v>
      </c>
      <c r="O46" s="12">
        <v>48227150</v>
      </c>
      <c r="P46" s="13">
        <v>46600087</v>
      </c>
      <c r="Q46" s="12">
        <v>73503116</v>
      </c>
      <c r="R46" s="13">
        <v>73051342</v>
      </c>
      <c r="S46" s="12">
        <v>55939989</v>
      </c>
      <c r="T46" s="15">
        <v>67584067</v>
      </c>
      <c r="U46" s="13">
        <v>64555564</v>
      </c>
      <c r="V46" s="12">
        <v>150717963</v>
      </c>
      <c r="W46" s="15">
        <v>103998636</v>
      </c>
      <c r="X46" s="12">
        <v>75441831</v>
      </c>
      <c r="Y46" s="15">
        <v>157450108</v>
      </c>
      <c r="Z46" s="13">
        <v>19438588</v>
      </c>
      <c r="AA46" s="23">
        <v>1937341582</v>
      </c>
      <c r="AB46" s="23">
        <v>740493568</v>
      </c>
      <c r="AC46" s="24">
        <v>556414249</v>
      </c>
      <c r="AD46" s="24">
        <v>640433765</v>
      </c>
      <c r="AE46" s="26">
        <f t="shared" si="4"/>
        <v>0.3822214806516242</v>
      </c>
      <c r="AF46" s="26">
        <f t="shared" si="5"/>
        <v>0.28720503094017624</v>
      </c>
      <c r="AG46" s="26">
        <f t="shared" si="6"/>
        <v>0.33057348840819956</v>
      </c>
    </row>
    <row r="47" spans="1:33">
      <c r="A47" s="22">
        <v>39912</v>
      </c>
      <c r="B47" s="10">
        <v>46</v>
      </c>
      <c r="C47" s="11">
        <f t="shared" si="3"/>
        <v>2196650686</v>
      </c>
      <c r="D47" s="12">
        <v>199455329</v>
      </c>
      <c r="E47" s="13">
        <v>94294229</v>
      </c>
      <c r="F47" s="12">
        <v>71883602</v>
      </c>
      <c r="G47" s="13">
        <v>61893998</v>
      </c>
      <c r="H47" s="13">
        <v>108551789</v>
      </c>
      <c r="I47" s="13">
        <v>225595</v>
      </c>
      <c r="J47" s="15">
        <v>135914191</v>
      </c>
      <c r="K47" s="13">
        <v>140881030</v>
      </c>
      <c r="L47" s="15">
        <v>105479507</v>
      </c>
      <c r="M47" s="15">
        <v>78692874</v>
      </c>
      <c r="N47" s="15">
        <v>151996620</v>
      </c>
      <c r="O47" s="12">
        <v>57550144</v>
      </c>
      <c r="P47" s="13">
        <v>54106222</v>
      </c>
      <c r="Q47" s="12">
        <v>85301976</v>
      </c>
      <c r="R47" s="13">
        <v>83771970</v>
      </c>
      <c r="S47" s="12">
        <v>64076497</v>
      </c>
      <c r="T47" s="15">
        <v>78402334</v>
      </c>
      <c r="U47" s="13">
        <v>73385355</v>
      </c>
      <c r="V47" s="12">
        <v>166988447</v>
      </c>
      <c r="W47" s="15">
        <v>119865037</v>
      </c>
      <c r="X47" s="12">
        <v>87151699</v>
      </c>
      <c r="Y47" s="15">
        <v>157142318</v>
      </c>
      <c r="Z47" s="13">
        <v>19639923</v>
      </c>
      <c r="AA47" s="23">
        <v>2196650686</v>
      </c>
      <c r="AB47" s="23">
        <v>827492881</v>
      </c>
      <c r="AC47" s="24">
        <v>636750111</v>
      </c>
      <c r="AD47" s="24">
        <v>732407694</v>
      </c>
      <c r="AE47" s="26">
        <f t="shared" si="4"/>
        <v>0.37670663172524099</v>
      </c>
      <c r="AF47" s="26">
        <f t="shared" si="5"/>
        <v>0.28987317603942425</v>
      </c>
      <c r="AG47" s="26">
        <f t="shared" si="6"/>
        <v>0.33342019223533476</v>
      </c>
    </row>
    <row r="48" spans="1:33">
      <c r="A48" s="22">
        <v>39942</v>
      </c>
      <c r="B48" s="10">
        <v>47</v>
      </c>
      <c r="C48" s="11">
        <f t="shared" si="3"/>
        <v>2198977111</v>
      </c>
      <c r="D48" s="12">
        <v>197671612</v>
      </c>
      <c r="E48" s="13">
        <v>92849408</v>
      </c>
      <c r="F48" s="12">
        <v>72228681</v>
      </c>
      <c r="G48" s="13">
        <v>61837566</v>
      </c>
      <c r="H48" s="13">
        <v>107266392</v>
      </c>
      <c r="I48" s="13">
        <v>223063</v>
      </c>
      <c r="J48" s="15">
        <v>134363368</v>
      </c>
      <c r="K48" s="13">
        <v>142051262</v>
      </c>
      <c r="L48" s="15">
        <v>106214885</v>
      </c>
      <c r="M48" s="15">
        <v>79034046</v>
      </c>
      <c r="N48" s="15">
        <v>152258349</v>
      </c>
      <c r="O48" s="12">
        <v>56484241</v>
      </c>
      <c r="P48" s="13">
        <v>54482386</v>
      </c>
      <c r="Q48" s="12">
        <v>84943752</v>
      </c>
      <c r="R48" s="13">
        <v>84281453</v>
      </c>
      <c r="S48" s="12">
        <v>64975169</v>
      </c>
      <c r="T48" s="15">
        <v>78130831</v>
      </c>
      <c r="U48" s="13">
        <v>72419839</v>
      </c>
      <c r="V48" s="12">
        <v>163903057</v>
      </c>
      <c r="W48" s="15">
        <v>119012058</v>
      </c>
      <c r="X48" s="12">
        <v>86035683</v>
      </c>
      <c r="Y48" s="15">
        <v>167284211</v>
      </c>
      <c r="Z48" s="13">
        <v>21025799</v>
      </c>
      <c r="AA48" s="23">
        <v>2198977111</v>
      </c>
      <c r="AB48" s="23">
        <v>836297748</v>
      </c>
      <c r="AC48" s="24">
        <v>636437168</v>
      </c>
      <c r="AD48" s="24">
        <v>726242195</v>
      </c>
      <c r="AE48" s="26">
        <f t="shared" si="4"/>
        <v>0.38031216596869799</v>
      </c>
      <c r="AF48" s="26">
        <f t="shared" si="5"/>
        <v>0.28942418946351645</v>
      </c>
      <c r="AG48" s="26">
        <f t="shared" si="6"/>
        <v>0.33026364456778556</v>
      </c>
    </row>
    <row r="49" spans="1:33">
      <c r="A49" s="22">
        <v>39973</v>
      </c>
      <c r="B49" s="10">
        <v>48</v>
      </c>
      <c r="C49" s="11">
        <f t="shared" si="3"/>
        <v>2346891386</v>
      </c>
      <c r="D49" s="12">
        <v>212403013</v>
      </c>
      <c r="E49" s="13">
        <v>100424190</v>
      </c>
      <c r="F49" s="12">
        <v>76715527</v>
      </c>
      <c r="G49" s="13">
        <v>65691589</v>
      </c>
      <c r="H49" s="13">
        <v>116620088</v>
      </c>
      <c r="I49" s="13">
        <v>221475</v>
      </c>
      <c r="J49" s="15">
        <v>143083034</v>
      </c>
      <c r="K49" s="13">
        <v>149529294</v>
      </c>
      <c r="L49" s="15">
        <v>115348617</v>
      </c>
      <c r="M49" s="15">
        <v>83951139</v>
      </c>
      <c r="N49" s="15">
        <v>165199705</v>
      </c>
      <c r="O49" s="12">
        <v>61116008</v>
      </c>
      <c r="P49" s="13">
        <v>57679779</v>
      </c>
      <c r="Q49" s="12">
        <v>90505868</v>
      </c>
      <c r="R49" s="13">
        <v>88899596</v>
      </c>
      <c r="S49" s="12">
        <v>69564716</v>
      </c>
      <c r="T49" s="15">
        <v>82868143</v>
      </c>
      <c r="U49" s="13">
        <v>78672514</v>
      </c>
      <c r="V49" s="12">
        <v>173922652</v>
      </c>
      <c r="W49" s="15">
        <v>127959730</v>
      </c>
      <c r="X49" s="12">
        <v>93580016</v>
      </c>
      <c r="Y49" s="15">
        <v>171389582</v>
      </c>
      <c r="Z49" s="13">
        <v>21545111</v>
      </c>
      <c r="AA49" s="23">
        <v>2346891386</v>
      </c>
      <c r="AB49" s="23">
        <v>889799950</v>
      </c>
      <c r="AC49" s="24">
        <v>679283636</v>
      </c>
      <c r="AD49" s="24">
        <v>777807800</v>
      </c>
      <c r="AE49" s="26">
        <f t="shared" si="4"/>
        <v>0.37913980821948445</v>
      </c>
      <c r="AF49" s="26">
        <f t="shared" si="5"/>
        <v>0.28943974146062162</v>
      </c>
      <c r="AG49" s="26">
        <f t="shared" si="6"/>
        <v>0.33142045031989392</v>
      </c>
    </row>
    <row r="50" spans="1:33">
      <c r="A50" s="22">
        <v>40003</v>
      </c>
      <c r="B50" s="10">
        <v>49</v>
      </c>
      <c r="C50" s="11">
        <f t="shared" si="3"/>
        <v>2368727874</v>
      </c>
      <c r="D50" s="12">
        <v>215595067</v>
      </c>
      <c r="E50" s="13">
        <v>101596029</v>
      </c>
      <c r="F50" s="12">
        <v>79312313</v>
      </c>
      <c r="G50" s="13">
        <v>66042656</v>
      </c>
      <c r="H50" s="13">
        <v>115145839</v>
      </c>
      <c r="I50" s="13">
        <v>212317</v>
      </c>
      <c r="J50" s="15">
        <v>144640963</v>
      </c>
      <c r="K50" s="13">
        <v>154385242</v>
      </c>
      <c r="L50" s="15">
        <v>117201940</v>
      </c>
      <c r="M50" s="15">
        <v>86828183</v>
      </c>
      <c r="N50" s="15">
        <v>162026570</v>
      </c>
      <c r="O50" s="12">
        <v>61711053</v>
      </c>
      <c r="P50" s="13">
        <v>59076122</v>
      </c>
      <c r="Q50" s="12">
        <v>93292501</v>
      </c>
      <c r="R50" s="13">
        <v>90408305</v>
      </c>
      <c r="S50" s="12">
        <v>71906104</v>
      </c>
      <c r="T50" s="15">
        <v>84827649</v>
      </c>
      <c r="U50" s="13">
        <v>79648140</v>
      </c>
      <c r="V50" s="12">
        <v>168684555</v>
      </c>
      <c r="W50" s="15">
        <v>128724851</v>
      </c>
      <c r="X50" s="12">
        <v>92212757</v>
      </c>
      <c r="Y50" s="15">
        <v>173920030</v>
      </c>
      <c r="Z50" s="13">
        <v>21328688</v>
      </c>
      <c r="AA50" s="23">
        <v>2368727874</v>
      </c>
      <c r="AB50" s="23">
        <v>898170186</v>
      </c>
      <c r="AC50" s="24">
        <v>687843338</v>
      </c>
      <c r="AD50" s="24">
        <v>782714350</v>
      </c>
      <c r="AE50" s="26">
        <f t="shared" si="4"/>
        <v>0.37917829053249869</v>
      </c>
      <c r="AF50" s="26">
        <f t="shared" si="5"/>
        <v>0.29038512424749724</v>
      </c>
      <c r="AG50" s="26">
        <f t="shared" si="6"/>
        <v>0.33043658522000402</v>
      </c>
    </row>
    <row r="51" spans="1:33">
      <c r="A51" s="22">
        <v>40034</v>
      </c>
      <c r="B51" s="10">
        <v>50</v>
      </c>
      <c r="C51" s="11">
        <f t="shared" si="3"/>
        <v>2373840809</v>
      </c>
      <c r="D51" s="12">
        <v>221672397</v>
      </c>
      <c r="E51" s="13">
        <v>104291735</v>
      </c>
      <c r="F51" s="12">
        <v>81665055</v>
      </c>
      <c r="G51" s="13">
        <v>66390392</v>
      </c>
      <c r="H51" s="13">
        <v>113367238</v>
      </c>
      <c r="I51" s="13">
        <v>201013</v>
      </c>
      <c r="J51" s="15">
        <v>141965478</v>
      </c>
      <c r="K51" s="13">
        <v>155455643</v>
      </c>
      <c r="L51" s="15">
        <v>122917092</v>
      </c>
      <c r="M51" s="15">
        <v>86296954</v>
      </c>
      <c r="N51" s="15">
        <v>160705078</v>
      </c>
      <c r="O51" s="12">
        <v>65220897</v>
      </c>
      <c r="P51" s="13">
        <v>60604009</v>
      </c>
      <c r="Q51" s="12">
        <v>93675816</v>
      </c>
      <c r="R51" s="13">
        <v>90145228</v>
      </c>
      <c r="S51" s="12">
        <v>70868457</v>
      </c>
      <c r="T51" s="15">
        <v>85804366</v>
      </c>
      <c r="U51" s="13">
        <v>78416942</v>
      </c>
      <c r="V51" s="12">
        <v>164762826</v>
      </c>
      <c r="W51" s="15">
        <v>129106258</v>
      </c>
      <c r="X51" s="12">
        <v>93126774</v>
      </c>
      <c r="Y51" s="15">
        <v>166752301</v>
      </c>
      <c r="Z51" s="13">
        <v>20428860</v>
      </c>
      <c r="AA51" s="23">
        <v>2373840809</v>
      </c>
      <c r="AB51" s="23">
        <v>893547527</v>
      </c>
      <c r="AC51" s="24">
        <v>689301060</v>
      </c>
      <c r="AD51" s="24">
        <v>790992222</v>
      </c>
      <c r="AE51" s="26">
        <f t="shared" si="4"/>
        <v>0.37641425811380091</v>
      </c>
      <c r="AF51" s="26">
        <f t="shared" si="5"/>
        <v>0.29037375100581142</v>
      </c>
      <c r="AG51" s="26">
        <f t="shared" si="6"/>
        <v>0.33321199088038761</v>
      </c>
    </row>
    <row r="52" spans="1:33">
      <c r="A52" s="22">
        <v>40065</v>
      </c>
      <c r="B52" s="10">
        <v>51</v>
      </c>
      <c r="C52" s="11">
        <f t="shared" si="3"/>
        <v>2448424758</v>
      </c>
      <c r="D52" s="12">
        <v>223611096</v>
      </c>
      <c r="E52" s="13">
        <v>103182368</v>
      </c>
      <c r="F52" s="12">
        <v>83748973</v>
      </c>
      <c r="G52" s="13">
        <v>70489852</v>
      </c>
      <c r="H52" s="13">
        <v>120823984</v>
      </c>
      <c r="I52" s="13">
        <v>186607</v>
      </c>
      <c r="J52" s="15">
        <v>144678439</v>
      </c>
      <c r="K52" s="13">
        <v>155421953</v>
      </c>
      <c r="L52" s="15">
        <v>121509296</v>
      </c>
      <c r="M52" s="15">
        <v>86766896</v>
      </c>
      <c r="N52" s="15">
        <v>169835267</v>
      </c>
      <c r="O52" s="12">
        <v>63717875</v>
      </c>
      <c r="P52" s="13">
        <v>60461011</v>
      </c>
      <c r="Q52" s="12">
        <v>92902475</v>
      </c>
      <c r="R52" s="13">
        <v>91042388</v>
      </c>
      <c r="S52" s="12">
        <v>73763212</v>
      </c>
      <c r="T52" s="15">
        <v>90216222</v>
      </c>
      <c r="U52" s="13">
        <v>81638160</v>
      </c>
      <c r="V52" s="12">
        <v>168544992</v>
      </c>
      <c r="W52" s="15">
        <v>141951097</v>
      </c>
      <c r="X52" s="12">
        <v>101624804</v>
      </c>
      <c r="Y52" s="15">
        <v>180806740</v>
      </c>
      <c r="Z52" s="13">
        <v>21501051</v>
      </c>
      <c r="AA52" s="23">
        <v>2448424758</v>
      </c>
      <c r="AB52" s="23">
        <v>935763957</v>
      </c>
      <c r="AC52" s="24">
        <v>704747374</v>
      </c>
      <c r="AD52" s="24">
        <v>807913427</v>
      </c>
      <c r="AE52" s="26">
        <f t="shared" si="4"/>
        <v>0.38219020369830781</v>
      </c>
      <c r="AF52" s="26">
        <f t="shared" si="5"/>
        <v>0.28783705592638842</v>
      </c>
      <c r="AG52" s="26">
        <f t="shared" si="6"/>
        <v>0.32997274037530377</v>
      </c>
    </row>
    <row r="53" spans="1:33">
      <c r="A53" s="22">
        <v>40095</v>
      </c>
      <c r="B53" s="10">
        <v>52</v>
      </c>
      <c r="C53" s="11">
        <f t="shared" si="3"/>
        <v>2507910520</v>
      </c>
      <c r="D53" s="12">
        <v>233529533</v>
      </c>
      <c r="E53" s="13">
        <v>109655000</v>
      </c>
      <c r="F53" s="12">
        <v>89164841</v>
      </c>
      <c r="G53" s="13">
        <v>71326243</v>
      </c>
      <c r="H53" s="13">
        <v>117818425</v>
      </c>
      <c r="I53" s="13">
        <v>219773</v>
      </c>
      <c r="J53" s="15">
        <v>147309357</v>
      </c>
      <c r="K53" s="13">
        <v>160572043</v>
      </c>
      <c r="L53" s="15">
        <v>129033229</v>
      </c>
      <c r="M53" s="15">
        <v>91016963</v>
      </c>
      <c r="N53" s="15">
        <v>167057650</v>
      </c>
      <c r="O53" s="12">
        <v>66750380</v>
      </c>
      <c r="P53" s="13">
        <v>62987348</v>
      </c>
      <c r="Q53" s="12">
        <v>97277999</v>
      </c>
      <c r="R53" s="13">
        <v>93755843</v>
      </c>
      <c r="S53" s="12">
        <v>76525181</v>
      </c>
      <c r="T53" s="15">
        <v>91537856</v>
      </c>
      <c r="U53" s="13">
        <v>82075553</v>
      </c>
      <c r="V53" s="12">
        <v>167241340</v>
      </c>
      <c r="W53" s="15">
        <v>141994222</v>
      </c>
      <c r="X53" s="12">
        <v>101653347</v>
      </c>
      <c r="Y53" s="15">
        <v>187476430</v>
      </c>
      <c r="Z53" s="13">
        <v>21931964</v>
      </c>
      <c r="AA53" s="23">
        <v>2507910520</v>
      </c>
      <c r="AB53" s="23">
        <v>955425707</v>
      </c>
      <c r="AC53" s="24">
        <v>720342192</v>
      </c>
      <c r="AD53" s="24">
        <v>832142621</v>
      </c>
      <c r="AE53" s="26">
        <f t="shared" si="4"/>
        <v>0.38096483083455468</v>
      </c>
      <c r="AF53" s="26">
        <f t="shared" si="5"/>
        <v>0.28722802757731564</v>
      </c>
      <c r="AG53" s="26">
        <f t="shared" si="6"/>
        <v>0.33180714158812968</v>
      </c>
    </row>
    <row r="54" spans="1:33">
      <c r="A54" s="22">
        <v>40126</v>
      </c>
      <c r="B54" s="10">
        <v>53</v>
      </c>
      <c r="C54" s="11">
        <f t="shared" si="3"/>
        <v>2595268813</v>
      </c>
      <c r="D54" s="12">
        <v>244632509</v>
      </c>
      <c r="E54" s="13">
        <v>113467688</v>
      </c>
      <c r="F54" s="12">
        <v>92500744</v>
      </c>
      <c r="G54" s="13">
        <v>74151231</v>
      </c>
      <c r="H54" s="13">
        <v>122831532</v>
      </c>
      <c r="I54" s="13">
        <v>185975</v>
      </c>
      <c r="J54" s="15">
        <v>150844558</v>
      </c>
      <c r="K54" s="13">
        <v>165539088</v>
      </c>
      <c r="L54" s="15">
        <v>138224502</v>
      </c>
      <c r="M54" s="15">
        <v>92676588</v>
      </c>
      <c r="N54" s="15">
        <v>175488911</v>
      </c>
      <c r="O54" s="12">
        <v>69225464</v>
      </c>
      <c r="P54" s="13">
        <v>64823121</v>
      </c>
      <c r="Q54" s="12">
        <v>100927296</v>
      </c>
      <c r="R54" s="13">
        <v>96101778</v>
      </c>
      <c r="S54" s="12">
        <v>77937459</v>
      </c>
      <c r="T54" s="15">
        <v>96960503</v>
      </c>
      <c r="U54" s="13">
        <v>87124117</v>
      </c>
      <c r="V54" s="12">
        <v>171354860</v>
      </c>
      <c r="W54" s="15">
        <v>150203445</v>
      </c>
      <c r="X54" s="12">
        <v>106379352</v>
      </c>
      <c r="Y54" s="15">
        <v>182624201</v>
      </c>
      <c r="Z54" s="13">
        <v>21063891</v>
      </c>
      <c r="AA54" s="23">
        <v>2595268813</v>
      </c>
      <c r="AB54" s="23">
        <v>987022708</v>
      </c>
      <c r="AC54" s="24">
        <v>745288421</v>
      </c>
      <c r="AD54" s="24">
        <v>862957684</v>
      </c>
      <c r="AE54" s="26">
        <f t="shared" si="4"/>
        <v>0.38031617497805614</v>
      </c>
      <c r="AF54" s="26">
        <f t="shared" si="5"/>
        <v>0.28717195585550315</v>
      </c>
      <c r="AG54" s="26">
        <f t="shared" si="6"/>
        <v>0.33251186916644077</v>
      </c>
    </row>
    <row r="55" spans="1:33">
      <c r="A55" s="22">
        <v>40156</v>
      </c>
      <c r="B55" s="10">
        <v>54</v>
      </c>
      <c r="C55" s="11">
        <f t="shared" si="3"/>
        <v>2602820639</v>
      </c>
      <c r="D55" s="12">
        <v>244953788</v>
      </c>
      <c r="E55" s="13">
        <v>114195530</v>
      </c>
      <c r="F55" s="12">
        <v>92764051</v>
      </c>
      <c r="G55" s="13">
        <v>73573334</v>
      </c>
      <c r="H55" s="13">
        <v>122725700</v>
      </c>
      <c r="I55" s="13">
        <v>174656</v>
      </c>
      <c r="J55" s="15">
        <v>149739083</v>
      </c>
      <c r="K55" s="13">
        <v>165447540</v>
      </c>
      <c r="L55" s="15">
        <v>138715463</v>
      </c>
      <c r="M55" s="15">
        <v>92289429</v>
      </c>
      <c r="N55" s="15">
        <v>175495377</v>
      </c>
      <c r="O55" s="12">
        <v>69062920</v>
      </c>
      <c r="P55" s="13">
        <v>65914321</v>
      </c>
      <c r="Q55" s="12">
        <v>100436369</v>
      </c>
      <c r="R55" s="13">
        <v>95946909</v>
      </c>
      <c r="S55" s="12">
        <v>78355746</v>
      </c>
      <c r="T55" s="15">
        <v>96758249</v>
      </c>
      <c r="U55" s="13">
        <v>86841099</v>
      </c>
      <c r="V55" s="12">
        <v>166555992</v>
      </c>
      <c r="W55" s="15">
        <v>151223631</v>
      </c>
      <c r="X55" s="12">
        <v>106309111</v>
      </c>
      <c r="Y55" s="15">
        <v>194156987</v>
      </c>
      <c r="Z55" s="13">
        <v>21185354</v>
      </c>
      <c r="AA55" s="23">
        <v>2602820639</v>
      </c>
      <c r="AB55" s="23">
        <v>998378219</v>
      </c>
      <c r="AC55" s="24">
        <v>746004443</v>
      </c>
      <c r="AD55" s="24">
        <v>858437977</v>
      </c>
      <c r="AE55" s="26">
        <f t="shared" si="4"/>
        <v>0.38357549653654793</v>
      </c>
      <c r="AF55" s="26">
        <f t="shared" si="5"/>
        <v>0.28661384953771302</v>
      </c>
      <c r="AG55" s="26">
        <f t="shared" si="6"/>
        <v>0.32981065392573905</v>
      </c>
    </row>
    <row r="56" spans="1:33">
      <c r="A56" s="22">
        <v>40188</v>
      </c>
      <c r="B56" s="10">
        <v>55</v>
      </c>
      <c r="C56" s="11">
        <f t="shared" si="3"/>
        <v>2759663486</v>
      </c>
      <c r="D56" s="12">
        <v>261212629</v>
      </c>
      <c r="E56" s="13">
        <v>121945272</v>
      </c>
      <c r="F56" s="12">
        <v>100722304</v>
      </c>
      <c r="G56" s="13">
        <v>78608902</v>
      </c>
      <c r="H56" s="13">
        <v>132645625</v>
      </c>
      <c r="I56" s="13">
        <v>166041</v>
      </c>
      <c r="J56" s="15">
        <v>151190273</v>
      </c>
      <c r="K56" s="13">
        <v>176265166</v>
      </c>
      <c r="L56" s="15">
        <v>145544608</v>
      </c>
      <c r="M56" s="15">
        <v>97117170</v>
      </c>
      <c r="N56" s="15">
        <v>188452840</v>
      </c>
      <c r="O56" s="12">
        <v>70934328</v>
      </c>
      <c r="P56" s="13">
        <v>69143411</v>
      </c>
      <c r="Q56" s="12">
        <v>106540491</v>
      </c>
      <c r="R56" s="13">
        <v>102371942</v>
      </c>
      <c r="S56" s="12">
        <v>82945690</v>
      </c>
      <c r="T56" s="15">
        <v>103970037</v>
      </c>
      <c r="U56" s="13">
        <v>93295545</v>
      </c>
      <c r="V56" s="12">
        <v>167711376</v>
      </c>
      <c r="W56" s="15">
        <v>167745806</v>
      </c>
      <c r="X56" s="12">
        <v>121669032</v>
      </c>
      <c r="Y56" s="15">
        <v>198878262</v>
      </c>
      <c r="Z56" s="13">
        <v>20586736</v>
      </c>
      <c r="AA56" s="23">
        <v>2759663486</v>
      </c>
      <c r="AB56" s="23">
        <v>1052898996</v>
      </c>
      <c r="AC56" s="24">
        <v>795028640</v>
      </c>
      <c r="AD56" s="24">
        <v>911735850</v>
      </c>
      <c r="AE56" s="26">
        <f t="shared" si="4"/>
        <v>0.38153166186436982</v>
      </c>
      <c r="AF56" s="26">
        <f t="shared" si="5"/>
        <v>0.28808898042578224</v>
      </c>
      <c r="AG56" s="26">
        <f t="shared" si="6"/>
        <v>0.33037935770984794</v>
      </c>
    </row>
    <row r="57" spans="1:33">
      <c r="A57" s="22">
        <v>40219</v>
      </c>
      <c r="B57" s="10">
        <v>56</v>
      </c>
      <c r="C57" s="11">
        <f t="shared" si="3"/>
        <v>2824576641</v>
      </c>
      <c r="D57" s="12">
        <v>277131660</v>
      </c>
      <c r="E57" s="13">
        <v>125944822</v>
      </c>
      <c r="F57" s="12">
        <v>103833013</v>
      </c>
      <c r="G57" s="13">
        <v>81291619</v>
      </c>
      <c r="H57" s="13">
        <v>135135872</v>
      </c>
      <c r="I57" s="13">
        <v>153658</v>
      </c>
      <c r="J57" s="15">
        <v>160895902</v>
      </c>
      <c r="K57" s="13">
        <v>179164901</v>
      </c>
      <c r="L57" s="15">
        <v>149445747</v>
      </c>
      <c r="M57" s="15">
        <v>99744876</v>
      </c>
      <c r="N57" s="15">
        <v>190495684</v>
      </c>
      <c r="O57" s="12">
        <v>72828140</v>
      </c>
      <c r="P57" s="13">
        <v>72260860</v>
      </c>
      <c r="Q57" s="12">
        <v>108315634</v>
      </c>
      <c r="R57" s="13">
        <v>103391938</v>
      </c>
      <c r="S57" s="12">
        <v>86295470</v>
      </c>
      <c r="T57" s="15">
        <v>107292905</v>
      </c>
      <c r="U57" s="13">
        <v>95933577</v>
      </c>
      <c r="V57" s="12">
        <v>173272481</v>
      </c>
      <c r="W57" s="15">
        <v>174030091</v>
      </c>
      <c r="X57" s="12">
        <v>121482467</v>
      </c>
      <c r="Y57" s="15">
        <v>187058128</v>
      </c>
      <c r="Z57" s="13">
        <v>19177196</v>
      </c>
      <c r="AA57" s="23">
        <v>2824576641</v>
      </c>
      <c r="AB57" s="23">
        <v>1068963333</v>
      </c>
      <c r="AC57" s="24">
        <v>812454443</v>
      </c>
      <c r="AD57" s="24">
        <v>943158865</v>
      </c>
      <c r="AE57" s="26">
        <f t="shared" si="4"/>
        <v>0.37845081541903186</v>
      </c>
      <c r="AF57" s="26">
        <f t="shared" si="5"/>
        <v>0.28763759892610397</v>
      </c>
      <c r="AG57" s="26">
        <f t="shared" si="6"/>
        <v>0.33391158565486417</v>
      </c>
    </row>
    <row r="58" spans="1:33">
      <c r="A58" s="22">
        <v>40247</v>
      </c>
      <c r="B58" s="10">
        <v>57</v>
      </c>
      <c r="C58" s="11">
        <f t="shared" si="3"/>
        <v>2709417111</v>
      </c>
      <c r="D58" s="12">
        <v>252410172</v>
      </c>
      <c r="E58" s="13">
        <v>117513258</v>
      </c>
      <c r="F58" s="12">
        <v>100925844</v>
      </c>
      <c r="G58" s="13">
        <v>77304293</v>
      </c>
      <c r="H58" s="13">
        <v>128022139</v>
      </c>
      <c r="I58" s="13">
        <v>172215</v>
      </c>
      <c r="J58" s="15">
        <v>149972054</v>
      </c>
      <c r="K58" s="13">
        <v>170493136</v>
      </c>
      <c r="L58" s="15">
        <v>140646063</v>
      </c>
      <c r="M58" s="15">
        <v>96224310</v>
      </c>
      <c r="N58" s="15">
        <v>181477377</v>
      </c>
      <c r="O58" s="12">
        <v>68051264</v>
      </c>
      <c r="P58" s="13">
        <v>66837907</v>
      </c>
      <c r="Q58" s="12">
        <v>100995372</v>
      </c>
      <c r="R58" s="13">
        <v>96535571</v>
      </c>
      <c r="S58" s="12">
        <v>81634207</v>
      </c>
      <c r="T58" s="15">
        <v>102760651</v>
      </c>
      <c r="U58" s="13">
        <v>92685338</v>
      </c>
      <c r="V58" s="12">
        <v>162235285</v>
      </c>
      <c r="W58" s="15">
        <v>166347077</v>
      </c>
      <c r="X58" s="12">
        <v>116938848</v>
      </c>
      <c r="Y58" s="15">
        <v>217349642</v>
      </c>
      <c r="Z58" s="13">
        <v>21885088</v>
      </c>
      <c r="AA58" s="23">
        <v>2709417111</v>
      </c>
      <c r="AB58" s="23">
        <v>1054777174</v>
      </c>
      <c r="AC58" s="24">
        <v>771448945</v>
      </c>
      <c r="AD58" s="24">
        <v>883190992</v>
      </c>
      <c r="AE58" s="26">
        <f t="shared" si="4"/>
        <v>0.38930040329253685</v>
      </c>
      <c r="AF58" s="26">
        <f t="shared" si="5"/>
        <v>0.28472874917190999</v>
      </c>
      <c r="AG58" s="26">
        <f t="shared" si="6"/>
        <v>0.32597084753555317</v>
      </c>
    </row>
    <row r="59" spans="1:33">
      <c r="A59" s="22">
        <v>40278</v>
      </c>
      <c r="B59" s="10">
        <v>58</v>
      </c>
      <c r="C59" s="11">
        <f t="shared" si="3"/>
        <v>3054246498</v>
      </c>
      <c r="D59" s="12">
        <v>287375342</v>
      </c>
      <c r="E59" s="13">
        <v>137206076</v>
      </c>
      <c r="F59" s="12">
        <v>115062479</v>
      </c>
      <c r="G59" s="13">
        <v>87299976</v>
      </c>
      <c r="H59" s="13">
        <v>146678440</v>
      </c>
      <c r="I59" s="13">
        <v>160252</v>
      </c>
      <c r="J59" s="15">
        <v>165038495</v>
      </c>
      <c r="K59" s="13">
        <v>194187303</v>
      </c>
      <c r="L59" s="15">
        <v>166171771</v>
      </c>
      <c r="M59" s="15">
        <v>112472924</v>
      </c>
      <c r="N59" s="15">
        <v>206781672</v>
      </c>
      <c r="O59" s="12">
        <v>79367121</v>
      </c>
      <c r="P59" s="13">
        <v>76693711</v>
      </c>
      <c r="Q59" s="12">
        <v>115486885</v>
      </c>
      <c r="R59" s="13">
        <v>107284715</v>
      </c>
      <c r="S59" s="12">
        <v>92813150</v>
      </c>
      <c r="T59" s="15">
        <v>116012022</v>
      </c>
      <c r="U59" s="13">
        <v>105026296</v>
      </c>
      <c r="V59" s="12">
        <v>175409483</v>
      </c>
      <c r="W59" s="15">
        <v>191248852</v>
      </c>
      <c r="X59" s="12">
        <v>136114133</v>
      </c>
      <c r="Y59" s="15">
        <v>218382338</v>
      </c>
      <c r="Z59" s="13">
        <v>21973062</v>
      </c>
      <c r="AA59" s="23">
        <v>3054246498</v>
      </c>
      <c r="AB59" s="23">
        <v>1176108074</v>
      </c>
      <c r="AC59" s="24">
        <v>876509831</v>
      </c>
      <c r="AD59" s="24">
        <v>1001628593</v>
      </c>
      <c r="AE59" s="26">
        <f t="shared" si="4"/>
        <v>0.38507306950180548</v>
      </c>
      <c r="AF59" s="26">
        <f t="shared" si="5"/>
        <v>0.28698071081491339</v>
      </c>
      <c r="AG59" s="26">
        <f t="shared" si="6"/>
        <v>0.32794621968328114</v>
      </c>
    </row>
    <row r="60" spans="1:33">
      <c r="A60" s="22">
        <v>40308</v>
      </c>
      <c r="B60" s="10">
        <v>59</v>
      </c>
      <c r="C60" s="11">
        <f t="shared" si="3"/>
        <v>3156787405</v>
      </c>
      <c r="D60" s="12">
        <v>295589009</v>
      </c>
      <c r="E60" s="13">
        <v>142169911</v>
      </c>
      <c r="F60" s="12">
        <v>120544090</v>
      </c>
      <c r="G60" s="13">
        <v>88845281</v>
      </c>
      <c r="H60" s="13">
        <v>149367711</v>
      </c>
      <c r="I60" s="13">
        <v>157081</v>
      </c>
      <c r="J60" s="15">
        <v>170413271</v>
      </c>
      <c r="K60" s="13">
        <v>203338271</v>
      </c>
      <c r="L60" s="15">
        <v>174575813</v>
      </c>
      <c r="M60" s="15">
        <v>113720105</v>
      </c>
      <c r="N60" s="15">
        <v>208805831</v>
      </c>
      <c r="O60" s="12">
        <v>82691435</v>
      </c>
      <c r="P60" s="13">
        <v>80942918</v>
      </c>
      <c r="Q60" s="12">
        <v>119903961</v>
      </c>
      <c r="R60" s="13">
        <v>110790296</v>
      </c>
      <c r="S60" s="12">
        <v>97723792</v>
      </c>
      <c r="T60" s="15">
        <v>125010041</v>
      </c>
      <c r="U60" s="13">
        <v>108288325</v>
      </c>
      <c r="V60" s="12">
        <v>176156891</v>
      </c>
      <c r="W60" s="15">
        <v>198032463</v>
      </c>
      <c r="X60" s="12">
        <v>138391154</v>
      </c>
      <c r="Y60" s="15">
        <v>228100662</v>
      </c>
      <c r="Z60" s="13">
        <v>23229093</v>
      </c>
      <c r="AA60" s="23">
        <v>3156787405</v>
      </c>
      <c r="AB60" s="23">
        <v>1218658186</v>
      </c>
      <c r="AC60" s="24">
        <v>907128887</v>
      </c>
      <c r="AD60" s="24">
        <v>1031000332</v>
      </c>
      <c r="AE60" s="26">
        <f t="shared" si="4"/>
        <v>0.38604379378534676</v>
      </c>
      <c r="AF60" s="26">
        <f t="shared" si="5"/>
        <v>0.28735824451250941</v>
      </c>
      <c r="AG60" s="26">
        <f t="shared" si="6"/>
        <v>0.32659796170214384</v>
      </c>
    </row>
    <row r="61" spans="1:33">
      <c r="A61" s="22">
        <v>40339</v>
      </c>
      <c r="B61" s="10">
        <v>60</v>
      </c>
      <c r="C61" s="11">
        <f t="shared" si="3"/>
        <v>3380659212</v>
      </c>
      <c r="D61" s="12">
        <v>318907219</v>
      </c>
      <c r="E61" s="13">
        <v>154018166</v>
      </c>
      <c r="F61" s="12">
        <v>131038592</v>
      </c>
      <c r="G61" s="13">
        <v>95633947</v>
      </c>
      <c r="H61" s="13">
        <v>160507958</v>
      </c>
      <c r="I61" s="13">
        <v>165058</v>
      </c>
      <c r="J61" s="15">
        <v>180874279</v>
      </c>
      <c r="K61" s="13">
        <v>216689927</v>
      </c>
      <c r="L61" s="15">
        <v>188439916</v>
      </c>
      <c r="M61" s="15">
        <v>119782499</v>
      </c>
      <c r="N61" s="15">
        <v>226651988</v>
      </c>
      <c r="O61" s="12">
        <v>89315219</v>
      </c>
      <c r="P61" s="13">
        <v>87965062</v>
      </c>
      <c r="Q61" s="12">
        <v>127276827</v>
      </c>
      <c r="R61" s="13">
        <v>118928463</v>
      </c>
      <c r="S61" s="12">
        <v>107723062</v>
      </c>
      <c r="T61" s="14">
        <v>134494491</v>
      </c>
      <c r="U61" s="13">
        <v>116201954</v>
      </c>
      <c r="V61" s="12">
        <v>181797707</v>
      </c>
      <c r="W61" s="15">
        <v>218714627</v>
      </c>
      <c r="X61" s="12">
        <v>150681434</v>
      </c>
      <c r="Y61" s="15">
        <v>231023908</v>
      </c>
      <c r="Z61" s="13">
        <v>23826909</v>
      </c>
      <c r="AA61" s="23">
        <v>3380659212</v>
      </c>
      <c r="AB61" s="23">
        <v>1299981708</v>
      </c>
      <c r="AC61" s="24">
        <v>973937444</v>
      </c>
      <c r="AD61" s="24">
        <v>1106740060</v>
      </c>
      <c r="AE61" s="26">
        <f t="shared" si="4"/>
        <v>0.38453497571881257</v>
      </c>
      <c r="AF61" s="26">
        <f t="shared" si="5"/>
        <v>0.28809098549268386</v>
      </c>
      <c r="AG61" s="26">
        <f t="shared" si="6"/>
        <v>0.32737403878850357</v>
      </c>
    </row>
    <row r="62" spans="1:33">
      <c r="A62" s="22">
        <v>40369</v>
      </c>
      <c r="B62" s="10">
        <v>61</v>
      </c>
      <c r="C62" s="11">
        <f t="shared" si="3"/>
        <v>3411752943</v>
      </c>
      <c r="D62" s="12">
        <v>320241855</v>
      </c>
      <c r="E62" s="13">
        <v>161569060</v>
      </c>
      <c r="F62" s="12">
        <v>138784472</v>
      </c>
      <c r="G62" s="13">
        <v>98150905</v>
      </c>
      <c r="H62" s="13">
        <v>158828948</v>
      </c>
      <c r="I62" s="13">
        <v>147596</v>
      </c>
      <c r="J62" s="15">
        <v>176973714</v>
      </c>
      <c r="K62" s="13">
        <v>219888839</v>
      </c>
      <c r="L62" s="15">
        <v>197705817</v>
      </c>
      <c r="M62" s="15">
        <v>120948520</v>
      </c>
      <c r="N62" s="15">
        <v>221712693</v>
      </c>
      <c r="O62" s="12">
        <v>91223281</v>
      </c>
      <c r="P62" s="13">
        <v>89417084</v>
      </c>
      <c r="Q62" s="12">
        <v>131751085</v>
      </c>
      <c r="R62" s="13">
        <v>120537311</v>
      </c>
      <c r="S62" s="12">
        <v>110817360</v>
      </c>
      <c r="T62" s="15">
        <v>139202699</v>
      </c>
      <c r="U62" s="13">
        <v>118096884</v>
      </c>
      <c r="V62" s="12">
        <v>176445386</v>
      </c>
      <c r="W62" s="15">
        <v>217044825</v>
      </c>
      <c r="X62" s="12">
        <v>152728286</v>
      </c>
      <c r="Y62" s="15">
        <v>226743357</v>
      </c>
      <c r="Z62" s="13">
        <v>22792966</v>
      </c>
      <c r="AA62" s="23">
        <v>3411752943</v>
      </c>
      <c r="AB62" s="23">
        <v>1300331625</v>
      </c>
      <c r="AC62" s="24">
        <v>989429593</v>
      </c>
      <c r="AD62" s="24">
        <v>1121991725</v>
      </c>
      <c r="AE62" s="26">
        <f t="shared" si="4"/>
        <v>0.38113299723766075</v>
      </c>
      <c r="AF62" s="26">
        <f t="shared" si="5"/>
        <v>0.29000622540094634</v>
      </c>
      <c r="AG62" s="26">
        <f t="shared" si="6"/>
        <v>0.32886077736139291</v>
      </c>
    </row>
    <row r="63" spans="1:33">
      <c r="A63" s="22">
        <v>40400</v>
      </c>
      <c r="B63" s="10">
        <v>62</v>
      </c>
      <c r="C63" s="11">
        <f t="shared" si="3"/>
        <v>3503099273</v>
      </c>
      <c r="D63" s="12">
        <v>308140640</v>
      </c>
      <c r="E63" s="13">
        <v>167827956</v>
      </c>
      <c r="F63" s="12">
        <v>140181384</v>
      </c>
      <c r="G63" s="13">
        <v>97715976</v>
      </c>
      <c r="H63" s="13">
        <v>164086579</v>
      </c>
      <c r="I63" s="13">
        <v>146093</v>
      </c>
      <c r="J63" s="15">
        <v>176508469</v>
      </c>
      <c r="K63" s="13">
        <v>228863919</v>
      </c>
      <c r="L63" s="15">
        <v>230953332</v>
      </c>
      <c r="M63" s="15">
        <v>121251877</v>
      </c>
      <c r="N63" s="15">
        <v>232133003</v>
      </c>
      <c r="O63" s="12">
        <v>95617022</v>
      </c>
      <c r="P63" s="13">
        <v>92427935</v>
      </c>
      <c r="Q63" s="12">
        <v>137244642</v>
      </c>
      <c r="R63" s="13">
        <v>120992002</v>
      </c>
      <c r="S63" s="12">
        <v>114598634</v>
      </c>
      <c r="T63" s="15">
        <v>146623933</v>
      </c>
      <c r="U63" s="13">
        <v>122558885</v>
      </c>
      <c r="V63" s="12">
        <v>175158019</v>
      </c>
      <c r="W63" s="15">
        <v>228654519</v>
      </c>
      <c r="X63" s="12">
        <v>156920895</v>
      </c>
      <c r="Y63" s="15">
        <v>221893604</v>
      </c>
      <c r="Z63" s="13">
        <v>22599955</v>
      </c>
      <c r="AA63" s="23">
        <v>3503099273</v>
      </c>
      <c r="AB63" s="23">
        <v>1358018737</v>
      </c>
      <c r="AC63" s="24">
        <v>1017219300</v>
      </c>
      <c r="AD63" s="24">
        <v>1127861236</v>
      </c>
      <c r="AE63" s="26">
        <f t="shared" si="4"/>
        <v>0.38766207611268</v>
      </c>
      <c r="AF63" s="26">
        <f t="shared" si="5"/>
        <v>0.29037695501243077</v>
      </c>
      <c r="AG63" s="26">
        <f t="shared" si="6"/>
        <v>0.32196096887488923</v>
      </c>
    </row>
    <row r="64" spans="1:33">
      <c r="A64" s="22">
        <v>40431</v>
      </c>
      <c r="B64" s="10">
        <v>63</v>
      </c>
      <c r="C64" s="11">
        <f t="shared" si="3"/>
        <v>3706232817</v>
      </c>
      <c r="D64" s="12">
        <v>303599792</v>
      </c>
      <c r="E64" s="13">
        <v>176081910</v>
      </c>
      <c r="F64" s="12">
        <v>152220329</v>
      </c>
      <c r="G64" s="13">
        <v>104037807</v>
      </c>
      <c r="H64" s="13">
        <v>175734802</v>
      </c>
      <c r="I64" s="13">
        <v>143422</v>
      </c>
      <c r="J64" s="15">
        <v>181645021</v>
      </c>
      <c r="K64" s="13">
        <v>243734663</v>
      </c>
      <c r="L64" s="15">
        <v>268474554</v>
      </c>
      <c r="M64" s="15">
        <v>125729502</v>
      </c>
      <c r="N64" s="15">
        <v>243771061</v>
      </c>
      <c r="O64" s="12">
        <v>101363480</v>
      </c>
      <c r="P64" s="13">
        <v>98764425</v>
      </c>
      <c r="Q64" s="12">
        <v>144460842</v>
      </c>
      <c r="R64" s="13">
        <v>127274572</v>
      </c>
      <c r="S64" s="12">
        <v>120622935</v>
      </c>
      <c r="T64" s="15">
        <v>156659040</v>
      </c>
      <c r="U64" s="13">
        <v>128748543</v>
      </c>
      <c r="V64" s="12">
        <v>180401455</v>
      </c>
      <c r="W64" s="15">
        <v>244361222</v>
      </c>
      <c r="X64" s="12">
        <v>171019833</v>
      </c>
      <c r="Y64" s="15">
        <v>234106324</v>
      </c>
      <c r="Z64" s="13">
        <v>23277283</v>
      </c>
      <c r="AA64" s="23">
        <v>3706232817</v>
      </c>
      <c r="AB64" s="23">
        <v>1454746724</v>
      </c>
      <c r="AC64" s="24">
        <v>1077797427</v>
      </c>
      <c r="AD64" s="24">
        <v>1173688666</v>
      </c>
      <c r="AE64" s="26">
        <f t="shared" si="4"/>
        <v>0.39251358342284087</v>
      </c>
      <c r="AF64" s="26">
        <f t="shared" si="5"/>
        <v>0.29080672483830095</v>
      </c>
      <c r="AG64" s="26">
        <f t="shared" si="6"/>
        <v>0.31667969173885818</v>
      </c>
    </row>
    <row r="65" spans="1:33">
      <c r="A65" s="22">
        <v>40461</v>
      </c>
      <c r="B65" s="10">
        <v>64</v>
      </c>
      <c r="C65" s="11">
        <f t="shared" si="3"/>
        <v>3831387215</v>
      </c>
      <c r="D65" s="12">
        <v>295628641</v>
      </c>
      <c r="E65" s="13">
        <v>181684327</v>
      </c>
      <c r="F65" s="12">
        <v>159264949</v>
      </c>
      <c r="G65" s="13">
        <v>111998733</v>
      </c>
      <c r="H65" s="13">
        <v>178613271</v>
      </c>
      <c r="I65" s="13">
        <v>142801</v>
      </c>
      <c r="J65" s="15">
        <v>181862612</v>
      </c>
      <c r="K65" s="13">
        <v>245950975</v>
      </c>
      <c r="L65" s="15">
        <v>299846656</v>
      </c>
      <c r="M65" s="15">
        <v>129677372</v>
      </c>
      <c r="N65" s="15">
        <v>247954171</v>
      </c>
      <c r="O65" s="12">
        <v>101673705</v>
      </c>
      <c r="P65" s="13">
        <v>102506278</v>
      </c>
      <c r="Q65" s="12">
        <v>146577643</v>
      </c>
      <c r="R65" s="13">
        <v>130018600</v>
      </c>
      <c r="S65" s="12">
        <v>125831499</v>
      </c>
      <c r="T65" s="15">
        <v>168170275</v>
      </c>
      <c r="U65" s="13">
        <v>133407753</v>
      </c>
      <c r="V65" s="12">
        <v>180624930</v>
      </c>
      <c r="W65" s="15">
        <v>254903545</v>
      </c>
      <c r="X65" s="12">
        <v>178263072</v>
      </c>
      <c r="Y65" s="15">
        <v>252403662</v>
      </c>
      <c r="Z65" s="13">
        <v>24381745</v>
      </c>
      <c r="AA65" s="23">
        <v>3831387215</v>
      </c>
      <c r="AB65" s="23">
        <v>1534818293</v>
      </c>
      <c r="AC65" s="24">
        <v>1108704483</v>
      </c>
      <c r="AD65" s="24">
        <v>1187864439</v>
      </c>
      <c r="AE65" s="26">
        <f t="shared" si="4"/>
        <v>0.40059075391574589</v>
      </c>
      <c r="AF65" s="26">
        <f t="shared" si="5"/>
        <v>0.28937416679248379</v>
      </c>
      <c r="AG65" s="26">
        <f t="shared" si="6"/>
        <v>0.31003507929177032</v>
      </c>
    </row>
    <row r="66" spans="1:33">
      <c r="A66" s="22">
        <v>40492</v>
      </c>
      <c r="B66" s="10">
        <v>65</v>
      </c>
      <c r="C66" s="11">
        <f t="shared" si="3"/>
        <v>4101675590</v>
      </c>
      <c r="D66" s="12">
        <v>328539189</v>
      </c>
      <c r="E66" s="13">
        <v>197459668</v>
      </c>
      <c r="F66" s="12">
        <v>168773086</v>
      </c>
      <c r="G66" s="13">
        <v>118271266</v>
      </c>
      <c r="H66" s="13">
        <v>189859885</v>
      </c>
      <c r="I66" s="13">
        <v>127816</v>
      </c>
      <c r="J66" s="15">
        <v>199857597</v>
      </c>
      <c r="K66" s="13">
        <v>265309009</v>
      </c>
      <c r="L66" s="15">
        <v>330652418</v>
      </c>
      <c r="M66" s="15">
        <v>141654543</v>
      </c>
      <c r="N66" s="15">
        <v>262751367</v>
      </c>
      <c r="O66" s="12">
        <v>110175663</v>
      </c>
      <c r="P66" s="13">
        <v>109727261</v>
      </c>
      <c r="Q66" s="12">
        <v>158536216</v>
      </c>
      <c r="R66" s="13">
        <v>140162078</v>
      </c>
      <c r="S66" s="12">
        <v>137418383</v>
      </c>
      <c r="T66" s="15">
        <v>178656891</v>
      </c>
      <c r="U66" s="13">
        <v>140863920</v>
      </c>
      <c r="V66" s="12">
        <v>188915172</v>
      </c>
      <c r="W66" s="15">
        <v>274845866</v>
      </c>
      <c r="X66" s="12">
        <v>188419165</v>
      </c>
      <c r="Y66" s="15">
        <v>246446026</v>
      </c>
      <c r="Z66" s="13">
        <v>24253105</v>
      </c>
      <c r="AA66" s="23">
        <v>4101675590</v>
      </c>
      <c r="AB66" s="23">
        <v>1634864708</v>
      </c>
      <c r="AC66" s="24">
        <v>1186034008</v>
      </c>
      <c r="AD66" s="24">
        <v>1280776874</v>
      </c>
      <c r="AE66" s="26">
        <f t="shared" si="4"/>
        <v>0.39858459600896912</v>
      </c>
      <c r="AF66" s="26">
        <f t="shared" si="5"/>
        <v>0.28915841391542135</v>
      </c>
      <c r="AG66" s="26">
        <f t="shared" si="6"/>
        <v>0.31225699007560959</v>
      </c>
    </row>
    <row r="67" spans="1:33">
      <c r="A67" s="22">
        <v>40522</v>
      </c>
      <c r="B67" s="10">
        <v>66</v>
      </c>
      <c r="C67" s="11">
        <f t="shared" ref="C67" si="7">SUM(D67:Z67)</f>
        <v>4095313261</v>
      </c>
      <c r="D67" s="12">
        <v>314443817</v>
      </c>
      <c r="E67" s="13">
        <v>199913717</v>
      </c>
      <c r="F67" s="12">
        <v>168463182</v>
      </c>
      <c r="G67" s="13">
        <v>118418931</v>
      </c>
      <c r="H67" s="13">
        <v>187331296</v>
      </c>
      <c r="I67" s="13">
        <v>123601</v>
      </c>
      <c r="J67" s="15">
        <v>194157950</v>
      </c>
      <c r="K67" s="13">
        <v>263237372</v>
      </c>
      <c r="L67" s="15">
        <v>348113919</v>
      </c>
      <c r="M67" s="15">
        <v>141604636</v>
      </c>
      <c r="N67" s="15">
        <v>259823191</v>
      </c>
      <c r="O67" s="12">
        <v>111362262</v>
      </c>
      <c r="P67" s="15">
        <v>109529818</v>
      </c>
      <c r="Q67" s="12">
        <v>157068163</v>
      </c>
      <c r="R67" s="13">
        <v>138265278</v>
      </c>
      <c r="S67" s="12">
        <v>137355629</v>
      </c>
      <c r="T67" s="15">
        <v>176909067</v>
      </c>
      <c r="U67" s="13">
        <v>143058110</v>
      </c>
      <c r="V67" s="12">
        <v>186837960</v>
      </c>
      <c r="W67" s="15">
        <v>274188379</v>
      </c>
      <c r="X67" s="12">
        <v>187087975</v>
      </c>
      <c r="Y67" s="15">
        <v>254019059</v>
      </c>
      <c r="Z67" s="13">
        <v>23999949</v>
      </c>
      <c r="AA67" s="23">
        <v>4095313261</v>
      </c>
      <c r="AB67" s="23">
        <v>1648816201</v>
      </c>
      <c r="AC67" s="24">
        <v>1183878072</v>
      </c>
      <c r="AD67" s="24">
        <v>1262618988</v>
      </c>
      <c r="AE67" s="26">
        <f t="shared" si="4"/>
        <v>0.40261051985981394</v>
      </c>
      <c r="AF67" s="26">
        <f t="shared" si="5"/>
        <v>0.28908120003277082</v>
      </c>
      <c r="AG67" s="26">
        <f t="shared" si="6"/>
        <v>0.30830828010741523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</vt:lpstr>
      <vt:lpstr>charts</vt:lpstr>
      <vt:lpstr>2yfiltered</vt:lpstr>
      <vt:lpstr>5 years</vt:lpstr>
    </vt:vector>
  </TitlesOfParts>
  <Company>Amdocs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Amdocs, Inc</dc:creator>
  <cp:lastModifiedBy> </cp:lastModifiedBy>
  <dcterms:created xsi:type="dcterms:W3CDTF">2011-02-23T19:21:01Z</dcterms:created>
  <dcterms:modified xsi:type="dcterms:W3CDTF">2011-03-11T22:10:13Z</dcterms:modified>
</cp:coreProperties>
</file>