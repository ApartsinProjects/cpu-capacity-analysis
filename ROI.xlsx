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40" windowHeight="10110"/>
  </bookViews>
  <sheets>
    <sheet name="Results" sheetId="1" r:id="rId1"/>
    <sheet name="TimeEvents" sheetId="2" r:id="rId2"/>
    <sheet name="CpuEvents" sheetId="3" r:id="rId3"/>
    <sheet name="FailureCpu" sheetId="4" r:id="rId4"/>
    <sheet name="CpuHour" sheetId="5" r:id="rId5"/>
  </sheets>
  <calcPr calcId="125725"/>
</workbook>
</file>

<file path=xl/calcChain.xml><?xml version="1.0" encoding="utf-8"?>
<calcChain xmlns="http://schemas.openxmlformats.org/spreadsheetml/2006/main">
  <c r="D9" i="1"/>
  <c r="D8"/>
  <c r="D6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B49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N25" i="5"/>
  <c r="N24"/>
  <c r="N23"/>
  <c r="N22"/>
  <c r="D28" i="2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D30" s="1"/>
  <c r="C5"/>
  <c r="B30"/>
  <c r="H22"/>
  <c r="J24" i="1" l="1"/>
  <c r="J27"/>
  <c r="J31"/>
  <c r="J35"/>
  <c r="J39"/>
  <c r="J43"/>
  <c r="J26"/>
  <c r="J30"/>
  <c r="J34"/>
  <c r="J38"/>
  <c r="J42"/>
  <c r="J46"/>
  <c r="J25"/>
  <c r="J29"/>
  <c r="J33"/>
  <c r="J28"/>
  <c r="J47"/>
  <c r="J32"/>
  <c r="J36"/>
  <c r="J40"/>
  <c r="J37"/>
  <c r="J41"/>
  <c r="J45"/>
  <c r="H49"/>
  <c r="J44"/>
  <c r="C30" i="2"/>
  <c r="J49" i="1" l="1"/>
  <c r="B18" s="1"/>
  <c r="B19" s="1"/>
  <c r="B20" s="1"/>
  <c r="B21" s="1"/>
  <c r="C10" i="4"/>
  <c r="D10" s="1"/>
  <c r="C11"/>
  <c r="D11" s="1"/>
  <c r="C12"/>
  <c r="C13"/>
  <c r="C14"/>
  <c r="D14" s="1"/>
  <c r="C15"/>
  <c r="C16"/>
  <c r="C17"/>
  <c r="C18"/>
  <c r="D18" s="1"/>
  <c r="C19"/>
  <c r="D19" s="1"/>
  <c r="C20"/>
  <c r="C21"/>
  <c r="D21" s="1"/>
  <c r="D20"/>
  <c r="D17"/>
  <c r="D16"/>
  <c r="D15"/>
  <c r="D13"/>
  <c r="D12"/>
</calcChain>
</file>

<file path=xl/sharedStrings.xml><?xml version="1.0" encoding="utf-8"?>
<sst xmlns="http://schemas.openxmlformats.org/spreadsheetml/2006/main" count="83" uniqueCount="75">
  <si>
    <t>Column1</t>
  </si>
  <si>
    <t>Average Operator Revenue per Billing Event</t>
  </si>
  <si>
    <t>Fine</t>
  </si>
  <si>
    <t>From</t>
  </si>
  <si>
    <t>To</t>
  </si>
  <si>
    <t>Revenue Share</t>
  </si>
  <si>
    <t>Probability of failure as function of CPU utilization</t>
  </si>
  <si>
    <t>Always succeded  if CPU below thershold</t>
  </si>
  <si>
    <t>Almost always will fail if CPU utilization is above this value</t>
  </si>
  <si>
    <t>Significant chance not being completed in time if CPU above this value</t>
  </si>
  <si>
    <t>CPU utilization %</t>
  </si>
  <si>
    <t>Value</t>
  </si>
  <si>
    <t>Last Digit</t>
  </si>
  <si>
    <t>Base</t>
  </si>
  <si>
    <t>Single Event Failure Probability</t>
  </si>
  <si>
    <t>CPU Utilization(%)</t>
  </si>
  <si>
    <t>Events per hr (M)</t>
  </si>
  <si>
    <t>CPU mean</t>
  </si>
  <si>
    <t>CPU-std</t>
  </si>
  <si>
    <t>Hour</t>
  </si>
  <si>
    <t>Total</t>
  </si>
  <si>
    <t>85%</t>
  </si>
  <si>
    <t>90%</t>
  </si>
  <si>
    <t>95%</t>
  </si>
  <si>
    <t>86%</t>
  </si>
  <si>
    <t>87%</t>
  </si>
  <si>
    <t>88%</t>
  </si>
  <si>
    <t>89%</t>
  </si>
  <si>
    <t>91%</t>
  </si>
  <si>
    <t>92%</t>
  </si>
  <si>
    <t>93%</t>
  </si>
  <si>
    <t>94%</t>
  </si>
  <si>
    <t>96%</t>
  </si>
  <si>
    <t>97%</t>
  </si>
  <si>
    <t>98%</t>
  </si>
  <si>
    <t>99%</t>
  </si>
  <si>
    <t>100%</t>
  </si>
  <si>
    <t>Fail Ratio</t>
  </si>
  <si>
    <t>Revenue Share Ratio</t>
  </si>
  <si>
    <t>Time/CPU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</si>
  <si>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</si>
  <si>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</si>
  <si>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</si>
  <si>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</si>
  <si>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</si>
  <si>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</si>
  <si>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</si>
  <si>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</si>
  <si>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</si>
  <si>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</si>
  <si>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</si>
  <si>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Average Events (in 100K)</t>
  </si>
  <si>
    <t>Min Events (in 100K</t>
  </si>
  <si>
    <t>Max Events(in 100K)</t>
  </si>
  <si>
    <t>Avg. Events(in 100K)</t>
  </si>
  <si>
    <t>Single Fail Probability</t>
  </si>
  <si>
    <t>Avg Events (in 100K)</t>
  </si>
  <si>
    <t>Success Ratio</t>
  </si>
  <si>
    <t>Annual Operator OLC Revenues (in M)</t>
  </si>
  <si>
    <t>Number Of Servers</t>
  </si>
  <si>
    <t>Expected Success Events</t>
  </si>
  <si>
    <t>Expected Failed Events</t>
  </si>
  <si>
    <t>Expected Daily Revenues Per Server</t>
  </si>
  <si>
    <t>Expected Monthly Revenues Per Server</t>
  </si>
  <si>
    <t>Expected Annual Revenues Per Server</t>
  </si>
  <si>
    <t>Expected Revenues From Customer</t>
  </si>
  <si>
    <t>Probability of High Levels of CPU utilization for each hour (combination of TimeEvents and CpuEvents)</t>
  </si>
  <si>
    <t>In red are paramters to play with</t>
  </si>
  <si>
    <t>Remark</t>
  </si>
  <si>
    <t>Parameter</t>
  </si>
  <si>
    <t>From Data</t>
  </si>
  <si>
    <t>From Data taking into account total number of events, failure probability and revenue share</t>
  </si>
  <si>
    <t>Annual Number of Events (in Billions)</t>
  </si>
  <si>
    <t>Average Daily Events per Server (In M)</t>
  </si>
  <si>
    <t>Events Success Ratio (from contract, used to calculate cost of failure)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</si>
</sst>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&quot;$&quot;#,##0.00"/>
    <numFmt numFmtId="165" formatCode="0.0%"/>
    <numFmt numFmtId="166" formatCode="&quot;$&quot;#,##0"/>
    <numFmt numFmtId="167" formatCode="0.0_);\(0.0\)"/>
    <numFmt numFmtId="168" formatCode="0.0000%"/>
    <numFmt numFmtId="169" formatCode="0.00000%"/>
    <numFmt numFmtId="170" formatCode="&quot;$&quot;#,##0.00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6337778862885"/>
        <bgColor theme="3" tint="0.599963377788628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0" fontId="0" fillId="0" borderId="1" xfId="0" applyNumberForma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168" fontId="0" fillId="0" borderId="0" xfId="0" applyNumberFormat="1" applyAlignment="1">
      <alignment horizontal="center" vertical="center"/>
    </xf>
    <xf numFmtId="0" fontId="3" fillId="2" borderId="0" xfId="0" applyFont="1" applyFill="1" applyBorder="1" applyAlignment="1">
      <alignment horizontal="center" wrapText="1"/>
    </xf>
    <xf numFmtId="166" fontId="2" fillId="0" borderId="0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6" fontId="0" fillId="0" borderId="0" xfId="0" applyNumberFormat="1"/>
    <xf numFmtId="170" fontId="0" fillId="0" borderId="0" xfId="0" applyNumberFormat="1" applyAlignment="1">
      <alignment horizontal="center" vertical="center"/>
    </xf>
    <xf numFmtId="166" fontId="3" fillId="0" borderId="0" xfId="0" applyNumberFormat="1" applyFont="1"/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6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64">
    <dxf>
      <numFmt numFmtId="168" formatCode="0.0000%"/>
      <alignment horizontal="center" vertical="center" textRotation="0" wrapText="0" indent="0" relativeIndent="0" justifyLastLine="0" shrinkToFit="0" mergeCell="0" readingOrder="0"/>
    </dxf>
    <dxf>
      <numFmt numFmtId="168" formatCode="0.0000%"/>
      <alignment horizontal="center" vertical="center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center" textRotation="0" wrapText="0" indent="0" relativeIndent="0" justifyLastLine="0" shrinkToFit="0" mergeCell="0" readingOrder="0"/>
    </dxf>
    <dxf>
      <numFmt numFmtId="165" formatCode="0.0%"/>
      <alignment horizontal="center" textRotation="0" wrapText="0" indent="0" relativeIndent="255" justifyLastLine="0" shrinkToFit="0" mergeCell="0" readingOrder="0"/>
    </dxf>
    <dxf>
      <numFmt numFmtId="165" formatCode="0.0%"/>
      <alignment horizontal="center" textRotation="0" wrapText="0" indent="0" relativeIndent="255" justifyLastLine="0" shrinkToFit="0" mergeCell="0" readingOrder="0"/>
    </dxf>
    <dxf>
      <alignment horizont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14" formatCode="0.00%"/>
      <alignment horizontal="center" vertical="center" textRotation="0" wrapText="0" indent="0" relativeIndent="255" justifyLastLine="0" shrinkToFit="0" mergeCell="0" readingOrder="0"/>
    </dxf>
    <dxf>
      <numFmt numFmtId="14" formatCode="0.00%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0.0_);\(0.0\)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TimeEvents!$B$4</c:f>
              <c:strCache>
                <c:ptCount val="1"/>
                <c:pt idx="0">
                  <c:v>Average Events (in 100K)</c:v>
                </c:pt>
              </c:strCache>
            </c:strRef>
          </c:tx>
          <c:marker>
            <c:symbol val="none"/>
          </c:marker>
          <c:xVal>
            <c:numRef>
              <c:f>TimeEvents!$A$5:$A$28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TimeEvents!$B$5:$B$28</c:f>
              <c:numCache>
                <c:formatCode>0.0_);\(0.0\)</c:formatCode>
                <c:ptCount val="24"/>
                <c:pt idx="0">
                  <c:v>5.9</c:v>
                </c:pt>
                <c:pt idx="1">
                  <c:v>3.3</c:v>
                </c:pt>
                <c:pt idx="2">
                  <c:v>2.1</c:v>
                </c:pt>
                <c:pt idx="3">
                  <c:v>1.9</c:v>
                </c:pt>
                <c:pt idx="4">
                  <c:v>3.9</c:v>
                </c:pt>
                <c:pt idx="5">
                  <c:v>10.4</c:v>
                </c:pt>
                <c:pt idx="6">
                  <c:v>15.3</c:v>
                </c:pt>
                <c:pt idx="7">
                  <c:v>18.3</c:v>
                </c:pt>
                <c:pt idx="8">
                  <c:v>21.2</c:v>
                </c:pt>
                <c:pt idx="9">
                  <c:v>23.6</c:v>
                </c:pt>
                <c:pt idx="10">
                  <c:v>25</c:v>
                </c:pt>
                <c:pt idx="11">
                  <c:v>25.8</c:v>
                </c:pt>
                <c:pt idx="12">
                  <c:v>28.8</c:v>
                </c:pt>
                <c:pt idx="13">
                  <c:v>28.2</c:v>
                </c:pt>
                <c:pt idx="14">
                  <c:v>28.6</c:v>
                </c:pt>
                <c:pt idx="15">
                  <c:v>28.5</c:v>
                </c:pt>
                <c:pt idx="16">
                  <c:v>29.4</c:v>
                </c:pt>
                <c:pt idx="17">
                  <c:v>28.9</c:v>
                </c:pt>
                <c:pt idx="18">
                  <c:v>38.9</c:v>
                </c:pt>
                <c:pt idx="19">
                  <c:v>46.7</c:v>
                </c:pt>
                <c:pt idx="20">
                  <c:v>45.3</c:v>
                </c:pt>
                <c:pt idx="21">
                  <c:v>35.5</c:v>
                </c:pt>
                <c:pt idx="22">
                  <c:v>21.7</c:v>
                </c:pt>
                <c:pt idx="23">
                  <c:v>10.8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TimeEvents!$C$4</c:f>
              <c:strCache>
                <c:ptCount val="1"/>
                <c:pt idx="0">
                  <c:v>Min Events (in 100K</c:v>
                </c:pt>
              </c:strCache>
            </c:strRef>
          </c:tx>
          <c:marker>
            <c:symbol val="none"/>
          </c:marker>
          <c:xVal>
            <c:numRef>
              <c:f>TimeEvents!$A$5:$A$28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TimeEvents!$C$5:$C$28</c:f>
              <c:numCache>
                <c:formatCode>0.0_);\(0.0\)</c:formatCode>
                <c:ptCount val="24"/>
                <c:pt idx="0">
                  <c:v>3.4710084397017766</c:v>
                </c:pt>
                <c:pt idx="1">
                  <c:v>1.4834097875415049</c:v>
                </c:pt>
                <c:pt idx="2">
                  <c:v>0.65086232538105615</c:v>
                </c:pt>
                <c:pt idx="3">
                  <c:v>0.5215951247909778</c:v>
                </c:pt>
                <c:pt idx="4">
                  <c:v>1.9251582341868501</c:v>
                </c:pt>
                <c:pt idx="5">
                  <c:v>7.1750969006805807</c:v>
                </c:pt>
                <c:pt idx="6">
                  <c:v>11.388478556878411</c:v>
                </c:pt>
                <c:pt idx="7">
                  <c:v>14.022150072758514</c:v>
                </c:pt>
                <c:pt idx="8">
                  <c:v>16.595654226711464</c:v>
                </c:pt>
                <c:pt idx="9">
                  <c:v>18.742016879403554</c:v>
                </c:pt>
                <c:pt idx="10">
                  <c:v>20</c:v>
                </c:pt>
                <c:pt idx="11">
                  <c:v>20.720629960319883</c:v>
                </c:pt>
                <c:pt idx="12">
                  <c:v>23.433436854000504</c:v>
                </c:pt>
                <c:pt idx="13">
                  <c:v>22.889632781059298</c:v>
                </c:pt>
                <c:pt idx="14">
                  <c:v>23.252103217151628</c:v>
                </c:pt>
                <c:pt idx="15">
                  <c:v>23.161460873984346</c:v>
                </c:pt>
                <c:pt idx="16">
                  <c:v>23.977823315309614</c:v>
                </c:pt>
                <c:pt idx="17">
                  <c:v>23.524127977713754</c:v>
                </c:pt>
                <c:pt idx="18">
                  <c:v>32.663013548194925</c:v>
                </c:pt>
                <c:pt idx="19">
                  <c:v>39.866260174692044</c:v>
                </c:pt>
                <c:pt idx="20">
                  <c:v>38.569472531814462</c:v>
                </c:pt>
                <c:pt idx="21">
                  <c:v>29.541812356093509</c:v>
                </c:pt>
                <c:pt idx="22">
                  <c:v>17.041674120459152</c:v>
                </c:pt>
                <c:pt idx="23">
                  <c:v>7.5136646549690038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TimeEvents!$D$4</c:f>
              <c:strCache>
                <c:ptCount val="1"/>
                <c:pt idx="0">
                  <c:v>Max Events(in 100K)</c:v>
                </c:pt>
              </c:strCache>
            </c:strRef>
          </c:tx>
          <c:marker>
            <c:symbol val="none"/>
          </c:marker>
          <c:xVal>
            <c:numRef>
              <c:f>TimeEvents!$A$5:$A$28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TimeEvents!$D$5:$D$28</c:f>
              <c:numCache>
                <c:formatCode>0.0_);\(0.0\)</c:formatCode>
                <c:ptCount val="24"/>
                <c:pt idx="0">
                  <c:v>8.3289915602982241</c:v>
                </c:pt>
                <c:pt idx="1">
                  <c:v>5.1165902124584948</c:v>
                </c:pt>
                <c:pt idx="2">
                  <c:v>3.5491376746189438</c:v>
                </c:pt>
                <c:pt idx="3">
                  <c:v>3.2784048752090218</c:v>
                </c:pt>
                <c:pt idx="4">
                  <c:v>5.8748417658131498</c:v>
                </c:pt>
                <c:pt idx="5">
                  <c:v>13.62490309931942</c:v>
                </c:pt>
                <c:pt idx="6">
                  <c:v>19.21152144312159</c:v>
                </c:pt>
                <c:pt idx="7">
                  <c:v>22.577849927241488</c:v>
                </c:pt>
                <c:pt idx="8">
                  <c:v>25.804345773288535</c:v>
                </c:pt>
                <c:pt idx="9">
                  <c:v>28.457983120596449</c:v>
                </c:pt>
                <c:pt idx="10">
                  <c:v>30</c:v>
                </c:pt>
                <c:pt idx="11">
                  <c:v>30.879370039680119</c:v>
                </c:pt>
                <c:pt idx="12">
                  <c:v>34.166563145999497</c:v>
                </c:pt>
                <c:pt idx="13">
                  <c:v>33.510367218940701</c:v>
                </c:pt>
                <c:pt idx="14">
                  <c:v>33.947896782848375</c:v>
                </c:pt>
                <c:pt idx="15">
                  <c:v>33.838539126015654</c:v>
                </c:pt>
                <c:pt idx="16">
                  <c:v>34.822176684690383</c:v>
                </c:pt>
                <c:pt idx="17">
                  <c:v>34.275872022286244</c:v>
                </c:pt>
                <c:pt idx="18">
                  <c:v>45.136986451805072</c:v>
                </c:pt>
                <c:pt idx="19">
                  <c:v>53.533739825307961</c:v>
                </c:pt>
                <c:pt idx="20">
                  <c:v>52.030527468185532</c:v>
                </c:pt>
                <c:pt idx="21">
                  <c:v>41.458187643906491</c:v>
                </c:pt>
                <c:pt idx="22">
                  <c:v>26.358325879540846</c:v>
                </c:pt>
                <c:pt idx="23">
                  <c:v>14.086335345030998</c:v>
                </c:pt>
              </c:numCache>
            </c:numRef>
          </c:yVal>
          <c:smooth val="1"/>
        </c:ser>
        <c:axId val="92786688"/>
        <c:axId val="92788608"/>
      </c:scatterChart>
      <c:valAx>
        <c:axId val="92786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92788608"/>
        <c:crosses val="autoZero"/>
        <c:crossBetween val="midCat"/>
      </c:valAx>
      <c:valAx>
        <c:axId val="9278860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Averge Events Per Hours</a:t>
                </a:r>
              </a:p>
            </c:rich>
          </c:tx>
          <c:layout/>
        </c:title>
        <c:numFmt formatCode="0.0_);\(0.0\)" sourceLinked="1"/>
        <c:majorTickMark val="none"/>
        <c:tickLblPos val="nextTo"/>
        <c:crossAx val="927866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view3D>
      <c:perspective val="30"/>
    </c:view3D>
    <c:plotArea>
      <c:layout/>
      <c:surface3DChart>
        <c:ser>
          <c:idx val="2"/>
          <c:order val="0"/>
          <c:tx>
            <c:strRef>
              <c:f>CpuEvents!$D$3</c:f>
              <c:strCache>
                <c:ptCount val="1"/>
                <c:pt idx="0">
                  <c:v>85%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CpuEvents!$D$4:$D$36</c:f>
              <c:numCache>
                <c:formatCode>General</c:formatCode>
                <c:ptCount val="33"/>
                <c:pt idx="0">
                  <c:v>8.2556233878925659E-11</c:v>
                </c:pt>
                <c:pt idx="1">
                  <c:v>2.2589760824029525E-10</c:v>
                </c:pt>
                <c:pt idx="2">
                  <c:v>5.9666078925891389E-10</c:v>
                </c:pt>
                <c:pt idx="3">
                  <c:v>1.5310059106521933E-9</c:v>
                </c:pt>
                <c:pt idx="4">
                  <c:v>3.8384644211023396E-9</c:v>
                </c:pt>
                <c:pt idx="5">
                  <c:v>9.4510625331522473E-9</c:v>
                </c:pt>
                <c:pt idx="6">
                  <c:v>2.2954115208950166E-8</c:v>
                </c:pt>
                <c:pt idx="7">
                  <c:v>5.5194951110562813E-8</c:v>
                </c:pt>
                <c:pt idx="8">
                  <c:v>1.3178514099318321E-7</c:v>
                </c:pt>
                <c:pt idx="9">
                  <c:v>3.130931724318486E-7</c:v>
                </c:pt>
                <c:pt idx="10">
                  <c:v>7.410470310377727E-7</c:v>
                </c:pt>
                <c:pt idx="11">
                  <c:v>1.7477870400449288E-6</c:v>
                </c:pt>
                <c:pt idx="12">
                  <c:v>4.1044284068177569E-6</c:v>
                </c:pt>
                <c:pt idx="13">
                  <c:v>9.5785011232091627E-6</c:v>
                </c:pt>
                <c:pt idx="14">
                  <c:v>2.2143868786619944E-5</c:v>
                </c:pt>
                <c:pt idx="15">
                  <c:v>5.0487711002669514E-5</c:v>
                </c:pt>
                <c:pt idx="16">
                  <c:v>1.1286526945313027E-4</c:v>
                </c:pt>
                <c:pt idx="17">
                  <c:v>2.4559262913892264E-4</c:v>
                </c:pt>
                <c:pt idx="18">
                  <c:v>5.1562876627003621E-4</c:v>
                </c:pt>
                <c:pt idx="19">
                  <c:v>1.0338220313090016E-3</c:v>
                </c:pt>
                <c:pt idx="20">
                  <c:v>1.9560958625207668E-3</c:v>
                </c:pt>
                <c:pt idx="21">
                  <c:v>3.4463175252150398E-3</c:v>
                </c:pt>
                <c:pt idx="22">
                  <c:v>5.5703680491437568E-3</c:v>
                </c:pt>
                <c:pt idx="23">
                  <c:v>8.1266766833335471E-3</c:v>
                </c:pt>
                <c:pt idx="24">
                  <c:v>1.0515443696702084E-2</c:v>
                </c:pt>
                <c:pt idx="25">
                  <c:v>1.1844915983096444E-2</c:v>
                </c:pt>
                <c:pt idx="26">
                  <c:v>1.1390390237953218E-2</c:v>
                </c:pt>
                <c:pt idx="27">
                  <c:v>9.1637822063423465E-3</c:v>
                </c:pt>
                <c:pt idx="28">
                  <c:v>6.0423470010918228E-3</c:v>
                </c:pt>
                <c:pt idx="29">
                  <c:v>3.1986907891689087E-3</c:v>
                </c:pt>
                <c:pt idx="30">
                  <c:v>1.3321136036632496E-3</c:v>
                </c:pt>
                <c:pt idx="31">
                  <c:v>4.2792151296703777E-4</c:v>
                </c:pt>
                <c:pt idx="32">
                  <c:v>1.0407368928334932E-4</c:v>
                </c:pt>
              </c:numCache>
            </c:numRef>
          </c:val>
        </c:ser>
        <c:ser>
          <c:idx val="3"/>
          <c:order val="1"/>
          <c:tx>
            <c:strRef>
              <c:f>CpuEvents!$E$3</c:f>
              <c:strCache>
                <c:ptCount val="1"/>
                <c:pt idx="0">
                  <c:v>86%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CpuEvents!$E$4:$E$36</c:f>
              <c:numCache>
                <c:formatCode>General</c:formatCode>
                <c:ptCount val="33"/>
                <c:pt idx="0">
                  <c:v>3.1820157438792477E-11</c:v>
                </c:pt>
                <c:pt idx="1">
                  <c:v>8.9535212333643349E-11</c:v>
                </c:pt>
                <c:pt idx="2">
                  <c:v>2.4306396384009448E-10</c:v>
                </c:pt>
                <c:pt idx="3">
                  <c:v>6.4086117419336207E-10</c:v>
                </c:pt>
                <c:pt idx="4">
                  <c:v>1.6508990476400023E-9</c:v>
                </c:pt>
                <c:pt idx="5">
                  <c:v>4.1773093073970611E-9</c:v>
                </c:pt>
                <c:pt idx="6">
                  <c:v>1.0430331395556576E-8</c:v>
                </c:pt>
                <c:pt idx="7">
                  <c:v>2.5799680799701659E-8</c:v>
                </c:pt>
                <c:pt idx="8">
                  <c:v>6.3415787858688926E-8</c:v>
                </c:pt>
                <c:pt idx="9">
                  <c:v>1.5525170632969639E-7</c:v>
                </c:pt>
                <c:pt idx="10">
                  <c:v>3.7907703611334177E-7</c:v>
                </c:pt>
                <c:pt idx="11">
                  <c:v>9.2350742537386294E-7</c:v>
                </c:pt>
                <c:pt idx="12">
                  <c:v>2.2432728347398199E-6</c:v>
                </c:pt>
                <c:pt idx="13">
                  <c:v>5.4232398527123244E-6</c:v>
                </c:pt>
                <c:pt idx="14">
                  <c:v>1.3008808884176968E-5</c:v>
                </c:pt>
                <c:pt idx="15">
                  <c:v>3.0825386504362156E-5</c:v>
                </c:pt>
                <c:pt idx="16">
                  <c:v>7.1738195138086432E-5</c:v>
                </c:pt>
                <c:pt idx="17">
                  <c:v>1.627795296956336E-4</c:v>
                </c:pt>
                <c:pt idx="18">
                  <c:v>3.5696592862714181E-4</c:v>
                </c:pt>
                <c:pt idx="19">
                  <c:v>7.4872003060714608E-4</c:v>
                </c:pt>
                <c:pt idx="20">
                  <c:v>1.48415193180787E-3</c:v>
                </c:pt>
                <c:pt idx="21">
                  <c:v>2.7429847735704321E-3</c:v>
                </c:pt>
                <c:pt idx="22">
                  <c:v>4.6560221317912378E-3</c:v>
                </c:pt>
                <c:pt idx="23">
                  <c:v>7.1398877598183906E-3</c:v>
                </c:pt>
                <c:pt idx="24">
                  <c:v>9.7167800439573199E-3</c:v>
                </c:pt>
                <c:pt idx="25">
                  <c:v>1.1515477190576448E-2</c:v>
                </c:pt>
                <c:pt idx="26">
                  <c:v>1.1650338042520334E-2</c:v>
                </c:pt>
                <c:pt idx="27">
                  <c:v>9.8574259442927286E-3</c:v>
                </c:pt>
                <c:pt idx="28">
                  <c:v>6.8305653219953568E-3</c:v>
                </c:pt>
                <c:pt idx="29">
                  <c:v>3.7956527955670663E-3</c:v>
                </c:pt>
                <c:pt idx="30">
                  <c:v>1.6566986844699315E-3</c:v>
                </c:pt>
                <c:pt idx="31">
                  <c:v>5.5667608989546226E-4</c:v>
                </c:pt>
                <c:pt idx="32">
                  <c:v>1.4128307475056898E-4</c:v>
                </c:pt>
              </c:numCache>
            </c:numRef>
          </c:val>
        </c:ser>
        <c:ser>
          <c:idx val="4"/>
          <c:order val="2"/>
          <c:tx>
            <c:strRef>
              <c:f>CpuEvents!$F$3</c:f>
              <c:strCache>
                <c:ptCount val="1"/>
                <c:pt idx="0">
                  <c:v>87%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CpuEvents!$F$4:$F$36</c:f>
              <c:numCache>
                <c:formatCode>General</c:formatCode>
                <c:ptCount val="33"/>
                <c:pt idx="0">
                  <c:v>1.1981603370569059E-11</c:v>
                </c:pt>
                <c:pt idx="1">
                  <c:v>3.4673008027214726E-11</c:v>
                </c:pt>
                <c:pt idx="2">
                  <c:v>9.6756617147680771E-11</c:v>
                </c:pt>
                <c:pt idx="3">
                  <c:v>2.6216066973290813E-10</c:v>
                </c:pt>
                <c:pt idx="4">
                  <c:v>6.9398296867144962E-10</c:v>
                </c:pt>
                <c:pt idx="5">
                  <c:v>1.8047937966765803E-9</c:v>
                </c:pt>
                <c:pt idx="6">
                  <c:v>4.6334299922622091E-9</c:v>
                </c:pt>
                <c:pt idx="7">
                  <c:v>1.1791038171330618E-8</c:v>
                </c:pt>
                <c:pt idx="8">
                  <c:v>2.9840912341624932E-8</c:v>
                </c:pt>
                <c:pt idx="9">
                  <c:v>7.5292307100015558E-8</c:v>
                </c:pt>
                <c:pt idx="10">
                  <c:v>1.8968645821514112E-7</c:v>
                </c:pt>
                <c:pt idx="11">
                  <c:v>4.7742424639262502E-7</c:v>
                </c:pt>
                <c:pt idx="12">
                  <c:v>1.1998290325494411E-6</c:v>
                </c:pt>
                <c:pt idx="13">
                  <c:v>3.0056288133604751E-6</c:v>
                </c:pt>
                <c:pt idx="14">
                  <c:v>7.4826785800987718E-6</c:v>
                </c:pt>
                <c:pt idx="15">
                  <c:v>1.8433208073844993E-5</c:v>
                </c:pt>
                <c:pt idx="16">
                  <c:v>4.4674399007331908E-5</c:v>
                </c:pt>
                <c:pt idx="17">
                  <c:v>1.05746557180953E-4</c:v>
                </c:pt>
                <c:pt idx="18">
                  <c:v>2.4231367640626189E-4</c:v>
                </c:pt>
                <c:pt idx="19">
                  <c:v>5.3192474703051104E-4</c:v>
                </c:pt>
                <c:pt idx="20">
                  <c:v>1.1051857576268374E-3</c:v>
                </c:pt>
                <c:pt idx="21">
                  <c:v>2.1438171795283116E-3</c:v>
                </c:pt>
                <c:pt idx="22">
                  <c:v>3.8237152324368459E-3</c:v>
                </c:pt>
                <c:pt idx="23">
                  <c:v>6.1669046295177972E-3</c:v>
                </c:pt>
                <c:pt idx="24">
                  <c:v>8.832564129656972E-3</c:v>
                </c:pt>
                <c:pt idx="25">
                  <c:v>1.1020132723240459E-2</c:v>
                </c:pt>
                <c:pt idx="26">
                  <c:v>1.1737900397145984E-2</c:v>
                </c:pt>
                <c:pt idx="27">
                  <c:v>1.0452292575140533E-2</c:v>
                </c:pt>
                <c:pt idx="28">
                  <c:v>7.6169792791059157E-3</c:v>
                </c:pt>
                <c:pt idx="29">
                  <c:v>4.4462963937509908E-3</c:v>
                </c:pt>
                <c:pt idx="30">
                  <c:v>2.0354984758566611E-3</c:v>
                </c:pt>
                <c:pt idx="31">
                  <c:v>7.1597174706089191E-4</c:v>
                </c:pt>
                <c:pt idx="32">
                  <c:v>1.8976866548004118E-4</c:v>
                </c:pt>
              </c:numCache>
            </c:numRef>
          </c:val>
        </c:ser>
        <c:ser>
          <c:idx val="5"/>
          <c:order val="3"/>
          <c:tx>
            <c:strRef>
              <c:f>CpuEvents!$G$3</c:f>
              <c:strCache>
                <c:ptCount val="1"/>
                <c:pt idx="0">
                  <c:v>88%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CpuEvents!$G$4:$G$36</c:f>
              <c:numCache>
                <c:formatCode>General</c:formatCode>
                <c:ptCount val="33"/>
                <c:pt idx="0">
                  <c:v>4.407453278886055E-12</c:v>
                </c:pt>
                <c:pt idx="1">
                  <c:v>1.3119116524031866E-11</c:v>
                </c:pt>
                <c:pt idx="2">
                  <c:v>3.7636375948269288E-11</c:v>
                </c:pt>
                <c:pt idx="3">
                  <c:v>1.0480635022991299E-10</c:v>
                </c:pt>
                <c:pt idx="4">
                  <c:v>2.8512966617718677E-10</c:v>
                </c:pt>
                <c:pt idx="5">
                  <c:v>7.6220800310882421E-10</c:v>
                </c:pt>
                <c:pt idx="6">
                  <c:v>2.0122134711794239E-9</c:v>
                </c:pt>
                <c:pt idx="7">
                  <c:v>5.2688094289637651E-9</c:v>
                </c:pt>
                <c:pt idx="8">
                  <c:v>1.3731265332075934E-8</c:v>
                </c:pt>
                <c:pt idx="9">
                  <c:v>3.571217209272169E-8</c:v>
                </c:pt>
                <c:pt idx="10">
                  <c:v>9.2847951262384092E-8</c:v>
                </c:pt>
                <c:pt idx="11">
                  <c:v>2.4147976989573821E-7</c:v>
                </c:pt>
                <c:pt idx="12">
                  <c:v>6.2800701134459289E-7</c:v>
                </c:pt>
                <c:pt idx="13">
                  <c:v>1.6305238428230456E-6</c:v>
                </c:pt>
                <c:pt idx="14">
                  <c:v>4.214171157886462E-6</c:v>
                </c:pt>
                <c:pt idx="15">
                  <c:v>1.0795999738930242E-5</c:v>
                </c:pt>
                <c:pt idx="16">
                  <c:v>2.7257444776593208E-5</c:v>
                </c:pt>
                <c:pt idx="17">
                  <c:v>6.7330938930328636E-5</c:v>
                </c:pt>
                <c:pt idx="18">
                  <c:v>1.612837530037464E-4</c:v>
                </c:pt>
                <c:pt idx="19">
                  <c:v>3.7071316911000242E-4</c:v>
                </c:pt>
                <c:pt idx="20">
                  <c:v>8.0772009582591312E-4</c:v>
                </c:pt>
                <c:pt idx="21">
                  <c:v>1.6453122777486139E-3</c:v>
                </c:pt>
                <c:pt idx="22">
                  <c:v>3.0852858438899251E-3</c:v>
                </c:pt>
                <c:pt idx="23">
                  <c:v>5.2364929647857102E-3</c:v>
                </c:pt>
                <c:pt idx="24">
                  <c:v>7.8980682973373434E-3</c:v>
                </c:pt>
                <c:pt idx="25">
                  <c:v>1.0381178090461653E-2</c:v>
                </c:pt>
                <c:pt idx="26">
                  <c:v>1.1649151209031294E-2</c:v>
                </c:pt>
                <c:pt idx="27">
                  <c:v>1.0924935033029637E-2</c:v>
                </c:pt>
                <c:pt idx="28">
                  <c:v>8.3788427155014611E-3</c:v>
                </c:pt>
                <c:pt idx="29">
                  <c:v>5.1417156167707428E-3</c:v>
                </c:pt>
                <c:pt idx="30">
                  <c:v>2.4707171271263206E-3</c:v>
                </c:pt>
                <c:pt idx="31">
                  <c:v>9.1042478244410599E-4</c:v>
                </c:pt>
                <c:pt idx="32">
                  <c:v>2.5219939870532796E-4</c:v>
                </c:pt>
              </c:numCache>
            </c:numRef>
          </c:val>
        </c:ser>
        <c:ser>
          <c:idx val="6"/>
          <c:order val="4"/>
          <c:tx>
            <c:strRef>
              <c:f>CpuEvents!$H$3</c:f>
              <c:strCache>
                <c:ptCount val="1"/>
                <c:pt idx="0">
                  <c:v>89%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CpuEvents!$H$4:$H$36</c:f>
              <c:numCache>
                <c:formatCode>General</c:formatCode>
                <c:ptCount val="33"/>
                <c:pt idx="0">
                  <c:v>1.583874106904295E-12</c:v>
                </c:pt>
                <c:pt idx="1">
                  <c:v>4.8499032602257671E-12</c:v>
                </c:pt>
                <c:pt idx="2">
                  <c:v>1.430546378645242E-11</c:v>
                </c:pt>
                <c:pt idx="3">
                  <c:v>4.0947193408131677E-11</c:v>
                </c:pt>
                <c:pt idx="4">
                  <c:v>1.1449889533680464E-10</c:v>
                </c:pt>
                <c:pt idx="5">
                  <c:v>3.1465481247769898E-10</c:v>
                </c:pt>
                <c:pt idx="6">
                  <c:v>8.5430401417777641E-10</c:v>
                </c:pt>
                <c:pt idx="7">
                  <c:v>2.301948846364537E-9</c:v>
                </c:pt>
                <c:pt idx="8">
                  <c:v>6.1786383997907423E-9</c:v>
                </c:pt>
                <c:pt idx="9">
                  <c:v>1.6566599164339516E-8</c:v>
                </c:pt>
                <c:pt idx="10">
                  <c:v>4.4456520590356505E-8</c:v>
                </c:pt>
                <c:pt idx="11">
                  <c:v>1.1950036671055438E-7</c:v>
                </c:pt>
                <c:pt idx="12">
                  <c:v>3.2167512256375463E-7</c:v>
                </c:pt>
                <c:pt idx="13">
                  <c:v>8.6583320556633946E-7</c:v>
                </c:pt>
                <c:pt idx="14">
                  <c:v>2.3238215425494263E-6</c:v>
                </c:pt>
                <c:pt idx="15">
                  <c:v>6.1929040396072095E-6</c:v>
                </c:pt>
                <c:pt idx="16">
                  <c:v>1.6294075052430217E-5</c:v>
                </c:pt>
                <c:pt idx="17">
                  <c:v>4.2018939877854279E-5</c:v>
                </c:pt>
                <c:pt idx="18">
                  <c:v>1.0526035919568981E-4</c:v>
                </c:pt>
                <c:pt idx="19">
                  <c:v>2.5344452101973568E-4</c:v>
                </c:pt>
                <c:pt idx="20">
                  <c:v>5.7936891115770996E-4</c:v>
                </c:pt>
                <c:pt idx="21">
                  <c:v>1.2399528522704789E-3</c:v>
                </c:pt>
                <c:pt idx="22">
                  <c:v>2.4459334260014697E-3</c:v>
                </c:pt>
                <c:pt idx="23">
                  <c:v>4.371306526733342E-3</c:v>
                </c:pt>
                <c:pt idx="24">
                  <c:v>6.9474371802343412E-3</c:v>
                </c:pt>
                <c:pt idx="25">
                  <c:v>9.6263442537433686E-3</c:v>
                </c:pt>
                <c:pt idx="26">
                  <c:v>1.1388069651552061E-2</c:v>
                </c:pt>
                <c:pt idx="27">
                  <c:v>1.1256035104190527E-2</c:v>
                </c:pt>
                <c:pt idx="28">
                  <c:v>9.0920212209406933E-3</c:v>
                </c:pt>
                <c:pt idx="29">
                  <c:v>5.8696932722581202E-3</c:v>
                </c:pt>
                <c:pt idx="30">
                  <c:v>2.9627858387640256E-3</c:v>
                </c:pt>
                <c:pt idx="31">
                  <c:v>1.1445825652924915E-3</c:v>
                </c:pt>
                <c:pt idx="32">
                  <c:v>3.3162614906853482E-4</c:v>
                </c:pt>
              </c:numCache>
            </c:numRef>
          </c:val>
        </c:ser>
        <c:ser>
          <c:idx val="7"/>
          <c:order val="5"/>
          <c:tx>
            <c:strRef>
              <c:f>CpuEvents!$I$3</c:f>
              <c:strCache>
                <c:ptCount val="1"/>
                <c:pt idx="0">
                  <c:v>90%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CpuEvents!$I$4:$I$36</c:f>
              <c:numCache>
                <c:formatCode>General</c:formatCode>
                <c:ptCount val="33"/>
                <c:pt idx="0">
                  <c:v>5.5604989653608332E-13</c:v>
                </c:pt>
                <c:pt idx="1">
                  <c:v>1.7517695761434557E-12</c:v>
                </c:pt>
                <c:pt idx="2">
                  <c:v>5.3132849635296135E-12</c:v>
                </c:pt>
                <c:pt idx="3">
                  <c:v>1.5634254061479151E-11</c:v>
                </c:pt>
                <c:pt idx="4">
                  <c:v>4.4939215390351864E-11</c:v>
                </c:pt>
                <c:pt idx="5">
                  <c:v>1.2697265809063141E-10</c:v>
                </c:pt>
                <c:pt idx="6">
                  <c:v>3.5458290205598897E-10</c:v>
                </c:pt>
                <c:pt idx="7">
                  <c:v>9.8333518550066574E-10</c:v>
                </c:pt>
                <c:pt idx="8">
                  <c:v>2.7186841604885985E-9</c:v>
                </c:pt>
                <c:pt idx="9">
                  <c:v>7.5162618413370938E-9</c:v>
                </c:pt>
                <c:pt idx="10">
                  <c:v>2.0822159079183109E-8</c:v>
                </c:pt>
                <c:pt idx="11">
                  <c:v>5.7858867031503401E-8</c:v>
                </c:pt>
                <c:pt idx="12">
                  <c:v>1.6124205128646854E-7</c:v>
                </c:pt>
                <c:pt idx="13">
                  <c:v>4.5004567903760252E-7</c:v>
                </c:pt>
                <c:pt idx="14">
                  <c:v>1.2546682249588891E-6</c:v>
                </c:pt>
                <c:pt idx="15">
                  <c:v>3.4793280714331334E-6</c:v>
                </c:pt>
                <c:pt idx="16">
                  <c:v>9.5431650113479372E-6</c:v>
                </c:pt>
                <c:pt idx="17">
                  <c:v>2.5701442443549469E-5</c:v>
                </c:pt>
                <c:pt idx="18">
                  <c:v>6.7359771876876655E-5</c:v>
                </c:pt>
                <c:pt idx="19">
                  <c:v>1.6997493145192249E-4</c:v>
                </c:pt>
                <c:pt idx="20">
                  <c:v>4.0786663245839935E-4</c:v>
                </c:pt>
                <c:pt idx="21">
                  <c:v>9.1761023083457229E-4</c:v>
                </c:pt>
                <c:pt idx="22">
                  <c:v>1.905167735400366E-3</c:v>
                </c:pt>
                <c:pt idx="23">
                  <c:v>3.5873970198830266E-3</c:v>
                </c:pt>
                <c:pt idx="24">
                  <c:v>6.0117101072149721E-3</c:v>
                </c:pt>
                <c:pt idx="25">
                  <c:v>8.7868065824204186E-3</c:v>
                </c:pt>
                <c:pt idx="26">
                  <c:v>1.0966244294324077E-2</c:v>
                </c:pt>
                <c:pt idx="27">
                  <c:v>1.1431712276875871E-2</c:v>
                </c:pt>
                <c:pt idx="28">
                  <c:v>9.7322214406028746E-3</c:v>
                </c:pt>
                <c:pt idx="29">
                  <c:v>6.6148572102873128E-3</c:v>
                </c:pt>
                <c:pt idx="30">
                  <c:v>3.5099625660116925E-3</c:v>
                </c:pt>
                <c:pt idx="31">
                  <c:v>1.4226728733477737E-3</c:v>
                </c:pt>
                <c:pt idx="32">
                  <c:v>4.3145813961420324E-4</c:v>
                </c:pt>
              </c:numCache>
            </c:numRef>
          </c:val>
        </c:ser>
        <c:ser>
          <c:idx val="8"/>
          <c:order val="6"/>
          <c:tx>
            <c:strRef>
              <c:f>CpuEvents!$J$3</c:f>
              <c:strCache>
                <c:ptCount val="1"/>
                <c:pt idx="0">
                  <c:v>91%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CpuEvents!$J$4:$J$36</c:f>
              <c:numCache>
                <c:formatCode>General</c:formatCode>
                <c:ptCount val="33"/>
                <c:pt idx="0">
                  <c:v>1.9070717504614088E-13</c:v>
                </c:pt>
                <c:pt idx="1">
                  <c:v>6.1821039042529886E-13</c:v>
                </c:pt>
                <c:pt idx="2">
                  <c:v>1.9283741333023958E-12</c:v>
                </c:pt>
                <c:pt idx="3">
                  <c:v>5.8337346780401124E-12</c:v>
                </c:pt>
                <c:pt idx="4">
                  <c:v>1.7239115224085519E-11</c:v>
                </c:pt>
                <c:pt idx="5">
                  <c:v>5.0084230230875617E-11</c:v>
                </c:pt>
                <c:pt idx="6">
                  <c:v>1.43876571915851E-10</c:v>
                </c:pt>
                <c:pt idx="7">
                  <c:v>4.1070522001957521E-10</c:v>
                </c:pt>
                <c:pt idx="8">
                  <c:v>1.1697915836545714E-9</c:v>
                </c:pt>
                <c:pt idx="9">
                  <c:v>3.3351999498255263E-9</c:v>
                </c:pt>
                <c:pt idx="10">
                  <c:v>9.5398862702191718E-9</c:v>
                </c:pt>
                <c:pt idx="11">
                  <c:v>2.7408345169926043E-8</c:v>
                </c:pt>
                <c:pt idx="12">
                  <c:v>7.909463216101462E-8</c:v>
                </c:pt>
                <c:pt idx="13">
                  <c:v>2.2897824926583124E-7</c:v>
                </c:pt>
                <c:pt idx="14">
                  <c:v>6.6327029629214791E-7</c:v>
                </c:pt>
                <c:pt idx="15">
                  <c:v>1.9145466667509931E-6</c:v>
                </c:pt>
                <c:pt idx="16">
                  <c:v>5.4761243779932924E-6</c:v>
                </c:pt>
                <c:pt idx="17">
                  <c:v>1.5408199440601491E-5</c:v>
                </c:pt>
                <c:pt idx="18">
                  <c:v>4.2266657120877777E-5</c:v>
                </c:pt>
                <c:pt idx="19">
                  <c:v>1.1182629005581319E-4</c:v>
                </c:pt>
                <c:pt idx="20">
                  <c:v>2.8180575480566008E-4</c:v>
                </c:pt>
                <c:pt idx="21">
                  <c:v>6.6681838272688275E-4</c:v>
                </c:pt>
                <c:pt idx="22">
                  <c:v>1.4580122205308476E-3</c:v>
                </c:pt>
                <c:pt idx="23">
                  <c:v>2.8943101619483239E-3</c:v>
                </c:pt>
                <c:pt idx="24">
                  <c:v>5.1173024950450178E-3</c:v>
                </c:pt>
                <c:pt idx="25">
                  <c:v>7.8950643744045527E-3</c:v>
                </c:pt>
                <c:pt idx="26">
                  <c:v>1.0402020076396431E-2</c:v>
                </c:pt>
                <c:pt idx="27">
                  <c:v>1.1444488896489578E-2</c:v>
                </c:pt>
                <c:pt idx="28">
                  <c:v>1.0276344667751899E-2</c:v>
                </c:pt>
                <c:pt idx="29">
                  <c:v>7.3590753940512418E-3</c:v>
                </c:pt>
                <c:pt idx="30">
                  <c:v>4.1079930423182304E-3</c:v>
                </c:pt>
                <c:pt idx="31">
                  <c:v>1.7483075954895998E-3</c:v>
                </c:pt>
                <c:pt idx="32">
                  <c:v>5.5541006154840547E-4</c:v>
                </c:pt>
              </c:numCache>
            </c:numRef>
          </c:val>
        </c:ser>
        <c:ser>
          <c:idx val="9"/>
          <c:order val="7"/>
          <c:tx>
            <c:strRef>
              <c:f>CpuEvents!$K$3</c:f>
              <c:strCache>
                <c:ptCount val="1"/>
                <c:pt idx="0">
                  <c:v>92%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CpuEvents!$K$4:$K$36</c:f>
              <c:numCache>
                <c:formatCode>General</c:formatCode>
                <c:ptCount val="33"/>
                <c:pt idx="0">
                  <c:v>6.3896999539030842E-14</c:v>
                </c:pt>
                <c:pt idx="1">
                  <c:v>2.1316261423729506E-13</c:v>
                </c:pt>
                <c:pt idx="2">
                  <c:v>6.8389040106900024E-13</c:v>
                </c:pt>
                <c:pt idx="3">
                  <c:v>2.1273192217828703E-12</c:v>
                </c:pt>
                <c:pt idx="4">
                  <c:v>6.4635298242974853E-12</c:v>
                </c:pt>
                <c:pt idx="5">
                  <c:v>1.9311088501071542E-11</c:v>
                </c:pt>
                <c:pt idx="6">
                  <c:v>5.7072818600497144E-11</c:v>
                </c:pt>
                <c:pt idx="7">
                  <c:v>1.6771874302422318E-10</c:v>
                </c:pt>
                <c:pt idx="8">
                  <c:v>4.9220042639905467E-10</c:v>
                </c:pt>
                <c:pt idx="9">
                  <c:v>1.4474157298569331E-9</c:v>
                </c:pt>
                <c:pt idx="10">
                  <c:v>4.2755085667339451E-9</c:v>
                </c:pt>
                <c:pt idx="11">
                  <c:v>1.2703047069554999E-8</c:v>
                </c:pt>
                <c:pt idx="12">
                  <c:v>3.7968510793862641E-8</c:v>
                </c:pt>
                <c:pt idx="13">
                  <c:v>1.1403735612203957E-7</c:v>
                </c:pt>
                <c:pt idx="14">
                  <c:v>3.4331100122390469E-7</c:v>
                </c:pt>
                <c:pt idx="15">
                  <c:v>1.0318250746477658E-6</c:v>
                </c:pt>
                <c:pt idx="16">
                  <c:v>3.0787351020980452E-6</c:v>
                </c:pt>
                <c:pt idx="17">
                  <c:v>9.0537452629653011E-6</c:v>
                </c:pt>
                <c:pt idx="18">
                  <c:v>2.6004992139047584E-5</c:v>
                </c:pt>
                <c:pt idx="19">
                  <c:v>7.2170553150179858E-5</c:v>
                </c:pt>
                <c:pt idx="20">
                  <c:v>1.9109539818259769E-4</c:v>
                </c:pt>
                <c:pt idx="21">
                  <c:v>4.7583142711924716E-4</c:v>
                </c:pt>
                <c:pt idx="22">
                  <c:v>1.0962976178894145E-3</c:v>
                </c:pt>
                <c:pt idx="23">
                  <c:v>2.2956630313898177E-3</c:v>
                </c:pt>
                <c:pt idx="24">
                  <c:v>4.2850294153485291E-3</c:v>
                </c:pt>
                <c:pt idx="25">
                  <c:v>6.982890230303628E-3</c:v>
                </c:pt>
                <c:pt idx="26">
                  <c:v>9.719175592839276E-3</c:v>
                </c:pt>
                <c:pt idx="27">
                  <c:v>1.1293818124440124E-2</c:v>
                </c:pt>
                <c:pt idx="28">
                  <c:v>1.0703861493587879E-2</c:v>
                </c:pt>
                <c:pt idx="29">
                  <c:v>8.0820911228850108E-3</c:v>
                </c:pt>
                <c:pt idx="30">
                  <c:v>4.7498719756419866E-3</c:v>
                </c:pt>
                <c:pt idx="31">
                  <c:v>2.1241515912113662E-3</c:v>
                </c:pt>
                <c:pt idx="32">
                  <c:v>7.0741456471255576E-4</c:v>
                </c:pt>
              </c:numCache>
            </c:numRef>
          </c:val>
        </c:ser>
        <c:ser>
          <c:idx val="10"/>
          <c:order val="8"/>
          <c:tx>
            <c:strRef>
              <c:f>CpuEvents!$L$3</c:f>
              <c:strCache>
                <c:ptCount val="1"/>
                <c:pt idx="0">
                  <c:v>93%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CpuEvents!$L$4:$L$36</c:f>
              <c:numCache>
                <c:formatCode>General</c:formatCode>
                <c:ptCount val="33"/>
                <c:pt idx="0">
                  <c:v>2.0914816605264763E-14</c:v>
                </c:pt>
                <c:pt idx="1">
                  <c:v>7.1812689594424161E-14</c:v>
                </c:pt>
                <c:pt idx="2">
                  <c:v>2.3700021558644267E-13</c:v>
                </c:pt>
                <c:pt idx="3">
                  <c:v>7.5811508466281432E-13</c:v>
                </c:pt>
                <c:pt idx="4">
                  <c:v>2.3685897174747881E-12</c:v>
                </c:pt>
                <c:pt idx="5">
                  <c:v>7.27825829632101E-12</c:v>
                </c:pt>
                <c:pt idx="6">
                  <c:v>2.2132756654396034E-11</c:v>
                </c:pt>
                <c:pt idx="7">
                  <c:v>6.6966208054791511E-11</c:v>
                </c:pt>
                <c:pt idx="8">
                  <c:v>2.0251595136819172E-10</c:v>
                </c:pt>
                <c:pt idx="9">
                  <c:v>6.1435039012067255E-10</c:v>
                </c:pt>
                <c:pt idx="10">
                  <c:v>1.8743880686556326E-9</c:v>
                </c:pt>
                <c:pt idx="11">
                  <c:v>5.7603013244824203E-9</c:v>
                </c:pt>
                <c:pt idx="12">
                  <c:v>1.7836431615871416E-8</c:v>
                </c:pt>
                <c:pt idx="13">
                  <c:v>5.559238734164084E-8</c:v>
                </c:pt>
                <c:pt idx="14">
                  <c:v>1.7398844847894154E-7</c:v>
                </c:pt>
                <c:pt idx="15">
                  <c:v>5.4464778743619271E-7</c:v>
                </c:pt>
                <c:pt idx="16">
                  <c:v>1.6958580310158275E-6</c:v>
                </c:pt>
                <c:pt idx="17">
                  <c:v>5.2141874162113627E-6</c:v>
                </c:pt>
                <c:pt idx="18">
                  <c:v>1.5688343363248356E-5</c:v>
                </c:pt>
                <c:pt idx="19">
                  <c:v>4.5691269580617642E-5</c:v>
                </c:pt>
                <c:pt idx="20">
                  <c:v>1.271801376317763E-4</c:v>
                </c:pt>
                <c:pt idx="21">
                  <c:v>3.3342251465355067E-4</c:v>
                </c:pt>
                <c:pt idx="22">
                  <c:v>8.0990697102231669E-4</c:v>
                </c:pt>
                <c:pt idx="23">
                  <c:v>1.7900644032451691E-3</c:v>
                </c:pt>
                <c:pt idx="24">
                  <c:v>3.5296869017561162E-3</c:v>
                </c:pt>
                <c:pt idx="25">
                  <c:v>6.0795255144083255E-3</c:v>
                </c:pt>
                <c:pt idx="26">
                  <c:v>8.9452635144134877E-3</c:v>
                </c:pt>
                <c:pt idx="27">
                  <c:v>1.0986122760404775E-2</c:v>
                </c:pt>
                <c:pt idx="28">
                  <c:v>1.099809427638947E-2</c:v>
                </c:pt>
                <c:pt idx="29">
                  <c:v>8.7623772054994508E-3</c:v>
                </c:pt>
                <c:pt idx="30">
                  <c:v>5.4257415042938085E-3</c:v>
                </c:pt>
                <c:pt idx="31">
                  <c:v>2.5515732423486907E-3</c:v>
                </c:pt>
                <c:pt idx="32">
                  <c:v>8.914960617130666E-4</c:v>
                </c:pt>
              </c:numCache>
            </c:numRef>
          </c:val>
        </c:ser>
        <c:ser>
          <c:idx val="11"/>
          <c:order val="9"/>
          <c:tx>
            <c:strRef>
              <c:f>CpuEvents!$M$3</c:f>
              <c:strCache>
                <c:ptCount val="1"/>
                <c:pt idx="0">
                  <c:v>94%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CpuEvents!$M$4:$M$36</c:f>
              <c:numCache>
                <c:formatCode>General</c:formatCode>
                <c:ptCount val="33"/>
                <c:pt idx="0">
                  <c:v>6.6878699571978647E-15</c:v>
                </c:pt>
                <c:pt idx="1">
                  <c:v>2.3637784258315185E-14</c:v>
                </c:pt>
                <c:pt idx="2">
                  <c:v>8.0256089756547857E-14</c:v>
                </c:pt>
                <c:pt idx="3">
                  <c:v>2.6403049801791927E-13</c:v>
                </c:pt>
                <c:pt idx="4">
                  <c:v>8.4835030426585058E-13</c:v>
                </c:pt>
                <c:pt idx="5">
                  <c:v>2.6814094338157538E-12</c:v>
                </c:pt>
                <c:pt idx="6">
                  <c:v>8.3909019294794601E-12</c:v>
                </c:pt>
                <c:pt idx="7">
                  <c:v>2.6142827028972628E-11</c:v>
                </c:pt>
                <c:pt idx="8">
                  <c:v>8.148173073733797E-11</c:v>
                </c:pt>
                <c:pt idx="9">
                  <c:v>2.550295042465212E-10</c:v>
                </c:pt>
                <c:pt idx="10">
                  <c:v>8.0381922264997448E-10</c:v>
                </c:pt>
                <c:pt idx="11">
                  <c:v>2.5556107108105304E-9</c:v>
                </c:pt>
                <c:pt idx="12">
                  <c:v>8.1997429748984133E-9</c:v>
                </c:pt>
                <c:pt idx="13">
                  <c:v>2.6527650347951111E-8</c:v>
                </c:pt>
                <c:pt idx="14">
                  <c:v>8.6335345897348656E-8</c:v>
                </c:pt>
                <c:pt idx="15">
                  <c:v>2.8157555906841088E-7</c:v>
                </c:pt>
                <c:pt idx="16">
                  <c:v>9.1521854355470512E-7</c:v>
                </c:pt>
                <c:pt idx="17">
                  <c:v>2.9432488963565089E-6</c:v>
                </c:pt>
                <c:pt idx="18">
                  <c:v>9.2802350916946932E-6</c:v>
                </c:pt>
                <c:pt idx="19">
                  <c:v>2.8376804739015508E-5</c:v>
                </c:pt>
                <c:pt idx="20">
                  <c:v>8.307245460709041E-5</c:v>
                </c:pt>
                <c:pt idx="21">
                  <c:v>2.2942089228354703E-4</c:v>
                </c:pt>
                <c:pt idx="22">
                  <c:v>5.8786981847872672E-4</c:v>
                </c:pt>
                <c:pt idx="23">
                  <c:v>1.3722290748654897E-3</c:v>
                </c:pt>
                <c:pt idx="24">
                  <c:v>2.8601460941496686E-3</c:v>
                </c:pt>
                <c:pt idx="25">
                  <c:v>5.210256290421115E-3</c:v>
                </c:pt>
                <c:pt idx="26">
                  <c:v>8.109775251569664E-3</c:v>
                </c:pt>
                <c:pt idx="27">
                  <c:v>1.053434108769454E-2</c:v>
                </c:pt>
                <c:pt idx="28">
                  <c:v>1.1147296024111315E-2</c:v>
                </c:pt>
                <c:pt idx="29">
                  <c:v>9.3781647737309574E-3</c:v>
                </c:pt>
                <c:pt idx="30">
                  <c:v>6.1229580516776773E-3</c:v>
                </c:pt>
                <c:pt idx="31">
                  <c:v>3.0302987059215086E-3</c:v>
                </c:pt>
                <c:pt idx="32">
                  <c:v>1.1116038404564686E-3</c:v>
                </c:pt>
              </c:numCache>
            </c:numRef>
          </c:val>
        </c:ser>
        <c:ser>
          <c:idx val="12"/>
          <c:order val="10"/>
          <c:tx>
            <c:strRef>
              <c:f>CpuEvents!$N$3</c:f>
              <c:strCache>
                <c:ptCount val="1"/>
                <c:pt idx="0">
                  <c:v>95%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CpuEvents!$N$4:$N$36</c:f>
              <c:numCache>
                <c:formatCode>General</c:formatCode>
                <c:ptCount val="33"/>
                <c:pt idx="0">
                  <c:v>2.0892082993008099E-15</c:v>
                </c:pt>
                <c:pt idx="1">
                  <c:v>7.6019980441610745E-15</c:v>
                </c:pt>
                <c:pt idx="2">
                  <c:v>2.6556710145316646E-14</c:v>
                </c:pt>
                <c:pt idx="3">
                  <c:v>8.9864783942914029E-14</c:v>
                </c:pt>
                <c:pt idx="4">
                  <c:v>2.9697910777201127E-13</c:v>
                </c:pt>
                <c:pt idx="5">
                  <c:v>9.6563669485445032E-13</c:v>
                </c:pt>
                <c:pt idx="6">
                  <c:v>3.1099165076097621E-12</c:v>
                </c:pt>
                <c:pt idx="7">
                  <c:v>9.9786576687027617E-12</c:v>
                </c:pt>
                <c:pt idx="8">
                  <c:v>3.205863386751294E-11</c:v>
                </c:pt>
                <c:pt idx="9">
                  <c:v>1.035419054393717E-10</c:v>
                </c:pt>
                <c:pt idx="10">
                  <c:v>3.3719755032786444E-10</c:v>
                </c:pt>
                <c:pt idx="11">
                  <c:v>1.1093188675353709E-9</c:v>
                </c:pt>
                <c:pt idx="12">
                  <c:v>3.688929559900915E-9</c:v>
                </c:pt>
                <c:pt idx="13">
                  <c:v>1.2390747867911474E-8</c:v>
                </c:pt>
                <c:pt idx="14">
                  <c:v>4.1946175953907181E-8</c:v>
                </c:pt>
                <c:pt idx="15">
                  <c:v>1.4257510880566157E-7</c:v>
                </c:pt>
                <c:pt idx="16">
                  <c:v>4.8392524525268235E-7</c:v>
                </c:pt>
                <c:pt idx="17">
                  <c:v>1.6283558883215763E-6</c:v>
                </c:pt>
                <c:pt idx="18">
                  <c:v>5.3827276125566387E-6</c:v>
                </c:pt>
                <c:pt idx="19">
                  <c:v>1.7288241982906641E-5</c:v>
                </c:pt>
                <c:pt idx="20">
                  <c:v>5.325537979177628E-5</c:v>
                </c:pt>
                <c:pt idx="21">
                  <c:v>1.5501268833078668E-4</c:v>
                </c:pt>
                <c:pt idx="22">
                  <c:v>4.1924370559258666E-4</c:v>
                </c:pt>
                <c:pt idx="23">
                  <c:v>1.0341463946890415E-3</c:v>
                </c:pt>
                <c:pt idx="24">
                  <c:v>2.2798690818335585E-3</c:v>
                </c:pt>
                <c:pt idx="25">
                  <c:v>4.3954507529891107E-3</c:v>
                </c:pt>
                <c:pt idx="26">
                  <c:v>7.242299288225602E-3</c:v>
                </c:pt>
                <c:pt idx="27">
                  <c:v>9.9570244875263874E-3</c:v>
                </c:pt>
                <c:pt idx="28">
                  <c:v>1.1145428472805792E-2</c:v>
                </c:pt>
                <c:pt idx="29">
                  <c:v>9.9085814794444577E-3</c:v>
                </c:pt>
                <c:pt idx="30">
                  <c:v>6.8263485483835134E-3</c:v>
                </c:pt>
                <c:pt idx="31">
                  <c:v>3.5580964035313422E-3</c:v>
                </c:pt>
                <c:pt idx="32">
                  <c:v>1.3714053072632867E-3</c:v>
                </c:pt>
              </c:numCache>
            </c:numRef>
          </c:val>
        </c:ser>
        <c:ser>
          <c:idx val="13"/>
          <c:order val="11"/>
          <c:tx>
            <c:strRef>
              <c:f>CpuEvents!$O$3</c:f>
              <c:strCache>
                <c:ptCount val="1"/>
                <c:pt idx="0">
                  <c:v>96%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CpuEvents!$O$4:$O$36</c:f>
              <c:numCache>
                <c:formatCode>General</c:formatCode>
                <c:ptCount val="33"/>
                <c:pt idx="0">
                  <c:v>6.375816780327858E-16</c:v>
                </c:pt>
                <c:pt idx="1">
                  <c:v>2.3887140258978876E-15</c:v>
                </c:pt>
                <c:pt idx="2">
                  <c:v>8.5869230868032671E-15</c:v>
                </c:pt>
                <c:pt idx="3">
                  <c:v>2.9891069681441314E-14</c:v>
                </c:pt>
                <c:pt idx="4">
                  <c:v>1.0161126876546663E-13</c:v>
                </c:pt>
                <c:pt idx="5">
                  <c:v>3.3992205825742447E-13</c:v>
                </c:pt>
                <c:pt idx="6">
                  <c:v>1.1268231539348637E-12</c:v>
                </c:pt>
                <c:pt idx="7">
                  <c:v>3.7240408045340605E-12</c:v>
                </c:pt>
                <c:pt idx="8">
                  <c:v>1.2334272405500923E-11</c:v>
                </c:pt>
                <c:pt idx="9">
                  <c:v>4.111433942823197E-11</c:v>
                </c:pt>
                <c:pt idx="10">
                  <c:v>1.3836861074438608E-10</c:v>
                </c:pt>
                <c:pt idx="11">
                  <c:v>4.7111865579329095E-10</c:v>
                </c:pt>
                <c:pt idx="12">
                  <c:v>1.6240834554601689E-9</c:v>
                </c:pt>
                <c:pt idx="13">
                  <c:v>5.6651515251223902E-9</c:v>
                </c:pt>
                <c:pt idx="14">
                  <c:v>1.9954076745121092E-8</c:v>
                </c:pt>
                <c:pt idx="15">
                  <c:v>7.0706935269022245E-8</c:v>
                </c:pt>
                <c:pt idx="16">
                  <c:v>2.5069743824348704E-7</c:v>
                </c:pt>
                <c:pt idx="17">
                  <c:v>8.8298566811950381E-7</c:v>
                </c:pt>
                <c:pt idx="18">
                  <c:v>3.0613103626400845E-6</c:v>
                </c:pt>
                <c:pt idx="19">
                  <c:v>1.0332258146650966E-5</c:v>
                </c:pt>
                <c:pt idx="20">
                  <c:v>3.3507237193308299E-5</c:v>
                </c:pt>
                <c:pt idx="21">
                  <c:v>1.028484553335324E-4</c:v>
                </c:pt>
                <c:pt idx="22">
                  <c:v>2.9375907924401753E-4</c:v>
                </c:pt>
                <c:pt idx="23">
                  <c:v>7.6618716451802929E-4</c:v>
                </c:pt>
                <c:pt idx="24">
                  <c:v>1.7877272451152395E-3</c:v>
                </c:pt>
                <c:pt idx="25">
                  <c:v>3.6500825058113123E-3</c:v>
                </c:pt>
                <c:pt idx="26">
                  <c:v>6.3708310354837899E-3</c:v>
                </c:pt>
                <c:pt idx="27">
                  <c:v>9.2770745126537872E-3</c:v>
                </c:pt>
                <c:pt idx="28">
                  <c:v>1.0992567537598462E-2</c:v>
                </c:pt>
                <c:pt idx="29">
                  <c:v>1.0334817759996499E-2</c:v>
                </c:pt>
                <c:pt idx="30">
                  <c:v>7.518663089423578E-3</c:v>
                </c:pt>
                <c:pt idx="31">
                  <c:v>4.1305211502611783E-3</c:v>
                </c:pt>
                <c:pt idx="32">
                  <c:v>1.6740437000012209E-3</c:v>
                </c:pt>
              </c:numCache>
            </c:numRef>
          </c:val>
        </c:ser>
        <c:ser>
          <c:idx val="14"/>
          <c:order val="12"/>
          <c:tx>
            <c:strRef>
              <c:f>CpuEvents!$P$3</c:f>
              <c:strCache>
                <c:ptCount val="1"/>
                <c:pt idx="0">
                  <c:v>97%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CpuEvents!$P$4:$P$36</c:f>
              <c:numCache>
                <c:formatCode>General</c:formatCode>
                <c:ptCount val="33"/>
                <c:pt idx="0">
                  <c:v>1.9008597636042108E-16</c:v>
                </c:pt>
                <c:pt idx="1">
                  <c:v>7.3335791365558028E-16</c:v>
                </c:pt>
                <c:pt idx="2">
                  <c:v>2.713113076509895E-15</c:v>
                </c:pt>
                <c:pt idx="3">
                  <c:v>9.7165001635850281E-15</c:v>
                </c:pt>
                <c:pt idx="4">
                  <c:v>3.3979982284243927E-14</c:v>
                </c:pt>
                <c:pt idx="5">
                  <c:v>1.1696606881061515E-13</c:v>
                </c:pt>
                <c:pt idx="6">
                  <c:v>3.9914412676544128E-13</c:v>
                </c:pt>
                <c:pt idx="7">
                  <c:v>1.358874881122442E-12</c:v>
                </c:pt>
                <c:pt idx="8">
                  <c:v>4.640511118347962E-12</c:v>
                </c:pt>
                <c:pt idx="9">
                  <c:v>1.5966948297134663E-11</c:v>
                </c:pt>
                <c:pt idx="10">
                  <c:v>5.5541537365233326E-11</c:v>
                </c:pt>
                <c:pt idx="11">
                  <c:v>1.9575659725744691E-10</c:v>
                </c:pt>
                <c:pt idx="12">
                  <c:v>6.9971982476417886E-10</c:v>
                </c:pt>
                <c:pt idx="13">
                  <c:v>2.535366899874764E-9</c:v>
                </c:pt>
                <c:pt idx="14">
                  <c:v>9.294080401290843E-9</c:v>
                </c:pt>
                <c:pt idx="15">
                  <c:v>3.434391974526308E-8</c:v>
                </c:pt>
                <c:pt idx="16">
                  <c:v>1.2724468848490037E-7</c:v>
                </c:pt>
                <c:pt idx="17">
                  <c:v>4.6928855909263973E-7</c:v>
                </c:pt>
                <c:pt idx="18">
                  <c:v>1.7071585319269873E-6</c:v>
                </c:pt>
                <c:pt idx="19">
                  <c:v>6.0575462470376953E-6</c:v>
                </c:pt>
                <c:pt idx="20">
                  <c:v>2.0691045913286918E-5</c:v>
                </c:pt>
                <c:pt idx="21">
                  <c:v>6.7007673648660337E-5</c:v>
                </c:pt>
                <c:pt idx="22">
                  <c:v>2.0223457460660113E-4</c:v>
                </c:pt>
                <c:pt idx="23">
                  <c:v>5.5806548971410602E-4</c:v>
                </c:pt>
                <c:pt idx="24">
                  <c:v>1.3789936515106382E-3</c:v>
                </c:pt>
                <c:pt idx="25">
                  <c:v>2.9837118203597623E-3</c:v>
                </c:pt>
                <c:pt idx="26">
                  <c:v>5.5203634983502477E-3</c:v>
                </c:pt>
                <c:pt idx="27">
                  <c:v>8.5202391516300685E-3</c:v>
                </c:pt>
                <c:pt idx="28">
                  <c:v>1.0694898192724728E-2</c:v>
                </c:pt>
                <c:pt idx="29">
                  <c:v>1.0641231040333729E-2</c:v>
                </c:pt>
                <c:pt idx="30">
                  <c:v>8.1812145111264632E-3</c:v>
                </c:pt>
                <c:pt idx="31">
                  <c:v>4.7407478749980836E-3</c:v>
                </c:pt>
                <c:pt idx="32">
                  <c:v>2.0218686274554834E-3</c:v>
                </c:pt>
              </c:numCache>
            </c:numRef>
          </c:val>
        </c:ser>
        <c:ser>
          <c:idx val="15"/>
          <c:order val="13"/>
          <c:tx>
            <c:strRef>
              <c:f>CpuEvents!$Q$3</c:f>
              <c:strCache>
                <c:ptCount val="1"/>
                <c:pt idx="0">
                  <c:v>98%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CpuEvents!$Q$4:$Q$36</c:f>
              <c:numCache>
                <c:formatCode>General</c:formatCode>
                <c:ptCount val="33"/>
                <c:pt idx="0">
                  <c:v>5.5363621489700035E-17</c:v>
                </c:pt>
                <c:pt idx="1">
                  <c:v>2.1998001285496172E-16</c:v>
                </c:pt>
                <c:pt idx="2">
                  <c:v>8.3765510262334785E-16</c:v>
                </c:pt>
                <c:pt idx="3">
                  <c:v>3.0867023353900695E-15</c:v>
                </c:pt>
                <c:pt idx="4">
                  <c:v>1.110630817182268E-14</c:v>
                </c:pt>
                <c:pt idx="5">
                  <c:v>3.9341906195350268E-14</c:v>
                </c:pt>
                <c:pt idx="6">
                  <c:v>1.3821993117227398E-13</c:v>
                </c:pt>
                <c:pt idx="7">
                  <c:v>4.8480517087931826E-13</c:v>
                </c:pt>
                <c:pt idx="8">
                  <c:v>1.7072686167114199E-12</c:v>
                </c:pt>
                <c:pt idx="9">
                  <c:v>6.0645971701184419E-12</c:v>
                </c:pt>
                <c:pt idx="10">
                  <c:v>2.1808478089400363E-11</c:v>
                </c:pt>
                <c:pt idx="11">
                  <c:v>7.9581975371876229E-11</c:v>
                </c:pt>
                <c:pt idx="12">
                  <c:v>2.9501756349614061E-10</c:v>
                </c:pt>
                <c:pt idx="13">
                  <c:v>1.1106708587582898E-9</c:v>
                </c:pt>
                <c:pt idx="14">
                  <c:v>4.2385443824847527E-9</c:v>
                </c:pt>
                <c:pt idx="15">
                  <c:v>1.6338314548674675E-8</c:v>
                </c:pt>
                <c:pt idx="16">
                  <c:v>6.3277247417637576E-8</c:v>
                </c:pt>
                <c:pt idx="17">
                  <c:v>2.4446025759433998E-7</c:v>
                </c:pt>
                <c:pt idx="18">
                  <c:v>9.3347325019494738E-7</c:v>
                </c:pt>
                <c:pt idx="19">
                  <c:v>3.4838167537315486E-6</c:v>
                </c:pt>
                <c:pt idx="20">
                  <c:v>1.2539925590544789E-5</c:v>
                </c:pt>
                <c:pt idx="21">
                  <c:v>4.2869414220030941E-5</c:v>
                </c:pt>
                <c:pt idx="22">
                  <c:v>1.3679142496587706E-4</c:v>
                </c:pt>
                <c:pt idx="23">
                  <c:v>3.9960683359466475E-4</c:v>
                </c:pt>
                <c:pt idx="24">
                  <c:v>1.0463884391835744E-3</c:v>
                </c:pt>
                <c:pt idx="25">
                  <c:v>2.400855373465335E-3</c:v>
                </c:pt>
                <c:pt idx="26">
                  <c:v>4.7118475832967181E-3</c:v>
                </c:pt>
                <c:pt idx="27">
                  <c:v>7.7135055388693283E-3</c:v>
                </c:pt>
                <c:pt idx="28">
                  <c:v>1.0264299261879942E-2</c:v>
                </c:pt>
                <c:pt idx="29">
                  <c:v>1.0816297756674561E-2</c:v>
                </c:pt>
                <c:pt idx="30">
                  <c:v>8.7946776418397592E-3</c:v>
                </c:pt>
                <c:pt idx="31">
                  <c:v>5.3795226075677768E-3</c:v>
                </c:pt>
                <c:pt idx="32">
                  <c:v>2.4161520095051189E-3</c:v>
                </c:pt>
              </c:numCache>
            </c:numRef>
          </c:val>
        </c:ser>
        <c:ser>
          <c:idx val="16"/>
          <c:order val="14"/>
          <c:tx>
            <c:strRef>
              <c:f>CpuEvents!$R$3</c:f>
              <c:strCache>
                <c:ptCount val="1"/>
                <c:pt idx="0">
                  <c:v>99%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CpuEvents!$R$4:$R$36</c:f>
              <c:numCache>
                <c:formatCode>General</c:formatCode>
                <c:ptCount val="33"/>
                <c:pt idx="0">
                  <c:v>1.5752847444802619E-17</c:v>
                </c:pt>
                <c:pt idx="1">
                  <c:v>6.4471218804031776E-17</c:v>
                </c:pt>
                <c:pt idx="2">
                  <c:v>2.5271417599504982E-16</c:v>
                </c:pt>
                <c:pt idx="3">
                  <c:v>9.5828815843300233E-16</c:v>
                </c:pt>
                <c:pt idx="4">
                  <c:v>3.5479834838309818E-15</c:v>
                </c:pt>
                <c:pt idx="5">
                  <c:v>1.293498300425588E-14</c:v>
                </c:pt>
                <c:pt idx="6">
                  <c:v>4.6792747895470818E-14</c:v>
                </c:pt>
                <c:pt idx="7">
                  <c:v>1.6911329391251628E-13</c:v>
                </c:pt>
                <c:pt idx="8">
                  <c:v>6.1421674822238394E-13</c:v>
                </c:pt>
                <c:pt idx="9">
                  <c:v>2.2528560196687671E-12</c:v>
                </c:pt>
                <c:pt idx="10">
                  <c:v>8.376449380914725E-12</c:v>
                </c:pt>
                <c:pt idx="11">
                  <c:v>3.1653754165689211E-11</c:v>
                </c:pt>
                <c:pt idx="12">
                  <c:v>1.2172489871699477E-10</c:v>
                </c:pt>
                <c:pt idx="13">
                  <c:v>4.7626121276040095E-10</c:v>
                </c:pt>
                <c:pt idx="14">
                  <c:v>1.8926162647399483E-9</c:v>
                </c:pt>
                <c:pt idx="15">
                  <c:v>7.6126206814966049E-9</c:v>
                </c:pt>
                <c:pt idx="16">
                  <c:v>3.0830008498284285E-8</c:v>
                </c:pt>
                <c:pt idx="17">
                  <c:v>1.2481263443750635E-7</c:v>
                </c:pt>
                <c:pt idx="18">
                  <c:v>5.0048542501706801E-7</c:v>
                </c:pt>
                <c:pt idx="19">
                  <c:v>1.9654904720783271E-6</c:v>
                </c:pt>
                <c:pt idx="20">
                  <c:v>7.4589237102225068E-6</c:v>
                </c:pt>
                <c:pt idx="21">
                  <c:v>2.6931887995762609E-5</c:v>
                </c:pt>
                <c:pt idx="22">
                  <c:v>9.0907915941540308E-5</c:v>
                </c:pt>
                <c:pt idx="23">
                  <c:v>2.8130541393147734E-4</c:v>
                </c:pt>
                <c:pt idx="24">
                  <c:v>7.810759339868373E-4</c:v>
                </c:pt>
                <c:pt idx="25">
                  <c:v>1.9016476638475562E-3</c:v>
                </c:pt>
                <c:pt idx="26">
                  <c:v>3.9615647736237509E-3</c:v>
                </c:pt>
                <c:pt idx="27">
                  <c:v>6.8835278993363844E-3</c:v>
                </c:pt>
                <c:pt idx="28">
                  <c:v>9.7175569669814815E-3</c:v>
                </c:pt>
                <c:pt idx="29">
                  <c:v>1.085333249030947E-2</c:v>
                </c:pt>
                <c:pt idx="30">
                  <c:v>9.3400039787977628E-3</c:v>
                </c:pt>
                <c:pt idx="31">
                  <c:v>6.0352530487992754E-3</c:v>
                </c:pt>
                <c:pt idx="32">
                  <c:v>2.8568060183211549E-3</c:v>
                </c:pt>
              </c:numCache>
            </c:numRef>
          </c:val>
        </c:ser>
        <c:ser>
          <c:idx val="17"/>
          <c:order val="15"/>
          <c:tx>
            <c:strRef>
              <c:f>CpuEvents!$S$3</c:f>
              <c:strCache>
                <c:ptCount val="1"/>
                <c:pt idx="0">
                  <c:v>100%</c:v>
                </c:pt>
              </c:strCache>
            </c:strRef>
          </c:tx>
          <c:cat>
            <c:numRef>
              <c:f>CpuEvents!$A$4:$A$36</c:f>
              <c:numCache>
                <c:formatCode>General</c:formatCode>
                <c:ptCount val="33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35.000000000000007</c:v>
                </c:pt>
                <c:pt idx="4">
                  <c:v>36.000000000000007</c:v>
                </c:pt>
                <c:pt idx="5">
                  <c:v>37.000000000000007</c:v>
                </c:pt>
                <c:pt idx="6">
                  <c:v>38.000000000000007</c:v>
                </c:pt>
                <c:pt idx="7">
                  <c:v>39.000000000000007</c:v>
                </c:pt>
                <c:pt idx="8">
                  <c:v>40.000000000000007</c:v>
                </c:pt>
                <c:pt idx="9">
                  <c:v>41.000000000000007</c:v>
                </c:pt>
                <c:pt idx="10">
                  <c:v>42</c:v>
                </c:pt>
                <c:pt idx="11">
                  <c:v>43</c:v>
                </c:pt>
                <c:pt idx="12">
                  <c:v>43.999999999999993</c:v>
                </c:pt>
                <c:pt idx="13">
                  <c:v>44.999999999999993</c:v>
                </c:pt>
                <c:pt idx="14">
                  <c:v>45.999999999999986</c:v>
                </c:pt>
                <c:pt idx="15">
                  <c:v>46.999999999999986</c:v>
                </c:pt>
                <c:pt idx="16">
                  <c:v>47.999999999999979</c:v>
                </c:pt>
                <c:pt idx="17">
                  <c:v>48.999999999999979</c:v>
                </c:pt>
                <c:pt idx="18">
                  <c:v>49.999999999999972</c:v>
                </c:pt>
                <c:pt idx="19">
                  <c:v>50.999999999999972</c:v>
                </c:pt>
                <c:pt idx="20">
                  <c:v>51.999999999999964</c:v>
                </c:pt>
                <c:pt idx="21">
                  <c:v>52.999999999999964</c:v>
                </c:pt>
                <c:pt idx="22">
                  <c:v>53.999999999999957</c:v>
                </c:pt>
                <c:pt idx="23">
                  <c:v>54.999999999999957</c:v>
                </c:pt>
                <c:pt idx="24">
                  <c:v>55.99999999999995</c:v>
                </c:pt>
                <c:pt idx="25">
                  <c:v>56.99999999999995</c:v>
                </c:pt>
                <c:pt idx="26">
                  <c:v>57.999999999999943</c:v>
                </c:pt>
                <c:pt idx="27">
                  <c:v>58.999999999999943</c:v>
                </c:pt>
                <c:pt idx="28">
                  <c:v>59.999999999999936</c:v>
                </c:pt>
                <c:pt idx="29">
                  <c:v>60.999999999999936</c:v>
                </c:pt>
                <c:pt idx="30">
                  <c:v>61.999999999999929</c:v>
                </c:pt>
                <c:pt idx="31">
                  <c:v>62.999999999999929</c:v>
                </c:pt>
                <c:pt idx="32">
                  <c:v>63.999999999999922</c:v>
                </c:pt>
              </c:numCache>
            </c:numRef>
          </c:cat>
          <c:val>
            <c:numRef>
              <c:f>CpuEvents!$S$4:$S$36</c:f>
              <c:numCache>
                <c:formatCode>General</c:formatCode>
                <c:ptCount val="33"/>
                <c:pt idx="0">
                  <c:v>4.378786868856937E-18</c:v>
                </c:pt>
                <c:pt idx="1">
                  <c:v>1.8461371210537635E-17</c:v>
                </c:pt>
                <c:pt idx="2">
                  <c:v>7.4500809640193298E-17</c:v>
                </c:pt>
                <c:pt idx="3">
                  <c:v>2.9074615197172987E-16</c:v>
                </c:pt>
                <c:pt idx="4">
                  <c:v>1.1077933580901462E-15</c:v>
                </c:pt>
                <c:pt idx="5">
                  <c:v>4.1571077878505858E-15</c:v>
                </c:pt>
                <c:pt idx="6">
                  <c:v>1.5486503516916599E-14</c:v>
                </c:pt>
                <c:pt idx="7">
                  <c:v>5.7678105442489873E-14</c:v>
                </c:pt>
                <c:pt idx="8">
                  <c:v>2.1608529307354135E-13</c:v>
                </c:pt>
                <c:pt idx="9">
                  <c:v>8.1849560650749519E-13</c:v>
                </c:pt>
                <c:pt idx="10">
                  <c:v>3.1471810239473817E-12</c:v>
                </c:pt>
                <c:pt idx="11">
                  <c:v>1.2318219481472491E-11</c:v>
                </c:pt>
                <c:pt idx="12">
                  <c:v>4.9149468813109394E-11</c:v>
                </c:pt>
                <c:pt idx="13">
                  <c:v>1.9990346644920444E-10</c:v>
                </c:pt>
                <c:pt idx="14">
                  <c:v>8.2745412230040792E-10</c:v>
                </c:pt>
                <c:pt idx="15">
                  <c:v>3.4740068726361109E-9</c:v>
                </c:pt>
                <c:pt idx="16">
                  <c:v>1.4716951523247724E-8</c:v>
                </c:pt>
                <c:pt idx="17">
                  <c:v>6.2458395212568602E-8</c:v>
                </c:pt>
                <c:pt idx="18">
                  <c:v>2.6311313244016709E-7</c:v>
                </c:pt>
                <c:pt idx="19">
                  <c:v>1.0877864808388604E-6</c:v>
                </c:pt>
                <c:pt idx="20">
                  <c:v>4.3543773433857895E-6</c:v>
                </c:pt>
                <c:pt idx="21">
                  <c:v>1.6614309321034021E-5</c:v>
                </c:pt>
                <c:pt idx="22">
                  <c:v>5.9358632891045699E-5</c:v>
                </c:pt>
                <c:pt idx="23">
                  <c:v>1.9467972291803897E-4</c:v>
                </c:pt>
                <c:pt idx="24">
                  <c:v>5.7353937518163107E-4</c:v>
                </c:pt>
                <c:pt idx="25">
                  <c:v>1.4826854991489107E-3</c:v>
                </c:pt>
                <c:pt idx="26">
                  <c:v>3.2809095556456985E-3</c:v>
                </c:pt>
                <c:pt idx="27">
                  <c:v>6.0552158464928377E-3</c:v>
                </c:pt>
                <c:pt idx="28">
                  <c:v>9.0752797979990665E-3</c:v>
                </c:pt>
                <c:pt idx="29">
                  <c:v>1.0750911656958483E-2</c:v>
                </c:pt>
                <c:pt idx="30">
                  <c:v>9.7993932676391053E-3</c:v>
                </c:pt>
                <c:pt idx="31">
                  <c:v>6.6942526690531102E-3</c:v>
                </c:pt>
                <c:pt idx="32">
                  <c:v>3.3421229905641562E-3</c:v>
                </c:pt>
              </c:numCache>
            </c:numRef>
          </c:val>
        </c:ser>
        <c:bandFmts/>
        <c:axId val="93078656"/>
        <c:axId val="93080576"/>
        <c:axId val="92853120"/>
      </c:surface3DChart>
      <c:catAx>
        <c:axId val="93078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 Hour</a:t>
                </a:r>
              </a:p>
            </c:rich>
          </c:tx>
          <c:layout>
            <c:manualLayout>
              <c:xMode val="edge"/>
              <c:yMode val="edge"/>
              <c:x val="0.37487047498564086"/>
              <c:y val="0.86124713153924159"/>
            </c:manualLayout>
          </c:layout>
        </c:title>
        <c:numFmt formatCode="General" sourceLinked="1"/>
        <c:majorTickMark val="none"/>
        <c:tickLblPos val="nextTo"/>
        <c:crossAx val="93080576"/>
        <c:crosses val="autoZero"/>
        <c:auto val="1"/>
        <c:lblAlgn val="ctr"/>
        <c:lblOffset val="100"/>
      </c:catAx>
      <c:valAx>
        <c:axId val="9308057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93078656"/>
        <c:crosses val="autoZero"/>
        <c:crossBetween val="midCat"/>
      </c:valAx>
      <c:serAx>
        <c:axId val="92853120"/>
        <c:scaling>
          <c:orientation val="minMax"/>
        </c:scaling>
        <c:axPos val="b"/>
        <c:majorTickMark val="none"/>
        <c:tickLblPos val="nextTo"/>
        <c:crossAx val="93080576"/>
        <c:crosses val="autoZero"/>
      </c:serAx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FailureCpu!$D$9</c:f>
              <c:strCache>
                <c:ptCount val="1"/>
                <c:pt idx="0">
                  <c:v>Single Event Failure Probability</c:v>
                </c:pt>
              </c:strCache>
            </c:strRef>
          </c:tx>
          <c:xVal>
            <c:numRef>
              <c:f>FailureCpu!$C$10:$C$22</c:f>
              <c:numCache>
                <c:formatCode>0.0%</c:formatCode>
                <c:ptCount val="13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0.94000000000000006</c:v>
                </c:pt>
                <c:pt idx="5">
                  <c:v>0.95000000000000007</c:v>
                </c:pt>
                <c:pt idx="6">
                  <c:v>0.96</c:v>
                </c:pt>
                <c:pt idx="7">
                  <c:v>0.97</c:v>
                </c:pt>
                <c:pt idx="8">
                  <c:v>0.98</c:v>
                </c:pt>
                <c:pt idx="9">
                  <c:v>0.99</c:v>
                </c:pt>
                <c:pt idx="10">
                  <c:v>1</c:v>
                </c:pt>
                <c:pt idx="11">
                  <c:v>1</c:v>
                </c:pt>
              </c:numCache>
            </c:numRef>
          </c:xVal>
          <c:yVal>
            <c:numRef>
              <c:f>FailureCpu!$D$10:$D$22</c:f>
              <c:numCache>
                <c:formatCode>0.00</c:formatCode>
                <c:ptCount val="13"/>
                <c:pt idx="0">
                  <c:v>1E-3</c:v>
                </c:pt>
                <c:pt idx="1">
                  <c:v>0.2505</c:v>
                </c:pt>
                <c:pt idx="2">
                  <c:v>0.5</c:v>
                </c:pt>
                <c:pt idx="3">
                  <c:v>0.60000000000000042</c:v>
                </c:pt>
                <c:pt idx="4">
                  <c:v>0.70000000000000073</c:v>
                </c:pt>
                <c:pt idx="5">
                  <c:v>0.80000000000000115</c:v>
                </c:pt>
                <c:pt idx="6">
                  <c:v>0.84000000000000008</c:v>
                </c:pt>
                <c:pt idx="7">
                  <c:v>0.88</c:v>
                </c:pt>
                <c:pt idx="8">
                  <c:v>0.92</c:v>
                </c:pt>
                <c:pt idx="9">
                  <c:v>0.96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1"/>
        </c:ser>
        <c:axId val="93427200"/>
        <c:axId val="93429120"/>
      </c:scatterChart>
      <c:valAx>
        <c:axId val="93427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</a:t>
                </a:r>
              </a:p>
            </c:rich>
          </c:tx>
          <c:layout/>
        </c:title>
        <c:numFmt formatCode="0.0%" sourceLinked="1"/>
        <c:majorTickMark val="none"/>
        <c:tickLblPos val="nextTo"/>
        <c:crossAx val="93429120"/>
        <c:crosses val="autoZero"/>
        <c:crossBetween val="midCat"/>
      </c:valAx>
      <c:valAx>
        <c:axId val="9342912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Single Event Failure</a:t>
                </a:r>
                <a:r>
                  <a:rPr lang="en-US" baseline="0"/>
                  <a:t> </a:t>
                </a:r>
                <a:r>
                  <a:rPr lang="en-US"/>
                  <a:t>Probability</a:t>
                </a:r>
              </a:p>
            </c:rich>
          </c:tx>
          <c:layout/>
        </c:title>
        <c:numFmt formatCode="0.00" sourceLinked="1"/>
        <c:majorTickMark val="none"/>
        <c:tickLblPos val="nextTo"/>
        <c:crossAx val="934272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2</xdr:row>
      <xdr:rowOff>114299</xdr:rowOff>
    </xdr:from>
    <xdr:to>
      <xdr:col>9</xdr:col>
      <xdr:colOff>285750</xdr:colOff>
      <xdr:row>17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180974</xdr:rowOff>
    </xdr:from>
    <xdr:to>
      <xdr:col>13</xdr:col>
      <xdr:colOff>428625</xdr:colOff>
      <xdr:row>24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0</xdr:row>
      <xdr:rowOff>114300</xdr:rowOff>
    </xdr:from>
    <xdr:to>
      <xdr:col>8</xdr:col>
      <xdr:colOff>1657350</xdr:colOff>
      <xdr:row>7</xdr:row>
      <xdr:rowOff>276225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2" name="Table12" displayName="Table12" ref="A23:J47" totalsRowShown="0" headerRowDxfId="12" dataDxfId="11">
  <autoFilter ref="A23:J47">
    <filterColumn colId="1"/>
    <filterColumn colId="2"/>
    <filterColumn colId="6"/>
  </autoFilter>
  <tableColumns count="10">
    <tableColumn id="1" name="Hour" dataDxfId="10"/>
    <tableColumn id="8" name="Avg Events (in 100K)" dataDxfId="2"/>
    <tableColumn id="9" name="Single Event Failure Probability" dataDxfId="3"/>
    <tableColumn id="2" name="Expected Failed Events" dataDxfId="9"/>
    <tableColumn id="3" name="Expected Success Events" dataDxfId="8"/>
    <tableColumn id="4" name="Fail Ratio" dataDxfId="1"/>
    <tableColumn id="10" name="Success Ratio" dataDxfId="0"/>
    <tableColumn id="5" name="Fine" dataDxfId="7"/>
    <tableColumn id="6" name="Revenue Share Ratio" dataDxfId="6"/>
    <tableColumn id="7" name="Revenue Share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4:D28" totalsRowShown="0" headerRowDxfId="63" dataDxfId="62">
  <autoFilter ref="A4:D28">
    <filterColumn colId="1"/>
    <filterColumn colId="2"/>
    <filterColumn colId="3"/>
  </autoFilter>
  <sortState ref="A5:D28">
    <sortCondition ref="A4:A28"/>
  </sortState>
  <tableColumns count="4">
    <tableColumn id="1" name="Hour" dataDxfId="61"/>
    <tableColumn id="10" name="Average Events (in 100K)" dataDxfId="60" dataCellStyle="Comma"/>
    <tableColumn id="29" name="Min Events (in 100K" dataDxfId="59"/>
    <tableColumn id="30" name="Max Events(in 100K)" dataDxfId="5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3:T36" totalsRowShown="0" headerRowDxfId="57" dataDxfId="56">
  <autoFilter ref="A3:T36"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</autoFilter>
  <sortState ref="A4:T36">
    <sortCondition ref="A3:A36"/>
  </sortState>
  <tableColumns count="20">
    <tableColumn id="1" name="Events per hr (M)" dataDxfId="55"/>
    <tableColumn id="6" name="CPU mean" dataDxfId="54"/>
    <tableColumn id="7" name="CPU-std" dataDxfId="53"/>
    <tableColumn id="11" name="85%" dataDxfId="52"/>
    <tableColumn id="15" name="86%" dataDxfId="51">
      <calculatedColumnFormula>NORMDIST(E$3,$B4,$C4,FALSE)</calculatedColumnFormula>
    </tableColumn>
    <tableColumn id="16" name="87%" dataDxfId="50">
      <calculatedColumnFormula>NORMDIST(F$3,$B4,$C4,FALSE)</calculatedColumnFormula>
    </tableColumn>
    <tableColumn id="17" name="88%" dataDxfId="49">
      <calculatedColumnFormula>NORMDIST(G$3,$B4,$C4,FALSE)</calculatedColumnFormula>
    </tableColumn>
    <tableColumn id="18" name="89%" dataDxfId="48">
      <calculatedColumnFormula>NORMDIST(H$3,$B4,$C4,FALSE)</calculatedColumnFormula>
    </tableColumn>
    <tableColumn id="19" name="90%" dataDxfId="47">
      <calculatedColumnFormula>NORMDIST(I$3,$B4,$C4,FALSE)</calculatedColumnFormula>
    </tableColumn>
    <tableColumn id="20" name="91%" dataDxfId="46">
      <calculatedColumnFormula>NORMDIST(J$3,$B4,$C4,FALSE)</calculatedColumnFormula>
    </tableColumn>
    <tableColumn id="21" name="92%" dataDxfId="45">
      <calculatedColumnFormula>NORMDIST(K$3,$B4,$C4,FALSE)</calculatedColumnFormula>
    </tableColumn>
    <tableColumn id="22" name="93%" dataDxfId="44">
      <calculatedColumnFormula>NORMDIST(L$3,$B4,$C4,FALSE)</calculatedColumnFormula>
    </tableColumn>
    <tableColumn id="23" name="94%" dataDxfId="43">
      <calculatedColumnFormula>NORMDIST(M$3,$B4,$C4,FALSE)</calculatedColumnFormula>
    </tableColumn>
    <tableColumn id="24" name="95%" dataDxfId="42">
      <calculatedColumnFormula>NORMDIST(N$3,$B4,$C4,FALSE)</calculatedColumnFormula>
    </tableColumn>
    <tableColumn id="25" name="96%" dataDxfId="41">
      <calculatedColumnFormula>NORMDIST(O$3,$B4,$C4,FALSE)</calculatedColumnFormula>
    </tableColumn>
    <tableColumn id="26" name="97%" dataDxfId="40">
      <calculatedColumnFormula>NORMDIST(P$3,$B4,$C4,FALSE)</calculatedColumnFormula>
    </tableColumn>
    <tableColumn id="27" name="98%" dataDxfId="39">
      <calculatedColumnFormula>NORMDIST(Q$3,$B4,$C4,FALSE)</calculatedColumnFormula>
    </tableColumn>
    <tableColumn id="28" name="99%" dataDxfId="38">
      <calculatedColumnFormula>NORMDIST(R$3,$B4,$C4,FALSE)</calculatedColumnFormula>
    </tableColumn>
    <tableColumn id="29" name="100%" dataDxfId="37">
      <calculatedColumnFormula>NORMDIST(S$3,$B4,$C4,FALSE)</calculatedColumnFormula>
    </tableColumn>
    <tableColumn id="30" name="Column1" dataDxfId="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:C7" totalsRowShown="0" headerRowDxfId="35">
  <autoFilter ref="A4:C7"/>
  <tableColumns count="3">
    <tableColumn id="1" name="Value"/>
    <tableColumn id="2" name="CPU utilization %" dataDxfId="34"/>
    <tableColumn id="3" name="Single Event Failure Probability" dataDxfId="3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9:D22" totalsRowShown="0" headerRowDxfId="32">
  <autoFilter ref="A9:D22"/>
  <tableColumns count="4">
    <tableColumn id="1" name="Base" dataDxfId="31"/>
    <tableColumn id="2" name="Last Digit" dataDxfId="30"/>
    <tableColumn id="3" name="CPU Utilization(%)" dataDxfId="29">
      <calculatedColumnFormula>A10+B10</calculatedColumnFormula>
    </tableColumn>
    <tableColumn id="4" name="Single Event Failure Probability" dataDxfId="28">
      <calculatedColumnFormula>IF(C10&lt;=$B$5, $C$5*C10/$B$5, IF(C10&lt;=$B$6,$C$5+(C10-$B$5)*($C$6-$C$5)/($B$6-$B$5),IF(C10&lt;=$B$7,$C$6+(C10-$B$6)*($C$7-$C$6)/($B$7-$B$6),$C$7+(C10-$B$7)*(1-$C$7)/(100%-$B$7))))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3" name="Table13" displayName="Table13" ref="A3:N27" totalsRowShown="0" headerRowDxfId="27" dataDxfId="26">
  <autoFilter ref="A3:N27">
    <filterColumn colId="1"/>
    <filterColumn colId="13"/>
  </autoFilter>
  <sortState ref="A4:R27">
    <sortCondition ref="A3:A27"/>
  </sortState>
  <tableColumns count="14">
    <tableColumn id="1" name="Time/CPU" dataDxfId="25"/>
    <tableColumn id="18" name="Avg. Events(in 100K)" dataDxfId="24"/>
    <tableColumn id="7" name="90" dataDxfId="23"/>
    <tableColumn id="8" name="91" dataDxfId="22"/>
    <tableColumn id="9" name="92" dataDxfId="21"/>
    <tableColumn id="10" name="93" dataDxfId="20"/>
    <tableColumn id="11" name="94" dataDxfId="19"/>
    <tableColumn id="12" name="95" dataDxfId="18"/>
    <tableColumn id="13" name="96" dataDxfId="17"/>
    <tableColumn id="14" name="97" dataDxfId="16"/>
    <tableColumn id="15" name="98" dataDxfId="15"/>
    <tableColumn id="16" name="99" dataDxfId="14"/>
    <tableColumn id="17" name="100" dataDxfId="13"/>
    <tableColumn id="2" name="Single Fail Probability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49"/>
  <sheetViews>
    <sheetView tabSelected="1" workbookViewId="0">
      <selection activeCell="D23" sqref="D23"/>
    </sheetView>
  </sheetViews>
  <sheetFormatPr defaultRowHeight="15"/>
  <cols>
    <col min="1" max="1" width="43.28515625" customWidth="1"/>
    <col min="2" max="2" width="21" customWidth="1"/>
    <col min="3" max="3" width="17.7109375" customWidth="1"/>
    <col min="4" max="4" width="15.5703125" customWidth="1"/>
    <col min="5" max="5" width="21.7109375" customWidth="1"/>
    <col min="6" max="6" width="25.28515625" customWidth="1"/>
    <col min="7" max="7" width="24.85546875" customWidth="1"/>
    <col min="8" max="8" width="18.5703125" customWidth="1"/>
    <col min="9" max="9" width="24.140625" customWidth="1"/>
    <col min="10" max="10" width="26.42578125" customWidth="1"/>
    <col min="11" max="11" width="12" customWidth="1"/>
    <col min="12" max="12" width="16.140625" customWidth="1"/>
  </cols>
  <sheetData>
    <row r="2" spans="1:7">
      <c r="A2" s="35" t="s">
        <v>67</v>
      </c>
    </row>
    <row r="4" spans="1:7">
      <c r="E4" s="1" t="s">
        <v>68</v>
      </c>
    </row>
    <row r="5" spans="1:7">
      <c r="A5" t="s">
        <v>58</v>
      </c>
      <c r="D5" s="4">
        <v>70</v>
      </c>
      <c r="E5" t="s">
        <v>69</v>
      </c>
    </row>
    <row r="6" spans="1:7">
      <c r="A6" t="s">
        <v>73</v>
      </c>
      <c r="D6" s="23">
        <f>B49/10</f>
        <v>52.9</v>
      </c>
      <c r="E6" t="s">
        <v>70</v>
      </c>
    </row>
    <row r="7" spans="1:7">
      <c r="A7" t="s">
        <v>59</v>
      </c>
      <c r="D7" s="32">
        <v>20</v>
      </c>
      <c r="E7" t="s">
        <v>69</v>
      </c>
    </row>
    <row r="8" spans="1:7">
      <c r="A8" t="s">
        <v>72</v>
      </c>
      <c r="D8" s="23">
        <f>(D7*D6*365)/(1000)</f>
        <v>386.17</v>
      </c>
    </row>
    <row r="9" spans="1:7">
      <c r="A9" t="s">
        <v>1</v>
      </c>
      <c r="D9" s="30">
        <f>D5/(D8*1000)</f>
        <v>1.8126731750265428E-4</v>
      </c>
    </row>
    <row r="11" spans="1:7">
      <c r="A11" s="1" t="s">
        <v>74</v>
      </c>
      <c r="B11" s="1"/>
      <c r="C11" s="1"/>
    </row>
    <row r="12" spans="1:7">
      <c r="A12" s="5" t="s">
        <v>3</v>
      </c>
      <c r="B12" s="5"/>
      <c r="C12" s="5"/>
      <c r="D12" s="5" t="s">
        <v>4</v>
      </c>
      <c r="E12" s="5" t="s">
        <v>5</v>
      </c>
      <c r="F12" s="5" t="s">
        <v>2</v>
      </c>
      <c r="G12" s="26"/>
    </row>
    <row r="13" spans="1:7">
      <c r="A13" s="28">
        <v>0</v>
      </c>
      <c r="B13" s="6"/>
      <c r="C13" s="6"/>
      <c r="D13" s="28">
        <v>0.99</v>
      </c>
      <c r="E13" s="7">
        <v>0</v>
      </c>
      <c r="F13" s="8">
        <v>1000000</v>
      </c>
      <c r="G13" s="27"/>
    </row>
    <row r="14" spans="1:7">
      <c r="A14" s="28">
        <v>0.99</v>
      </c>
      <c r="B14" s="6"/>
      <c r="C14" s="6"/>
      <c r="D14" s="28">
        <v>0.99999899999999997</v>
      </c>
      <c r="E14" s="7">
        <v>0.02</v>
      </c>
      <c r="F14" s="8">
        <v>0</v>
      </c>
      <c r="G14" s="27"/>
    </row>
    <row r="15" spans="1:7">
      <c r="A15" s="28">
        <v>0.99999899999999997</v>
      </c>
      <c r="B15" s="6"/>
      <c r="C15" s="6"/>
      <c r="D15" s="28">
        <v>0.99999990000000005</v>
      </c>
      <c r="E15" s="7">
        <v>0.04</v>
      </c>
      <c r="F15" s="8">
        <v>0</v>
      </c>
      <c r="G15" s="27"/>
    </row>
    <row r="16" spans="1:7">
      <c r="A16" s="28">
        <v>9.9999999000000006</v>
      </c>
      <c r="B16" s="6"/>
      <c r="C16" s="6"/>
      <c r="D16" s="28">
        <v>1</v>
      </c>
      <c r="E16" s="7">
        <v>0.04</v>
      </c>
      <c r="F16" s="8">
        <v>0</v>
      </c>
      <c r="G16" s="27"/>
    </row>
    <row r="17" spans="1:10">
      <c r="C17" s="1" t="s">
        <v>68</v>
      </c>
    </row>
    <row r="18" spans="1:10">
      <c r="A18" s="1" t="s">
        <v>62</v>
      </c>
      <c r="B18" s="31">
        <f>J49-I49</f>
        <v>366.52251599036686</v>
      </c>
      <c r="C18" t="s">
        <v>71</v>
      </c>
    </row>
    <row r="19" spans="1:10">
      <c r="A19" s="1" t="s">
        <v>63</v>
      </c>
      <c r="B19" s="31">
        <f>30*B18</f>
        <v>10995.675479711006</v>
      </c>
    </row>
    <row r="20" spans="1:10">
      <c r="A20" s="1" t="s">
        <v>64</v>
      </c>
      <c r="B20" s="31">
        <f>B19*12</f>
        <v>131948.10575653208</v>
      </c>
    </row>
    <row r="21" spans="1:10">
      <c r="A21" s="1" t="s">
        <v>65</v>
      </c>
      <c r="B21" s="31">
        <f>D7*B20</f>
        <v>2638962.1151306415</v>
      </c>
    </row>
    <row r="22" spans="1:10">
      <c r="B22" s="29"/>
    </row>
    <row r="23" spans="1:10" ht="30">
      <c r="A23" s="13" t="s">
        <v>19</v>
      </c>
      <c r="B23" s="11" t="s">
        <v>56</v>
      </c>
      <c r="C23" s="11" t="s">
        <v>14</v>
      </c>
      <c r="D23" s="11" t="s">
        <v>61</v>
      </c>
      <c r="E23" s="11" t="s">
        <v>60</v>
      </c>
      <c r="F23" s="11" t="s">
        <v>37</v>
      </c>
      <c r="G23" s="11" t="s">
        <v>57</v>
      </c>
      <c r="H23" s="13" t="s">
        <v>2</v>
      </c>
      <c r="I23" s="13" t="s">
        <v>38</v>
      </c>
      <c r="J23" s="13" t="s">
        <v>5</v>
      </c>
    </row>
    <row r="24" spans="1:10">
      <c r="A24" s="13">
        <v>0</v>
      </c>
      <c r="B24" s="2">
        <v>6</v>
      </c>
      <c r="C24" s="13">
        <v>0</v>
      </c>
      <c r="D24" s="13">
        <f>C24*B24*100000</f>
        <v>0</v>
      </c>
      <c r="E24" s="13">
        <f>B24*100000-D24</f>
        <v>600000</v>
      </c>
      <c r="F24" s="25">
        <f>D24/(D24+E24)</f>
        <v>0</v>
      </c>
      <c r="G24" s="25">
        <f>1-F24</f>
        <v>1</v>
      </c>
      <c r="H24" s="13">
        <f>IF(G24&lt;$D$13,$F13,IF(G24&lt;$D$14,$F$14,IF(G24&lt;$D$15,$F$15,$F$16)))</f>
        <v>0</v>
      </c>
      <c r="I24" s="13">
        <f>IF(G24&lt;$D$13,$E13,IF(G24&lt;$D$14,$E$14,IF(G24&lt;$D$15,$E$15,$E$16)))</f>
        <v>0.04</v>
      </c>
      <c r="J24" s="3">
        <f>B24*I24*$D$9*100000</f>
        <v>4.3504156200637025</v>
      </c>
    </row>
    <row r="25" spans="1:10">
      <c r="A25" s="13">
        <v>1</v>
      </c>
      <c r="B25" s="2">
        <v>3</v>
      </c>
      <c r="C25" s="13">
        <v>0</v>
      </c>
      <c r="D25" s="13">
        <f t="shared" ref="D25:D47" si="0">C25*B25*100000</f>
        <v>0</v>
      </c>
      <c r="E25" s="13">
        <f t="shared" ref="E25:E47" si="1">B25*100000-D25</f>
        <v>300000</v>
      </c>
      <c r="F25" s="25">
        <f t="shared" ref="F25:F47" si="2">D25/(D25+E25)</f>
        <v>0</v>
      </c>
      <c r="G25" s="25">
        <f t="shared" ref="G25:G47" si="3">1-F25</f>
        <v>1</v>
      </c>
      <c r="H25" s="13">
        <f>IF(G25&lt;$D$13,$F14,IF(G25&lt;$D$14,$F$14,IF(G25&lt;$D$15,$F$15,$F$16)))</f>
        <v>0</v>
      </c>
      <c r="I25" s="13">
        <f>IF(G25&lt;$D$13,$E14,IF(G25&lt;$D$14,$E$14,IF(G25&lt;$D$15,$E$15,$E$16)))</f>
        <v>0.04</v>
      </c>
      <c r="J25" s="3">
        <f t="shared" ref="J25:J47" si="4">B25*I25*$D$9*100000</f>
        <v>2.1752078100318513</v>
      </c>
    </row>
    <row r="26" spans="1:10">
      <c r="A26" s="13">
        <v>2</v>
      </c>
      <c r="B26" s="2">
        <v>2</v>
      </c>
      <c r="C26" s="13">
        <v>0</v>
      </c>
      <c r="D26" s="13">
        <f t="shared" si="0"/>
        <v>0</v>
      </c>
      <c r="E26" s="13">
        <f t="shared" si="1"/>
        <v>200000</v>
      </c>
      <c r="F26" s="25">
        <f t="shared" si="2"/>
        <v>0</v>
      </c>
      <c r="G26" s="25">
        <f t="shared" si="3"/>
        <v>1</v>
      </c>
      <c r="H26" s="13">
        <f>IF(G26&lt;$D$13,$F15,IF(G26&lt;$D$14,$F$14,IF(G26&lt;$D$15,$F$15,$F$16)))</f>
        <v>0</v>
      </c>
      <c r="I26" s="13">
        <f>IF(G26&lt;$D$13,$E15,IF(G26&lt;$D$14,$E$14,IF(G26&lt;$D$15,$E$15,$E$16)))</f>
        <v>0.04</v>
      </c>
      <c r="J26" s="3">
        <f t="shared" si="4"/>
        <v>1.4501385400212343</v>
      </c>
    </row>
    <row r="27" spans="1:10">
      <c r="A27" s="13">
        <v>3</v>
      </c>
      <c r="B27" s="2">
        <v>2</v>
      </c>
      <c r="C27" s="13">
        <v>0</v>
      </c>
      <c r="D27" s="13">
        <f t="shared" si="0"/>
        <v>0</v>
      </c>
      <c r="E27" s="13">
        <f t="shared" si="1"/>
        <v>200000</v>
      </c>
      <c r="F27" s="25">
        <f t="shared" si="2"/>
        <v>0</v>
      </c>
      <c r="G27" s="25">
        <f t="shared" si="3"/>
        <v>1</v>
      </c>
      <c r="H27" s="13">
        <f>IF(G27&lt;$D$13,$F16,IF(G27&lt;$D$14,$F$14,IF(G27&lt;$D$15,$F$15,$F$16)))</f>
        <v>0</v>
      </c>
      <c r="I27" s="13">
        <f>IF(G27&lt;$D$13,$E16,IF(G27&lt;$D$14,$E$14,IF(G27&lt;$D$15,$E$15,$E$16)))</f>
        <v>0.04</v>
      </c>
      <c r="J27" s="3">
        <f t="shared" si="4"/>
        <v>1.4501385400212343</v>
      </c>
    </row>
    <row r="28" spans="1:10">
      <c r="A28" s="13">
        <v>4</v>
      </c>
      <c r="B28" s="2">
        <v>4</v>
      </c>
      <c r="C28" s="13">
        <v>0</v>
      </c>
      <c r="D28" s="13">
        <f t="shared" si="0"/>
        <v>0</v>
      </c>
      <c r="E28" s="13">
        <f t="shared" si="1"/>
        <v>400000</v>
      </c>
      <c r="F28" s="25">
        <f t="shared" si="2"/>
        <v>0</v>
      </c>
      <c r="G28" s="25">
        <f t="shared" si="3"/>
        <v>1</v>
      </c>
      <c r="H28" s="13">
        <f>IF(G28&lt;$D$13,$F17,IF(G28&lt;$D$14,$F$14,IF(G28&lt;$D$15,$F$15,$F$16)))</f>
        <v>0</v>
      </c>
      <c r="I28" s="13">
        <f>IF(G28&lt;$D$13,$E17,IF(G28&lt;$D$14,$E$14,IF(G28&lt;$D$15,$E$15,$E$16)))</f>
        <v>0.04</v>
      </c>
      <c r="J28" s="3">
        <f t="shared" si="4"/>
        <v>2.9002770800424686</v>
      </c>
    </row>
    <row r="29" spans="1:10">
      <c r="A29" s="13">
        <v>5</v>
      </c>
      <c r="B29" s="2">
        <v>10</v>
      </c>
      <c r="C29" s="13">
        <v>0</v>
      </c>
      <c r="D29" s="13">
        <f t="shared" si="0"/>
        <v>0</v>
      </c>
      <c r="E29" s="13">
        <f t="shared" si="1"/>
        <v>1000000</v>
      </c>
      <c r="F29" s="25">
        <f t="shared" si="2"/>
        <v>0</v>
      </c>
      <c r="G29" s="25">
        <f t="shared" si="3"/>
        <v>1</v>
      </c>
      <c r="H29" s="13">
        <f>IF(G29&lt;$D$13,$F19,IF(G29&lt;$D$14,$F$14,IF(G29&lt;$D$15,$F$15,$F$16)))</f>
        <v>0</v>
      </c>
      <c r="I29" s="13">
        <f>IF(G29&lt;$D$13,$E19,IF(G29&lt;$D$14,$E$14,IF(G29&lt;$D$15,$E$15,$E$16)))</f>
        <v>0.04</v>
      </c>
      <c r="J29" s="3">
        <f t="shared" si="4"/>
        <v>7.2506927001061712</v>
      </c>
    </row>
    <row r="30" spans="1:10">
      <c r="A30" s="13">
        <v>6</v>
      </c>
      <c r="B30" s="2">
        <v>15</v>
      </c>
      <c r="C30" s="13">
        <v>0</v>
      </c>
      <c r="D30" s="13">
        <f t="shared" si="0"/>
        <v>0</v>
      </c>
      <c r="E30" s="13">
        <f t="shared" si="1"/>
        <v>1500000</v>
      </c>
      <c r="F30" s="25">
        <f t="shared" si="2"/>
        <v>0</v>
      </c>
      <c r="G30" s="25">
        <f t="shared" si="3"/>
        <v>1</v>
      </c>
      <c r="H30" s="13">
        <f>IF(G30&lt;$D$13,$F20,IF(G30&lt;$D$14,$F$14,IF(G30&lt;$D$15,$F$15,$F$16)))</f>
        <v>0</v>
      </c>
      <c r="I30" s="13">
        <f>IF(G30&lt;$D$13,$E20,IF(G30&lt;$D$14,$E$14,IF(G30&lt;$D$15,$E$15,$E$16)))</f>
        <v>0.04</v>
      </c>
      <c r="J30" s="3">
        <f t="shared" si="4"/>
        <v>10.876039050159257</v>
      </c>
    </row>
    <row r="31" spans="1:10">
      <c r="A31" s="13">
        <v>7</v>
      </c>
      <c r="B31" s="2">
        <v>18</v>
      </c>
      <c r="C31" s="13">
        <v>0</v>
      </c>
      <c r="D31" s="13">
        <f t="shared" si="0"/>
        <v>0</v>
      </c>
      <c r="E31" s="13">
        <f t="shared" si="1"/>
        <v>1800000</v>
      </c>
      <c r="F31" s="25">
        <f t="shared" si="2"/>
        <v>0</v>
      </c>
      <c r="G31" s="25">
        <f t="shared" si="3"/>
        <v>1</v>
      </c>
      <c r="H31" s="13">
        <f t="shared" ref="H31:H47" si="5">IF(G31&lt;$D$13,$F22,IF(G31&lt;$D$14,$F$14,IF(G31&lt;$D$15,$F$15,$F$16)))</f>
        <v>0</v>
      </c>
      <c r="I31" s="13">
        <f t="shared" ref="I31:I47" si="6">IF(G31&lt;$D$13,$E23,IF(G31&lt;$D$14,$E$14,IF(G31&lt;$D$15,$E$15,$E$16)))</f>
        <v>0.04</v>
      </c>
      <c r="J31" s="3">
        <f t="shared" si="4"/>
        <v>13.051246860191107</v>
      </c>
    </row>
    <row r="32" spans="1:10">
      <c r="A32" s="13">
        <v>8</v>
      </c>
      <c r="B32" s="2">
        <v>21</v>
      </c>
      <c r="C32" s="13">
        <v>0</v>
      </c>
      <c r="D32" s="13">
        <f t="shared" si="0"/>
        <v>0</v>
      </c>
      <c r="E32" s="13">
        <f t="shared" si="1"/>
        <v>2100000</v>
      </c>
      <c r="F32" s="25">
        <f t="shared" si="2"/>
        <v>0</v>
      </c>
      <c r="G32" s="25">
        <f t="shared" si="3"/>
        <v>1</v>
      </c>
      <c r="H32" s="13">
        <f t="shared" si="5"/>
        <v>0</v>
      </c>
      <c r="I32" s="13">
        <f t="shared" si="6"/>
        <v>0.04</v>
      </c>
      <c r="J32" s="3">
        <f t="shared" si="4"/>
        <v>15.22645467022296</v>
      </c>
    </row>
    <row r="33" spans="1:10">
      <c r="A33" s="13">
        <v>9</v>
      </c>
      <c r="B33" s="2">
        <v>24</v>
      </c>
      <c r="C33" s="13">
        <v>0</v>
      </c>
      <c r="D33" s="13">
        <f t="shared" si="0"/>
        <v>0</v>
      </c>
      <c r="E33" s="13">
        <f t="shared" si="1"/>
        <v>2400000</v>
      </c>
      <c r="F33" s="25">
        <f t="shared" si="2"/>
        <v>0</v>
      </c>
      <c r="G33" s="25">
        <f t="shared" si="3"/>
        <v>1</v>
      </c>
      <c r="H33" s="13">
        <f t="shared" si="5"/>
        <v>0</v>
      </c>
      <c r="I33" s="13">
        <f t="shared" si="6"/>
        <v>0.04</v>
      </c>
      <c r="J33" s="3">
        <f t="shared" si="4"/>
        <v>17.40166248025481</v>
      </c>
    </row>
    <row r="34" spans="1:10">
      <c r="A34" s="13">
        <v>10</v>
      </c>
      <c r="B34" s="2">
        <v>25</v>
      </c>
      <c r="C34" s="13">
        <v>0</v>
      </c>
      <c r="D34" s="13">
        <f t="shared" si="0"/>
        <v>0</v>
      </c>
      <c r="E34" s="13">
        <f t="shared" si="1"/>
        <v>2500000</v>
      </c>
      <c r="F34" s="25">
        <f t="shared" si="2"/>
        <v>0</v>
      </c>
      <c r="G34" s="25">
        <f t="shared" si="3"/>
        <v>1</v>
      </c>
      <c r="H34" s="13">
        <f t="shared" si="5"/>
        <v>0</v>
      </c>
      <c r="I34" s="13">
        <f t="shared" si="6"/>
        <v>0.04</v>
      </c>
      <c r="J34" s="3">
        <f t="shared" si="4"/>
        <v>18.126731750265428</v>
      </c>
    </row>
    <row r="35" spans="1:10">
      <c r="A35" s="13">
        <v>11</v>
      </c>
      <c r="B35" s="2">
        <v>26</v>
      </c>
      <c r="C35" s="13">
        <v>0</v>
      </c>
      <c r="D35" s="13">
        <f t="shared" si="0"/>
        <v>0</v>
      </c>
      <c r="E35" s="13">
        <f t="shared" si="1"/>
        <v>2600000</v>
      </c>
      <c r="F35" s="25">
        <f t="shared" si="2"/>
        <v>0</v>
      </c>
      <c r="G35" s="25">
        <f t="shared" si="3"/>
        <v>1</v>
      </c>
      <c r="H35" s="13">
        <f t="shared" si="5"/>
        <v>0</v>
      </c>
      <c r="I35" s="13">
        <f t="shared" si="6"/>
        <v>0.04</v>
      </c>
      <c r="J35" s="3">
        <f t="shared" si="4"/>
        <v>18.851801020276046</v>
      </c>
    </row>
    <row r="36" spans="1:10">
      <c r="A36" s="13">
        <v>12</v>
      </c>
      <c r="B36" s="2">
        <v>29</v>
      </c>
      <c r="C36" s="13">
        <v>0</v>
      </c>
      <c r="D36" s="13">
        <f t="shared" si="0"/>
        <v>0</v>
      </c>
      <c r="E36" s="13">
        <f t="shared" si="1"/>
        <v>2900000</v>
      </c>
      <c r="F36" s="25">
        <f t="shared" si="2"/>
        <v>0</v>
      </c>
      <c r="G36" s="25">
        <f t="shared" si="3"/>
        <v>1</v>
      </c>
      <c r="H36" s="13">
        <f t="shared" si="5"/>
        <v>0</v>
      </c>
      <c r="I36" s="13">
        <f t="shared" si="6"/>
        <v>0.04</v>
      </c>
      <c r="J36" s="3">
        <f t="shared" si="4"/>
        <v>21.027008830307892</v>
      </c>
    </row>
    <row r="37" spans="1:10">
      <c r="A37" s="13">
        <v>13</v>
      </c>
      <c r="B37" s="2">
        <v>28</v>
      </c>
      <c r="C37" s="13">
        <v>0</v>
      </c>
      <c r="D37" s="13">
        <f t="shared" si="0"/>
        <v>0</v>
      </c>
      <c r="E37" s="13">
        <f t="shared" si="1"/>
        <v>2800000</v>
      </c>
      <c r="F37" s="25">
        <f t="shared" si="2"/>
        <v>0</v>
      </c>
      <c r="G37" s="25">
        <f t="shared" si="3"/>
        <v>1</v>
      </c>
      <c r="H37" s="13">
        <f t="shared" si="5"/>
        <v>0</v>
      </c>
      <c r="I37" s="13">
        <f t="shared" si="6"/>
        <v>0.04</v>
      </c>
      <c r="J37" s="3">
        <f t="shared" si="4"/>
        <v>20.301939560297281</v>
      </c>
    </row>
    <row r="38" spans="1:10">
      <c r="A38" s="13">
        <v>14</v>
      </c>
      <c r="B38" s="2">
        <v>29</v>
      </c>
      <c r="C38" s="13">
        <v>0</v>
      </c>
      <c r="D38" s="13">
        <f t="shared" si="0"/>
        <v>0</v>
      </c>
      <c r="E38" s="13">
        <f t="shared" si="1"/>
        <v>2900000</v>
      </c>
      <c r="F38" s="25">
        <f t="shared" si="2"/>
        <v>0</v>
      </c>
      <c r="G38" s="25">
        <f t="shared" si="3"/>
        <v>1</v>
      </c>
      <c r="H38" s="13">
        <f t="shared" si="5"/>
        <v>0</v>
      </c>
      <c r="I38" s="13">
        <f t="shared" si="6"/>
        <v>0.04</v>
      </c>
      <c r="J38" s="3">
        <f t="shared" si="4"/>
        <v>21.027008830307892</v>
      </c>
    </row>
    <row r="39" spans="1:10">
      <c r="A39" s="13">
        <v>15</v>
      </c>
      <c r="B39" s="2">
        <v>29</v>
      </c>
      <c r="C39" s="13">
        <v>0</v>
      </c>
      <c r="D39" s="13">
        <f t="shared" si="0"/>
        <v>0</v>
      </c>
      <c r="E39" s="13">
        <f t="shared" si="1"/>
        <v>2900000</v>
      </c>
      <c r="F39" s="25">
        <f t="shared" si="2"/>
        <v>0</v>
      </c>
      <c r="G39" s="25">
        <f t="shared" si="3"/>
        <v>1</v>
      </c>
      <c r="H39" s="13">
        <f t="shared" si="5"/>
        <v>0</v>
      </c>
      <c r="I39" s="13">
        <f t="shared" si="6"/>
        <v>0.04</v>
      </c>
      <c r="J39" s="3">
        <f t="shared" si="4"/>
        <v>21.027008830307892</v>
      </c>
    </row>
    <row r="40" spans="1:10">
      <c r="A40" s="13">
        <v>16</v>
      </c>
      <c r="B40" s="2">
        <v>29</v>
      </c>
      <c r="C40" s="13">
        <v>0</v>
      </c>
      <c r="D40" s="13">
        <f t="shared" si="0"/>
        <v>0</v>
      </c>
      <c r="E40" s="13">
        <f t="shared" si="1"/>
        <v>2900000</v>
      </c>
      <c r="F40" s="25">
        <f t="shared" si="2"/>
        <v>0</v>
      </c>
      <c r="G40" s="25">
        <f t="shared" si="3"/>
        <v>1</v>
      </c>
      <c r="H40" s="13">
        <f t="shared" si="5"/>
        <v>0</v>
      </c>
      <c r="I40" s="13">
        <f t="shared" si="6"/>
        <v>0.04</v>
      </c>
      <c r="J40" s="3">
        <f t="shared" si="4"/>
        <v>21.027008830307892</v>
      </c>
    </row>
    <row r="41" spans="1:10">
      <c r="A41" s="13">
        <v>17</v>
      </c>
      <c r="B41" s="2">
        <v>29</v>
      </c>
      <c r="C41" s="13">
        <v>0</v>
      </c>
      <c r="D41" s="13">
        <f t="shared" si="0"/>
        <v>0</v>
      </c>
      <c r="E41" s="13">
        <f t="shared" si="1"/>
        <v>2900000</v>
      </c>
      <c r="F41" s="25">
        <f t="shared" si="2"/>
        <v>0</v>
      </c>
      <c r="G41" s="25">
        <f t="shared" si="3"/>
        <v>1</v>
      </c>
      <c r="H41" s="13">
        <f t="shared" si="5"/>
        <v>0</v>
      </c>
      <c r="I41" s="13">
        <f t="shared" si="6"/>
        <v>0.04</v>
      </c>
      <c r="J41" s="3">
        <f t="shared" si="4"/>
        <v>21.027008830307892</v>
      </c>
    </row>
    <row r="42" spans="1:10">
      <c r="A42" s="13">
        <v>18</v>
      </c>
      <c r="B42" s="2">
        <v>39</v>
      </c>
      <c r="C42" s="13">
        <v>2.5917704599663771E-10</v>
      </c>
      <c r="D42" s="13">
        <f t="shared" si="0"/>
        <v>1.0107904793868871E-3</v>
      </c>
      <c r="E42" s="13">
        <f t="shared" si="1"/>
        <v>3899999.9989892095</v>
      </c>
      <c r="F42" s="25">
        <f t="shared" si="2"/>
        <v>2.5917704599663771E-10</v>
      </c>
      <c r="G42" s="25">
        <f t="shared" si="3"/>
        <v>0.99999999974082299</v>
      </c>
      <c r="H42" s="13">
        <f t="shared" si="5"/>
        <v>0</v>
      </c>
      <c r="I42" s="13">
        <f t="shared" si="6"/>
        <v>0.04</v>
      </c>
      <c r="J42" s="3">
        <f t="shared" si="4"/>
        <v>28.277701530414067</v>
      </c>
    </row>
    <row r="43" spans="1:10">
      <c r="A43" s="13">
        <v>19</v>
      </c>
      <c r="B43" s="2">
        <v>47</v>
      </c>
      <c r="C43" s="13">
        <v>1.7523673033840367E-6</v>
      </c>
      <c r="D43" s="13">
        <f t="shared" si="0"/>
        <v>8.2361263259049728</v>
      </c>
      <c r="E43" s="13">
        <f t="shared" si="1"/>
        <v>4699991.763873674</v>
      </c>
      <c r="F43" s="25">
        <f t="shared" si="2"/>
        <v>1.7523673033840367E-6</v>
      </c>
      <c r="G43" s="25">
        <f t="shared" si="3"/>
        <v>0.99999824763269662</v>
      </c>
      <c r="H43" s="13">
        <f t="shared" si="5"/>
        <v>0</v>
      </c>
      <c r="I43" s="13">
        <f t="shared" si="6"/>
        <v>0.02</v>
      </c>
      <c r="J43" s="3">
        <f t="shared" si="4"/>
        <v>17.039127845249503</v>
      </c>
    </row>
    <row r="44" spans="1:10">
      <c r="A44" s="13">
        <v>20</v>
      </c>
      <c r="B44" s="2">
        <v>45</v>
      </c>
      <c r="C44" s="13">
        <v>1.8533394269777702E-7</v>
      </c>
      <c r="D44" s="13">
        <f t="shared" si="0"/>
        <v>0.83400274213999659</v>
      </c>
      <c r="E44" s="13">
        <f t="shared" si="1"/>
        <v>4499999.1659972575</v>
      </c>
      <c r="F44" s="25">
        <f t="shared" si="2"/>
        <v>1.8533394269777702E-7</v>
      </c>
      <c r="G44" s="25">
        <f t="shared" si="3"/>
        <v>0.99999981466605725</v>
      </c>
      <c r="H44" s="13">
        <f t="shared" si="5"/>
        <v>0</v>
      </c>
      <c r="I44" s="13">
        <f t="shared" si="6"/>
        <v>0.04</v>
      </c>
      <c r="J44" s="3">
        <f t="shared" si="4"/>
        <v>32.62811715047777</v>
      </c>
    </row>
    <row r="45" spans="1:10">
      <c r="A45" s="13">
        <v>21</v>
      </c>
      <c r="B45" s="2">
        <v>36</v>
      </c>
      <c r="C45" s="13">
        <v>9.9776723320548687E-12</v>
      </c>
      <c r="D45" s="13">
        <f t="shared" si="0"/>
        <v>3.591962039539753E-5</v>
      </c>
      <c r="E45" s="13">
        <f t="shared" si="1"/>
        <v>3599999.9999640803</v>
      </c>
      <c r="F45" s="25">
        <f t="shared" si="2"/>
        <v>9.9776723320548687E-12</v>
      </c>
      <c r="G45" s="25">
        <f t="shared" si="3"/>
        <v>0.99999999999002231</v>
      </c>
      <c r="H45" s="13">
        <f t="shared" si="5"/>
        <v>0</v>
      </c>
      <c r="I45" s="13">
        <f t="shared" si="6"/>
        <v>0.04</v>
      </c>
      <c r="J45" s="3">
        <f t="shared" si="4"/>
        <v>26.102493720382213</v>
      </c>
    </row>
    <row r="46" spans="1:10">
      <c r="A46" s="13">
        <v>22</v>
      </c>
      <c r="B46" s="2">
        <v>22</v>
      </c>
      <c r="C46" s="13">
        <v>0</v>
      </c>
      <c r="D46" s="13">
        <f t="shared" si="0"/>
        <v>0</v>
      </c>
      <c r="E46" s="13">
        <f t="shared" si="1"/>
        <v>2200000</v>
      </c>
      <c r="F46" s="25">
        <f t="shared" si="2"/>
        <v>0</v>
      </c>
      <c r="G46" s="25">
        <f t="shared" si="3"/>
        <v>1</v>
      </c>
      <c r="H46" s="13">
        <f t="shared" si="5"/>
        <v>0</v>
      </c>
      <c r="I46" s="13">
        <f t="shared" si="6"/>
        <v>0.04</v>
      </c>
      <c r="J46" s="3">
        <f t="shared" si="4"/>
        <v>15.951523940233576</v>
      </c>
    </row>
    <row r="47" spans="1:10">
      <c r="A47" s="13">
        <v>23</v>
      </c>
      <c r="B47" s="2">
        <v>11</v>
      </c>
      <c r="C47" s="13">
        <v>0</v>
      </c>
      <c r="D47" s="13">
        <f t="shared" si="0"/>
        <v>0</v>
      </c>
      <c r="E47" s="13">
        <f t="shared" si="1"/>
        <v>1100000</v>
      </c>
      <c r="F47" s="25">
        <f t="shared" si="2"/>
        <v>0</v>
      </c>
      <c r="G47" s="25">
        <f t="shared" si="3"/>
        <v>1</v>
      </c>
      <c r="H47" s="13">
        <f t="shared" si="5"/>
        <v>0</v>
      </c>
      <c r="I47" s="13">
        <f t="shared" si="6"/>
        <v>0.04</v>
      </c>
      <c r="J47" s="3">
        <f t="shared" si="4"/>
        <v>7.9757619701167881</v>
      </c>
    </row>
    <row r="49" spans="1:10">
      <c r="A49" s="1" t="s">
        <v>20</v>
      </c>
      <c r="B49" s="33">
        <f>SUM(B24:B47)</f>
        <v>529</v>
      </c>
      <c r="H49" s="31">
        <f>SUM(H24:H47)</f>
        <v>0</v>
      </c>
      <c r="J49" s="31">
        <f>SUM(J24:J47)</f>
        <v>366.52251599036686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4:H125"/>
  <sheetViews>
    <sheetView workbookViewId="0">
      <selection activeCell="D4" sqref="D4"/>
    </sheetView>
  </sheetViews>
  <sheetFormatPr defaultRowHeight="15"/>
  <cols>
    <col min="1" max="1" width="17.28515625" customWidth="1"/>
    <col min="2" max="2" width="16.85546875" style="2" customWidth="1"/>
    <col min="3" max="3" width="17" customWidth="1"/>
    <col min="4" max="4" width="16.28515625" customWidth="1"/>
    <col min="5" max="5" width="14.5703125" customWidth="1"/>
    <col min="6" max="6" width="15.140625" customWidth="1"/>
    <col min="7" max="7" width="12.7109375" customWidth="1"/>
    <col min="8" max="8" width="15.140625" customWidth="1"/>
    <col min="9" max="9" width="18.42578125" customWidth="1"/>
    <col min="10" max="10" width="20.5703125" customWidth="1"/>
    <col min="11" max="11" width="21.28515625" customWidth="1"/>
    <col min="12" max="12" width="14.5703125" customWidth="1"/>
    <col min="13" max="13" width="16.7109375" customWidth="1"/>
    <col min="14" max="14" width="14.42578125" customWidth="1"/>
    <col min="15" max="15" width="14.28515625" customWidth="1"/>
    <col min="16" max="17" width="12.140625" customWidth="1"/>
  </cols>
  <sheetData>
    <row r="4" spans="1:4" ht="30">
      <c r="A4" s="11" t="s">
        <v>19</v>
      </c>
      <c r="B4" s="11" t="s">
        <v>51</v>
      </c>
      <c r="C4" s="11" t="s">
        <v>52</v>
      </c>
      <c r="D4" s="11" t="s">
        <v>53</v>
      </c>
    </row>
    <row r="5" spans="1:4">
      <c r="A5" s="2">
        <v>0</v>
      </c>
      <c r="B5" s="21">
        <v>5.9</v>
      </c>
      <c r="C5" s="22">
        <f t="shared" ref="C5:C28" si="0">B5-SQRT(B5)</f>
        <v>3.4710084397017766</v>
      </c>
      <c r="D5" s="22">
        <f t="shared" ref="D5:D28" si="1">B5+SQRT(B5)</f>
        <v>8.3289915602982241</v>
      </c>
    </row>
    <row r="6" spans="1:4">
      <c r="A6" s="2">
        <v>1</v>
      </c>
      <c r="B6" s="21">
        <v>3.3</v>
      </c>
      <c r="C6" s="22">
        <f t="shared" si="0"/>
        <v>1.4834097875415049</v>
      </c>
      <c r="D6" s="22">
        <f t="shared" si="1"/>
        <v>5.1165902124584948</v>
      </c>
    </row>
    <row r="7" spans="1:4">
      <c r="A7" s="2">
        <v>2</v>
      </c>
      <c r="B7" s="21">
        <v>2.1</v>
      </c>
      <c r="C7" s="22">
        <f t="shared" si="0"/>
        <v>0.65086232538105615</v>
      </c>
      <c r="D7" s="22">
        <f t="shared" si="1"/>
        <v>3.5491376746189438</v>
      </c>
    </row>
    <row r="8" spans="1:4">
      <c r="A8" s="2">
        <v>3</v>
      </c>
      <c r="B8" s="21">
        <v>1.9</v>
      </c>
      <c r="C8" s="22">
        <f t="shared" si="0"/>
        <v>0.5215951247909778</v>
      </c>
      <c r="D8" s="22">
        <f t="shared" si="1"/>
        <v>3.2784048752090218</v>
      </c>
    </row>
    <row r="9" spans="1:4">
      <c r="A9" s="2">
        <v>4</v>
      </c>
      <c r="B9" s="21">
        <v>3.9</v>
      </c>
      <c r="C9" s="22">
        <f t="shared" si="0"/>
        <v>1.9251582341868501</v>
      </c>
      <c r="D9" s="22">
        <f t="shared" si="1"/>
        <v>5.8748417658131498</v>
      </c>
    </row>
    <row r="10" spans="1:4">
      <c r="A10" s="2">
        <v>5</v>
      </c>
      <c r="B10" s="21">
        <v>10.4</v>
      </c>
      <c r="C10" s="22">
        <f t="shared" si="0"/>
        <v>7.1750969006805807</v>
      </c>
      <c r="D10" s="22">
        <f t="shared" si="1"/>
        <v>13.62490309931942</v>
      </c>
    </row>
    <row r="11" spans="1:4">
      <c r="A11" s="2">
        <v>6</v>
      </c>
      <c r="B11" s="21">
        <v>15.3</v>
      </c>
      <c r="C11" s="22">
        <f t="shared" si="0"/>
        <v>11.388478556878411</v>
      </c>
      <c r="D11" s="22">
        <f t="shared" si="1"/>
        <v>19.21152144312159</v>
      </c>
    </row>
    <row r="12" spans="1:4">
      <c r="A12" s="2">
        <v>7</v>
      </c>
      <c r="B12" s="21">
        <v>18.3</v>
      </c>
      <c r="C12" s="22">
        <f t="shared" si="0"/>
        <v>14.022150072758514</v>
      </c>
      <c r="D12" s="22">
        <f t="shared" si="1"/>
        <v>22.577849927241488</v>
      </c>
    </row>
    <row r="13" spans="1:4">
      <c r="A13" s="2">
        <v>8</v>
      </c>
      <c r="B13" s="21">
        <v>21.2</v>
      </c>
      <c r="C13" s="22">
        <f t="shared" si="0"/>
        <v>16.595654226711464</v>
      </c>
      <c r="D13" s="22">
        <f t="shared" si="1"/>
        <v>25.804345773288535</v>
      </c>
    </row>
    <row r="14" spans="1:4">
      <c r="A14" s="2">
        <v>9</v>
      </c>
      <c r="B14" s="21">
        <v>23.6</v>
      </c>
      <c r="C14" s="22">
        <f t="shared" si="0"/>
        <v>18.742016879403554</v>
      </c>
      <c r="D14" s="22">
        <f t="shared" si="1"/>
        <v>28.457983120596449</v>
      </c>
    </row>
    <row r="15" spans="1:4">
      <c r="A15" s="2">
        <v>10</v>
      </c>
      <c r="B15" s="21">
        <v>25</v>
      </c>
      <c r="C15" s="22">
        <f t="shared" si="0"/>
        <v>20</v>
      </c>
      <c r="D15" s="22">
        <f t="shared" si="1"/>
        <v>30</v>
      </c>
    </row>
    <row r="16" spans="1:4">
      <c r="A16" s="2">
        <v>11</v>
      </c>
      <c r="B16" s="21">
        <v>25.8</v>
      </c>
      <c r="C16" s="22">
        <f t="shared" si="0"/>
        <v>20.720629960319883</v>
      </c>
      <c r="D16" s="22">
        <f t="shared" si="1"/>
        <v>30.879370039680119</v>
      </c>
    </row>
    <row r="17" spans="1:8">
      <c r="A17" s="2">
        <v>12</v>
      </c>
      <c r="B17" s="21">
        <v>28.8</v>
      </c>
      <c r="C17" s="22">
        <f t="shared" si="0"/>
        <v>23.433436854000504</v>
      </c>
      <c r="D17" s="22">
        <f t="shared" si="1"/>
        <v>34.166563145999497</v>
      </c>
    </row>
    <row r="18" spans="1:8">
      <c r="A18" s="2">
        <v>13</v>
      </c>
      <c r="B18" s="21">
        <v>28.2</v>
      </c>
      <c r="C18" s="22">
        <f t="shared" si="0"/>
        <v>22.889632781059298</v>
      </c>
      <c r="D18" s="22">
        <f t="shared" si="1"/>
        <v>33.510367218940701</v>
      </c>
    </row>
    <row r="19" spans="1:8">
      <c r="A19" s="2">
        <v>14</v>
      </c>
      <c r="B19" s="21">
        <v>28.6</v>
      </c>
      <c r="C19" s="22">
        <f t="shared" si="0"/>
        <v>23.252103217151628</v>
      </c>
      <c r="D19" s="22">
        <f t="shared" si="1"/>
        <v>33.947896782848375</v>
      </c>
    </row>
    <row r="20" spans="1:8">
      <c r="A20" s="2">
        <v>15</v>
      </c>
      <c r="B20" s="21">
        <v>28.5</v>
      </c>
      <c r="C20" s="22">
        <f t="shared" si="0"/>
        <v>23.161460873984346</v>
      </c>
      <c r="D20" s="22">
        <f t="shared" si="1"/>
        <v>33.838539126015654</v>
      </c>
    </row>
    <row r="21" spans="1:8">
      <c r="A21" s="2">
        <v>16</v>
      </c>
      <c r="B21" s="21">
        <v>29.4</v>
      </c>
      <c r="C21" s="22">
        <f t="shared" si="0"/>
        <v>23.977823315309614</v>
      </c>
      <c r="D21" s="22">
        <f t="shared" si="1"/>
        <v>34.822176684690383</v>
      </c>
    </row>
    <row r="22" spans="1:8">
      <c r="A22" s="2">
        <v>17</v>
      </c>
      <c r="B22" s="21">
        <v>28.9</v>
      </c>
      <c r="C22" s="22">
        <f t="shared" si="0"/>
        <v>23.524127977713754</v>
      </c>
      <c r="D22" s="22">
        <f t="shared" si="1"/>
        <v>34.275872022286244</v>
      </c>
      <c r="E22" s="1"/>
      <c r="F22" s="1"/>
      <c r="G22" s="1"/>
      <c r="H22" s="1">
        <f>TRUNC($F$22/150)</f>
        <v>0</v>
      </c>
    </row>
    <row r="23" spans="1:8">
      <c r="A23" s="2">
        <v>18</v>
      </c>
      <c r="B23" s="21">
        <v>38.9</v>
      </c>
      <c r="C23" s="22">
        <f t="shared" si="0"/>
        <v>32.663013548194925</v>
      </c>
      <c r="D23" s="22">
        <f t="shared" si="1"/>
        <v>45.136986451805072</v>
      </c>
    </row>
    <row r="24" spans="1:8">
      <c r="A24" s="2">
        <v>19</v>
      </c>
      <c r="B24" s="21">
        <v>46.7</v>
      </c>
      <c r="C24" s="22">
        <f t="shared" si="0"/>
        <v>39.866260174692044</v>
      </c>
      <c r="D24" s="22">
        <f t="shared" si="1"/>
        <v>53.533739825307961</v>
      </c>
      <c r="E24" s="2"/>
      <c r="F24" s="2"/>
    </row>
    <row r="25" spans="1:8">
      <c r="A25" s="2">
        <v>20</v>
      </c>
      <c r="B25" s="21">
        <v>45.3</v>
      </c>
      <c r="C25" s="22">
        <f t="shared" si="0"/>
        <v>38.569472531814462</v>
      </c>
      <c r="D25" s="22">
        <f t="shared" si="1"/>
        <v>52.030527468185532</v>
      </c>
      <c r="E25" s="2"/>
      <c r="F25" s="2"/>
    </row>
    <row r="26" spans="1:8">
      <c r="A26" s="2">
        <v>21</v>
      </c>
      <c r="B26" s="21">
        <v>35.5</v>
      </c>
      <c r="C26" s="22">
        <f t="shared" si="0"/>
        <v>29.541812356093509</v>
      </c>
      <c r="D26" s="22">
        <f t="shared" si="1"/>
        <v>41.458187643906491</v>
      </c>
      <c r="E26" s="2"/>
      <c r="F26" s="2"/>
    </row>
    <row r="27" spans="1:8">
      <c r="A27" s="2">
        <v>22</v>
      </c>
      <c r="B27" s="21">
        <v>21.7</v>
      </c>
      <c r="C27" s="22">
        <f t="shared" si="0"/>
        <v>17.041674120459152</v>
      </c>
      <c r="D27" s="22">
        <f t="shared" si="1"/>
        <v>26.358325879540846</v>
      </c>
      <c r="E27" s="2"/>
      <c r="F27" s="2"/>
    </row>
    <row r="28" spans="1:8">
      <c r="A28" s="2">
        <v>23</v>
      </c>
      <c r="B28" s="21">
        <v>10.8</v>
      </c>
      <c r="C28" s="22">
        <f t="shared" si="0"/>
        <v>7.5136646549690038</v>
      </c>
      <c r="D28" s="22">
        <f t="shared" si="1"/>
        <v>14.086335345030998</v>
      </c>
      <c r="E28" s="2"/>
      <c r="F28" s="2"/>
    </row>
    <row r="29" spans="1:8">
      <c r="C29" s="19"/>
      <c r="D29" s="19"/>
      <c r="E29" s="2"/>
      <c r="F29" s="2"/>
    </row>
    <row r="30" spans="1:8">
      <c r="A30" t="s">
        <v>20</v>
      </c>
      <c r="B30" s="22">
        <f>SUM(B5:B28)</f>
        <v>527.99999999999989</v>
      </c>
      <c r="C30" s="22">
        <f t="shared" ref="C30:D30" si="2">SUM(C5:C28)</f>
        <v>422.13054291379683</v>
      </c>
      <c r="D30" s="22">
        <f t="shared" si="2"/>
        <v>633.86945708620317</v>
      </c>
      <c r="E30" s="2"/>
      <c r="F30" s="2"/>
    </row>
    <row r="31" spans="1:8">
      <c r="C31" s="19"/>
      <c r="D31" s="19"/>
      <c r="E31" s="2"/>
      <c r="F31" s="2"/>
    </row>
    <row r="32" spans="1:8">
      <c r="C32" s="19"/>
      <c r="D32" s="19"/>
      <c r="E32" s="2"/>
      <c r="F32" s="2"/>
    </row>
    <row r="33" spans="3:6">
      <c r="C33" s="19"/>
      <c r="D33" s="19"/>
      <c r="E33" s="2"/>
      <c r="F33" s="2"/>
    </row>
    <row r="34" spans="3:6">
      <c r="C34" s="19"/>
      <c r="D34" s="19"/>
      <c r="E34" s="2"/>
      <c r="F34" s="2"/>
    </row>
    <row r="35" spans="3:6">
      <c r="C35" s="19"/>
      <c r="D35" s="19"/>
      <c r="E35" s="2"/>
      <c r="F35" s="2"/>
    </row>
    <row r="36" spans="3:6">
      <c r="C36" s="19"/>
      <c r="D36" s="19"/>
      <c r="E36" s="2"/>
      <c r="F36" s="2"/>
    </row>
    <row r="37" spans="3:6">
      <c r="C37" s="19"/>
      <c r="D37" s="19"/>
      <c r="E37" s="2"/>
      <c r="F37" s="2"/>
    </row>
    <row r="38" spans="3:6">
      <c r="C38" s="19"/>
      <c r="D38" s="19"/>
      <c r="E38" s="2"/>
      <c r="F38" s="2"/>
    </row>
    <row r="39" spans="3:6">
      <c r="C39" s="19"/>
      <c r="D39" s="19"/>
      <c r="E39" s="2"/>
      <c r="F39" s="2"/>
    </row>
    <row r="40" spans="3:6">
      <c r="C40" s="19"/>
      <c r="D40" s="19"/>
      <c r="E40" s="2"/>
      <c r="F40" s="2"/>
    </row>
    <row r="41" spans="3:6">
      <c r="C41" s="19"/>
      <c r="D41" s="19"/>
      <c r="E41" s="2"/>
      <c r="F41" s="2"/>
    </row>
    <row r="42" spans="3:6">
      <c r="C42" s="19"/>
      <c r="D42" s="19"/>
      <c r="E42" s="2"/>
      <c r="F42" s="2"/>
    </row>
    <row r="43" spans="3:6">
      <c r="C43" s="19"/>
      <c r="D43" s="19"/>
      <c r="E43" s="2"/>
      <c r="F43" s="2"/>
    </row>
    <row r="44" spans="3:6">
      <c r="C44" s="19"/>
      <c r="D44" s="19"/>
      <c r="E44" s="2"/>
      <c r="F44" s="2"/>
    </row>
    <row r="45" spans="3:6">
      <c r="C45" s="19"/>
      <c r="D45" s="19"/>
      <c r="E45" s="2"/>
      <c r="F45" s="2"/>
    </row>
    <row r="46" spans="3:6">
      <c r="C46" s="19"/>
      <c r="D46" s="19"/>
      <c r="E46" s="2"/>
      <c r="F46" s="2"/>
    </row>
    <row r="47" spans="3:6">
      <c r="C47" s="19"/>
      <c r="D47" s="19"/>
      <c r="E47" s="2"/>
      <c r="F47" s="2"/>
    </row>
    <row r="48" spans="3:6">
      <c r="C48" s="19"/>
      <c r="D48" s="19"/>
      <c r="E48" s="2"/>
      <c r="F48" s="2"/>
    </row>
    <row r="49" spans="3:6">
      <c r="C49" s="19"/>
      <c r="D49" s="19"/>
      <c r="E49" s="2"/>
      <c r="F49" s="2"/>
    </row>
    <row r="50" spans="3:6">
      <c r="C50" s="19"/>
      <c r="D50" s="19"/>
      <c r="E50" s="2"/>
      <c r="F50" s="2"/>
    </row>
    <row r="51" spans="3:6">
      <c r="C51" s="19"/>
      <c r="D51" s="19"/>
      <c r="E51" s="2"/>
      <c r="F51" s="2"/>
    </row>
    <row r="52" spans="3:6">
      <c r="C52" s="19"/>
      <c r="D52" s="19"/>
      <c r="E52" s="2"/>
      <c r="F52" s="2"/>
    </row>
    <row r="53" spans="3:6">
      <c r="C53" s="19"/>
      <c r="D53" s="19"/>
      <c r="E53" s="2"/>
      <c r="F53" s="2"/>
    </row>
    <row r="54" spans="3:6">
      <c r="C54" s="19"/>
      <c r="D54" s="19"/>
      <c r="E54" s="2"/>
      <c r="F54" s="2"/>
    </row>
    <row r="55" spans="3:6">
      <c r="C55" s="19"/>
      <c r="D55" s="19"/>
      <c r="E55" s="2"/>
      <c r="F55" s="2"/>
    </row>
    <row r="56" spans="3:6">
      <c r="C56" s="19"/>
      <c r="D56" s="19"/>
      <c r="E56" s="2"/>
      <c r="F56" s="2"/>
    </row>
    <row r="57" spans="3:6">
      <c r="C57" s="19"/>
      <c r="D57" s="19"/>
      <c r="E57" s="2"/>
      <c r="F57" s="2"/>
    </row>
    <row r="58" spans="3:6">
      <c r="C58" s="19"/>
      <c r="D58" s="19"/>
      <c r="E58" s="2"/>
      <c r="F58" s="2"/>
    </row>
    <row r="59" spans="3:6">
      <c r="C59" s="19"/>
      <c r="D59" s="19"/>
      <c r="E59" s="2"/>
      <c r="F59" s="2"/>
    </row>
    <row r="60" spans="3:6">
      <c r="C60" s="19"/>
      <c r="D60" s="19"/>
      <c r="E60" s="2"/>
      <c r="F60" s="2"/>
    </row>
    <row r="61" spans="3:6">
      <c r="C61" s="19"/>
      <c r="D61" s="19"/>
      <c r="E61" s="2"/>
      <c r="F61" s="2"/>
    </row>
    <row r="62" spans="3:6">
      <c r="C62" s="19"/>
      <c r="D62" s="19"/>
      <c r="E62" s="2"/>
      <c r="F62" s="2"/>
    </row>
    <row r="63" spans="3:6">
      <c r="C63" s="19"/>
      <c r="D63" s="19"/>
      <c r="E63" s="2"/>
      <c r="F63" s="2"/>
    </row>
    <row r="64" spans="3:6">
      <c r="C64" s="19"/>
      <c r="D64" s="19"/>
      <c r="E64" s="2"/>
      <c r="F64" s="2"/>
    </row>
    <row r="65" spans="3:6">
      <c r="C65" s="19"/>
      <c r="D65" s="19"/>
      <c r="E65" s="2"/>
      <c r="F65" s="2"/>
    </row>
    <row r="66" spans="3:6">
      <c r="C66" s="19"/>
      <c r="D66" s="19"/>
      <c r="E66" s="2"/>
      <c r="F66" s="2"/>
    </row>
    <row r="67" spans="3:6">
      <c r="C67" s="19"/>
      <c r="D67" s="19"/>
      <c r="E67" s="2"/>
      <c r="F67" s="2"/>
    </row>
    <row r="68" spans="3:6">
      <c r="C68" s="19"/>
      <c r="D68" s="19"/>
      <c r="E68" s="2"/>
      <c r="F68" s="2"/>
    </row>
    <row r="69" spans="3:6">
      <c r="C69" s="19"/>
      <c r="D69" s="19"/>
      <c r="E69" s="2"/>
      <c r="F69" s="2"/>
    </row>
    <row r="70" spans="3:6">
      <c r="C70" s="19"/>
      <c r="D70" s="19"/>
      <c r="E70" s="2"/>
      <c r="F70" s="2"/>
    </row>
    <row r="71" spans="3:6">
      <c r="C71" s="19"/>
      <c r="D71" s="19"/>
      <c r="E71" s="2"/>
      <c r="F71" s="2"/>
    </row>
    <row r="72" spans="3:6">
      <c r="C72" s="19"/>
      <c r="D72" s="19"/>
      <c r="E72" s="2"/>
      <c r="F72" s="2"/>
    </row>
    <row r="73" spans="3:6">
      <c r="C73" s="19"/>
      <c r="D73" s="19"/>
      <c r="E73" s="2"/>
      <c r="F73" s="2"/>
    </row>
    <row r="74" spans="3:6">
      <c r="C74" s="19"/>
      <c r="D74" s="19"/>
      <c r="E74" s="2"/>
      <c r="F74" s="2"/>
    </row>
    <row r="75" spans="3:6">
      <c r="C75" s="19"/>
      <c r="D75" s="19"/>
      <c r="E75" s="2"/>
      <c r="F75" s="2"/>
    </row>
    <row r="76" spans="3:6">
      <c r="C76" s="19"/>
      <c r="D76" s="19"/>
      <c r="E76" s="2"/>
      <c r="F76" s="2"/>
    </row>
    <row r="77" spans="3:6">
      <c r="C77" s="19"/>
      <c r="D77" s="19"/>
      <c r="E77" s="2"/>
      <c r="F77" s="2"/>
    </row>
    <row r="78" spans="3:6">
      <c r="C78" s="19"/>
      <c r="D78" s="19"/>
      <c r="E78" s="2"/>
      <c r="F78" s="2"/>
    </row>
    <row r="79" spans="3:6">
      <c r="C79" s="19"/>
      <c r="D79" s="19"/>
      <c r="E79" s="2"/>
      <c r="F79" s="2"/>
    </row>
    <row r="80" spans="3:6">
      <c r="C80" s="19"/>
      <c r="D80" s="19"/>
      <c r="E80" s="2"/>
      <c r="F80" s="2"/>
    </row>
    <row r="81" spans="3:6">
      <c r="C81" s="19"/>
      <c r="D81" s="19"/>
      <c r="E81" s="2"/>
      <c r="F81" s="2"/>
    </row>
    <row r="82" spans="3:6">
      <c r="C82" s="19"/>
      <c r="D82" s="19"/>
      <c r="E82" s="2"/>
      <c r="F82" s="2"/>
    </row>
    <row r="83" spans="3:6">
      <c r="C83" s="19"/>
      <c r="D83" s="19"/>
      <c r="E83" s="2"/>
      <c r="F83" s="2"/>
    </row>
    <row r="84" spans="3:6">
      <c r="C84" s="19"/>
      <c r="D84" s="19"/>
      <c r="E84" s="2"/>
      <c r="F84" s="2"/>
    </row>
    <row r="85" spans="3:6">
      <c r="C85" s="19"/>
      <c r="D85" s="19"/>
      <c r="E85" s="2"/>
      <c r="F85" s="2"/>
    </row>
    <row r="86" spans="3:6">
      <c r="C86" s="19"/>
      <c r="D86" s="19"/>
      <c r="E86" s="2"/>
      <c r="F86" s="2"/>
    </row>
    <row r="87" spans="3:6">
      <c r="C87" s="19"/>
      <c r="D87" s="19"/>
      <c r="E87" s="2"/>
      <c r="F87" s="2"/>
    </row>
    <row r="88" spans="3:6">
      <c r="C88" s="19"/>
      <c r="D88" s="19"/>
      <c r="E88" s="2"/>
      <c r="F88" s="2"/>
    </row>
    <row r="89" spans="3:6">
      <c r="C89" s="19"/>
      <c r="D89" s="19"/>
      <c r="E89" s="2"/>
      <c r="F89" s="2"/>
    </row>
    <row r="90" spans="3:6">
      <c r="C90" s="19"/>
      <c r="D90" s="19"/>
      <c r="E90" s="2"/>
      <c r="F90" s="2"/>
    </row>
    <row r="91" spans="3:6">
      <c r="C91" s="19"/>
      <c r="D91" s="19"/>
      <c r="E91" s="2"/>
      <c r="F91" s="2"/>
    </row>
    <row r="92" spans="3:6">
      <c r="C92" s="19"/>
      <c r="D92" s="19"/>
      <c r="E92" s="2"/>
      <c r="F92" s="2"/>
    </row>
    <row r="93" spans="3:6">
      <c r="C93" s="19"/>
      <c r="D93" s="19"/>
      <c r="E93" s="2"/>
      <c r="F93" s="2"/>
    </row>
    <row r="94" spans="3:6">
      <c r="C94" s="19"/>
      <c r="D94" s="19"/>
      <c r="E94" s="2"/>
      <c r="F94" s="2"/>
    </row>
    <row r="95" spans="3:6">
      <c r="C95" s="19"/>
      <c r="D95" s="19"/>
      <c r="E95" s="2"/>
      <c r="F95" s="2"/>
    </row>
    <row r="96" spans="3:6">
      <c r="C96" s="19"/>
      <c r="D96" s="19"/>
      <c r="E96" s="2"/>
      <c r="F96" s="2"/>
    </row>
    <row r="97" spans="3:6">
      <c r="C97" s="19"/>
      <c r="D97" s="19"/>
      <c r="E97" s="2"/>
      <c r="F97" s="2"/>
    </row>
    <row r="98" spans="3:6">
      <c r="C98" s="19"/>
      <c r="D98" s="19"/>
      <c r="E98" s="2"/>
      <c r="F98" s="2"/>
    </row>
    <row r="99" spans="3:6">
      <c r="C99" s="19"/>
      <c r="D99" s="19"/>
      <c r="E99" s="2"/>
      <c r="F99" s="2"/>
    </row>
    <row r="100" spans="3:6">
      <c r="C100" s="19"/>
      <c r="D100" s="19"/>
      <c r="E100" s="2"/>
      <c r="F100" s="2"/>
    </row>
    <row r="101" spans="3:6">
      <c r="C101" s="19"/>
      <c r="D101" s="19"/>
      <c r="E101" s="2"/>
      <c r="F101" s="2"/>
    </row>
    <row r="102" spans="3:6">
      <c r="C102" s="19"/>
      <c r="D102" s="19"/>
      <c r="E102" s="2"/>
      <c r="F102" s="2"/>
    </row>
    <row r="103" spans="3:6">
      <c r="C103" s="19"/>
      <c r="D103" s="19"/>
      <c r="E103" s="2"/>
      <c r="F103" s="2"/>
    </row>
    <row r="104" spans="3:6">
      <c r="C104" s="19"/>
      <c r="D104" s="19"/>
      <c r="E104" s="2"/>
      <c r="F104" s="2"/>
    </row>
    <row r="105" spans="3:6">
      <c r="C105" s="19"/>
      <c r="D105" s="19"/>
      <c r="E105" s="2"/>
      <c r="F105" s="2"/>
    </row>
    <row r="106" spans="3:6">
      <c r="C106" s="19"/>
      <c r="D106" s="19"/>
      <c r="E106" s="2"/>
      <c r="F106" s="2"/>
    </row>
    <row r="107" spans="3:6">
      <c r="C107" s="19"/>
      <c r="D107" s="19"/>
      <c r="E107" s="2"/>
      <c r="F107" s="2"/>
    </row>
    <row r="108" spans="3:6">
      <c r="C108" s="19"/>
      <c r="D108" s="19"/>
      <c r="E108" s="2"/>
      <c r="F108" s="2"/>
    </row>
    <row r="109" spans="3:6">
      <c r="C109" s="19"/>
      <c r="D109" s="19"/>
      <c r="E109" s="2"/>
      <c r="F109" s="2"/>
    </row>
    <row r="110" spans="3:6">
      <c r="C110" s="19"/>
      <c r="D110" s="19"/>
      <c r="E110" s="2"/>
      <c r="F110" s="2"/>
    </row>
    <row r="111" spans="3:6">
      <c r="C111" s="19"/>
      <c r="D111" s="19"/>
      <c r="E111" s="2"/>
      <c r="F111" s="2"/>
    </row>
    <row r="112" spans="3:6">
      <c r="C112" s="19"/>
      <c r="D112" s="19"/>
      <c r="E112" s="2"/>
      <c r="F112" s="2"/>
    </row>
    <row r="113" spans="3:6">
      <c r="C113" s="19"/>
      <c r="D113" s="19"/>
      <c r="E113" s="2"/>
      <c r="F113" s="2"/>
    </row>
    <row r="114" spans="3:6">
      <c r="C114" s="19"/>
      <c r="D114" s="19"/>
      <c r="E114" s="2"/>
      <c r="F114" s="2"/>
    </row>
    <row r="115" spans="3:6">
      <c r="C115" s="19"/>
      <c r="D115" s="19"/>
      <c r="E115" s="2"/>
      <c r="F115" s="2"/>
    </row>
    <row r="116" spans="3:6">
      <c r="C116" s="19"/>
      <c r="D116" s="19"/>
      <c r="E116" s="2"/>
      <c r="F116" s="2"/>
    </row>
    <row r="117" spans="3:6">
      <c r="C117" s="19"/>
      <c r="D117" s="19"/>
      <c r="E117" s="2"/>
      <c r="F117" s="2"/>
    </row>
    <row r="118" spans="3:6">
      <c r="C118" s="19"/>
      <c r="D118" s="19"/>
      <c r="E118" s="2"/>
      <c r="F118" s="2"/>
    </row>
    <row r="119" spans="3:6">
      <c r="C119" s="19"/>
      <c r="D119" s="19"/>
      <c r="E119" s="2"/>
      <c r="F119" s="2"/>
    </row>
    <row r="120" spans="3:6">
      <c r="C120" s="19"/>
      <c r="D120" s="19"/>
      <c r="E120" s="2"/>
      <c r="F120" s="2"/>
    </row>
    <row r="121" spans="3:6">
      <c r="C121" s="19"/>
      <c r="D121" s="19"/>
      <c r="E121" s="2"/>
      <c r="F121" s="2"/>
    </row>
    <row r="122" spans="3:6">
      <c r="C122" s="19"/>
      <c r="D122" s="19"/>
      <c r="E122" s="2"/>
      <c r="F122" s="2"/>
    </row>
    <row r="123" spans="3:6">
      <c r="C123" s="19"/>
      <c r="D123" s="19"/>
      <c r="E123" s="2"/>
      <c r="F123" s="2"/>
    </row>
    <row r="124" spans="3:6">
      <c r="C124" s="19"/>
      <c r="D124" s="19"/>
      <c r="E124" s="2"/>
      <c r="F124" s="2"/>
    </row>
    <row r="125" spans="3:6">
      <c r="C125" s="19"/>
      <c r="D125" s="19"/>
      <c r="E125" s="2"/>
      <c r="F125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U72"/>
  <sheetViews>
    <sheetView workbookViewId="0">
      <selection activeCell="D19" sqref="D19:S19"/>
    </sheetView>
  </sheetViews>
  <sheetFormatPr defaultRowHeight="15"/>
  <cols>
    <col min="1" max="1" width="23" customWidth="1"/>
    <col min="2" max="2" width="16.42578125" customWidth="1"/>
    <col min="3" max="3" width="15" customWidth="1"/>
    <col min="4" max="4" width="12.85546875" customWidth="1"/>
  </cols>
  <sheetData>
    <row r="1" spans="1:21">
      <c r="B1" s="9"/>
      <c r="C1" s="9"/>
      <c r="D1" s="9"/>
    </row>
    <row r="2" spans="1:21"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>
      <c r="A3" s="13" t="s">
        <v>16</v>
      </c>
      <c r="B3" s="13" t="s">
        <v>17</v>
      </c>
      <c r="C3" s="13" t="s">
        <v>18</v>
      </c>
      <c r="D3" s="12" t="s">
        <v>21</v>
      </c>
      <c r="E3" s="12" t="s">
        <v>24</v>
      </c>
      <c r="F3" s="12" t="s">
        <v>25</v>
      </c>
      <c r="G3" s="12" t="s">
        <v>26</v>
      </c>
      <c r="H3" s="12" t="s">
        <v>27</v>
      </c>
      <c r="I3" s="12" t="s">
        <v>22</v>
      </c>
      <c r="J3" s="12" t="s">
        <v>28</v>
      </c>
      <c r="K3" s="12" t="s">
        <v>29</v>
      </c>
      <c r="L3" s="12" t="s">
        <v>30</v>
      </c>
      <c r="M3" s="12" t="s">
        <v>31</v>
      </c>
      <c r="N3" s="12" t="s">
        <v>23</v>
      </c>
      <c r="O3" s="12" t="s">
        <v>32</v>
      </c>
      <c r="P3" s="12" t="s">
        <v>33</v>
      </c>
      <c r="Q3" s="12" t="s">
        <v>34</v>
      </c>
      <c r="R3" s="12" t="s">
        <v>35</v>
      </c>
      <c r="S3" s="12" t="s">
        <v>36</v>
      </c>
      <c r="T3" s="13" t="s">
        <v>0</v>
      </c>
    </row>
    <row r="4" spans="1:21">
      <c r="A4" s="13">
        <v>32</v>
      </c>
      <c r="B4" s="20">
        <v>0.44666250159728554</v>
      </c>
      <c r="C4" s="20">
        <v>6.5445031142625995E-2</v>
      </c>
      <c r="D4" s="13">
        <v>8.2556233878925659E-11</v>
      </c>
      <c r="E4" s="13">
        <v>3.1820157438792477E-11</v>
      </c>
      <c r="F4" s="13">
        <v>1.1981603370569059E-11</v>
      </c>
      <c r="G4" s="13">
        <v>4.407453278886055E-12</v>
      </c>
      <c r="H4" s="13">
        <v>1.583874106904295E-12</v>
      </c>
      <c r="I4" s="13">
        <v>5.5604989653608332E-13</v>
      </c>
      <c r="J4" s="13">
        <v>1.9070717504614088E-13</v>
      </c>
      <c r="K4" s="13">
        <v>6.3896999539030842E-14</v>
      </c>
      <c r="L4" s="13">
        <v>2.0914816605264763E-14</v>
      </c>
      <c r="M4" s="13">
        <v>6.6878699571978647E-15</v>
      </c>
      <c r="N4" s="13">
        <v>2.0892082993008099E-15</v>
      </c>
      <c r="O4" s="13">
        <v>6.375816780327858E-16</v>
      </c>
      <c r="P4" s="13">
        <v>1.9008597636042108E-16</v>
      </c>
      <c r="Q4" s="13">
        <v>5.5363621489700035E-17</v>
      </c>
      <c r="R4" s="13">
        <v>1.5752847444802619E-17</v>
      </c>
      <c r="S4" s="13">
        <v>4.378786868856937E-18</v>
      </c>
      <c r="T4" s="13"/>
    </row>
    <row r="5" spans="1:21">
      <c r="A5" s="13">
        <v>33</v>
      </c>
      <c r="B5" s="20">
        <v>0.45645325935129472</v>
      </c>
      <c r="C5" s="20">
        <v>6.5624073549208795E-2</v>
      </c>
      <c r="D5" s="13">
        <v>2.2589760824029525E-10</v>
      </c>
      <c r="E5" s="13">
        <v>8.9535212333643349E-11</v>
      </c>
      <c r="F5" s="13">
        <v>3.4673008027214726E-11</v>
      </c>
      <c r="G5" s="13">
        <v>1.3119116524031866E-11</v>
      </c>
      <c r="H5" s="13">
        <v>4.8499032602257671E-12</v>
      </c>
      <c r="I5" s="13">
        <v>1.7517695761434557E-12</v>
      </c>
      <c r="J5" s="13">
        <v>6.1821039042529886E-13</v>
      </c>
      <c r="K5" s="13">
        <v>2.1316261423729506E-13</v>
      </c>
      <c r="L5" s="13">
        <v>7.1812689594424161E-14</v>
      </c>
      <c r="M5" s="13">
        <v>2.3637784258315185E-14</v>
      </c>
      <c r="N5" s="13">
        <v>7.6019980441610745E-15</v>
      </c>
      <c r="O5" s="13">
        <v>2.3887140258978876E-15</v>
      </c>
      <c r="P5" s="13">
        <v>7.3335791365558028E-16</v>
      </c>
      <c r="Q5" s="13">
        <v>2.1998001285496172E-16</v>
      </c>
      <c r="R5" s="13">
        <v>6.4471218804031776E-17</v>
      </c>
      <c r="S5" s="13">
        <v>1.8461371210537635E-17</v>
      </c>
      <c r="T5" s="13"/>
    </row>
    <row r="6" spans="1:21">
      <c r="A6" s="13">
        <v>34</v>
      </c>
      <c r="B6" s="20">
        <v>0.466275008389268</v>
      </c>
      <c r="C6" s="20">
        <v>6.5792627289779526E-2</v>
      </c>
      <c r="D6" s="13">
        <v>5.9666078925891389E-10</v>
      </c>
      <c r="E6" s="13">
        <v>2.4306396384009448E-10</v>
      </c>
      <c r="F6" s="13">
        <v>9.6756617147680771E-11</v>
      </c>
      <c r="G6" s="13">
        <v>3.7636375948269288E-11</v>
      </c>
      <c r="H6" s="13">
        <v>1.430546378645242E-11</v>
      </c>
      <c r="I6" s="13">
        <v>5.3132849635296135E-12</v>
      </c>
      <c r="J6" s="13">
        <v>1.9283741333023958E-12</v>
      </c>
      <c r="K6" s="13">
        <v>6.8389040106900024E-13</v>
      </c>
      <c r="L6" s="13">
        <v>2.3700021558644267E-13</v>
      </c>
      <c r="M6" s="13">
        <v>8.0256089756547857E-14</v>
      </c>
      <c r="N6" s="13">
        <v>2.6556710145316646E-14</v>
      </c>
      <c r="O6" s="13">
        <v>8.5869230868032671E-15</v>
      </c>
      <c r="P6" s="13">
        <v>2.713113076509895E-15</v>
      </c>
      <c r="Q6" s="13">
        <v>8.3765510262334785E-16</v>
      </c>
      <c r="R6" s="13">
        <v>2.5271417599504982E-16</v>
      </c>
      <c r="S6" s="13">
        <v>7.4500809640193298E-17</v>
      </c>
      <c r="T6" s="13"/>
    </row>
    <row r="7" spans="1:21">
      <c r="A7" s="13">
        <v>35.000000000000007</v>
      </c>
      <c r="B7" s="20">
        <v>0.47616266130415147</v>
      </c>
      <c r="C7" s="20">
        <v>6.5955402018561621E-2</v>
      </c>
      <c r="D7" s="13">
        <v>1.5310059106521933E-9</v>
      </c>
      <c r="E7" s="13">
        <v>6.4086117419336207E-10</v>
      </c>
      <c r="F7" s="13">
        <v>2.6216066973290813E-10</v>
      </c>
      <c r="G7" s="13">
        <v>1.0480635022991299E-10</v>
      </c>
      <c r="H7" s="13">
        <v>4.0947193408131677E-11</v>
      </c>
      <c r="I7" s="13">
        <v>1.5634254061479151E-11</v>
      </c>
      <c r="J7" s="13">
        <v>5.8337346780401124E-12</v>
      </c>
      <c r="K7" s="13">
        <v>2.1273192217828703E-12</v>
      </c>
      <c r="L7" s="13">
        <v>7.5811508466281432E-13</v>
      </c>
      <c r="M7" s="13">
        <v>2.6403049801791927E-13</v>
      </c>
      <c r="N7" s="13">
        <v>8.9864783942914029E-14</v>
      </c>
      <c r="O7" s="13">
        <v>2.9891069681441314E-14</v>
      </c>
      <c r="P7" s="13">
        <v>9.7165001635850281E-15</v>
      </c>
      <c r="Q7" s="13">
        <v>3.0867023353900695E-15</v>
      </c>
      <c r="R7" s="13">
        <v>9.5828815843300233E-16</v>
      </c>
      <c r="S7" s="13">
        <v>2.9074615197172987E-16</v>
      </c>
      <c r="T7" s="13"/>
    </row>
    <row r="8" spans="1:21">
      <c r="A8" s="13">
        <v>36.000000000000007</v>
      </c>
      <c r="B8" s="20">
        <v>0.48615451572676494</v>
      </c>
      <c r="C8" s="20">
        <v>6.6117242139018942E-2</v>
      </c>
      <c r="D8" s="13">
        <v>3.8384644211023396E-9</v>
      </c>
      <c r="E8" s="13">
        <v>1.6508990476400023E-9</v>
      </c>
      <c r="F8" s="13">
        <v>6.9398296867144962E-10</v>
      </c>
      <c r="G8" s="13">
        <v>2.8512966617718677E-10</v>
      </c>
      <c r="H8" s="13">
        <v>1.1449889533680464E-10</v>
      </c>
      <c r="I8" s="13">
        <v>4.4939215390351864E-11</v>
      </c>
      <c r="J8" s="13">
        <v>1.7239115224085519E-11</v>
      </c>
      <c r="K8" s="13">
        <v>6.4635298242974853E-12</v>
      </c>
      <c r="L8" s="13">
        <v>2.3685897174747881E-12</v>
      </c>
      <c r="M8" s="13">
        <v>8.4835030426585058E-13</v>
      </c>
      <c r="N8" s="13">
        <v>2.9697910777201127E-13</v>
      </c>
      <c r="O8" s="13">
        <v>1.0161126876546663E-13</v>
      </c>
      <c r="P8" s="13">
        <v>3.3979982284243927E-14</v>
      </c>
      <c r="Q8" s="13">
        <v>1.110630817182268E-14</v>
      </c>
      <c r="R8" s="13">
        <v>3.5479834838309818E-15</v>
      </c>
      <c r="S8" s="13">
        <v>1.1077933580901462E-15</v>
      </c>
      <c r="T8" s="13"/>
    </row>
    <row r="9" spans="1:21">
      <c r="A9" s="13">
        <v>37.000000000000007</v>
      </c>
      <c r="B9" s="20">
        <v>0.49629232962932318</v>
      </c>
      <c r="C9" s="20">
        <v>6.628311621910124E-2</v>
      </c>
      <c r="D9" s="13">
        <v>9.4510625331522473E-9</v>
      </c>
      <c r="E9" s="13">
        <v>4.1773093073970611E-9</v>
      </c>
      <c r="F9" s="13">
        <v>1.8047937966765803E-9</v>
      </c>
      <c r="G9" s="13">
        <v>7.6220800310882421E-10</v>
      </c>
      <c r="H9" s="13">
        <v>3.1465481247769898E-10</v>
      </c>
      <c r="I9" s="13">
        <v>1.2697265809063141E-10</v>
      </c>
      <c r="J9" s="13">
        <v>5.0084230230875617E-11</v>
      </c>
      <c r="K9" s="13">
        <v>1.9311088501071542E-11</v>
      </c>
      <c r="L9" s="13">
        <v>7.27825829632101E-12</v>
      </c>
      <c r="M9" s="13">
        <v>2.6814094338157538E-12</v>
      </c>
      <c r="N9" s="13">
        <v>9.6563669485445032E-13</v>
      </c>
      <c r="O9" s="13">
        <v>3.3992205825742447E-13</v>
      </c>
      <c r="P9" s="13">
        <v>1.1696606881061515E-13</v>
      </c>
      <c r="Q9" s="13">
        <v>3.9341906195350268E-14</v>
      </c>
      <c r="R9" s="13">
        <v>1.293498300425588E-14</v>
      </c>
      <c r="S9" s="13">
        <v>4.1571077878505858E-15</v>
      </c>
      <c r="T9" s="13"/>
    </row>
    <row r="10" spans="1:21">
      <c r="A10" s="13">
        <v>38.000000000000007</v>
      </c>
      <c r="B10" s="20">
        <v>0.50662143063484288</v>
      </c>
      <c r="C10" s="20">
        <v>6.6458111094988781E-2</v>
      </c>
      <c r="D10" s="13">
        <v>2.2954115208950166E-8</v>
      </c>
      <c r="E10" s="13">
        <v>1.0430331395556576E-8</v>
      </c>
      <c r="F10" s="13">
        <v>4.6334299922622091E-9</v>
      </c>
      <c r="G10" s="13">
        <v>2.0122134711794239E-9</v>
      </c>
      <c r="H10" s="13">
        <v>8.5430401417777641E-10</v>
      </c>
      <c r="I10" s="13">
        <v>3.5458290205598897E-10</v>
      </c>
      <c r="J10" s="13">
        <v>1.43876571915851E-10</v>
      </c>
      <c r="K10" s="13">
        <v>5.7072818600497144E-11</v>
      </c>
      <c r="L10" s="13">
        <v>2.2132756654396034E-11</v>
      </c>
      <c r="M10" s="13">
        <v>8.3909019294794601E-12</v>
      </c>
      <c r="N10" s="13">
        <v>3.1099165076097621E-12</v>
      </c>
      <c r="O10" s="13">
        <v>1.1268231539348637E-12</v>
      </c>
      <c r="P10" s="13">
        <v>3.9914412676544128E-13</v>
      </c>
      <c r="Q10" s="13">
        <v>1.3821993117227398E-13</v>
      </c>
      <c r="R10" s="13">
        <v>4.6792747895470818E-14</v>
      </c>
      <c r="S10" s="13">
        <v>1.5486503516916599E-14</v>
      </c>
      <c r="T10" s="13"/>
    </row>
    <row r="11" spans="1:21">
      <c r="A11" s="13">
        <v>39.000000000000007</v>
      </c>
      <c r="B11" s="20">
        <v>0.51719086467674669</v>
      </c>
      <c r="C11" s="20">
        <v>6.6647430751703818E-2</v>
      </c>
      <c r="D11" s="13">
        <v>5.5194951110562813E-8</v>
      </c>
      <c r="E11" s="13">
        <v>2.5799680799701659E-8</v>
      </c>
      <c r="F11" s="13">
        <v>1.1791038171330618E-8</v>
      </c>
      <c r="G11" s="13">
        <v>5.2688094289637651E-9</v>
      </c>
      <c r="H11" s="13">
        <v>2.301948846364537E-9</v>
      </c>
      <c r="I11" s="13">
        <v>9.8333518550066574E-10</v>
      </c>
      <c r="J11" s="13">
        <v>4.1070522001957521E-10</v>
      </c>
      <c r="K11" s="13">
        <v>1.6771874302422318E-10</v>
      </c>
      <c r="L11" s="13">
        <v>6.6966208054791511E-11</v>
      </c>
      <c r="M11" s="13">
        <v>2.6142827028972628E-11</v>
      </c>
      <c r="N11" s="13">
        <v>9.9786576687027617E-12</v>
      </c>
      <c r="O11" s="13">
        <v>3.7240408045340605E-12</v>
      </c>
      <c r="P11" s="13">
        <v>1.358874881122442E-12</v>
      </c>
      <c r="Q11" s="13">
        <v>4.8480517087931826E-13</v>
      </c>
      <c r="R11" s="13">
        <v>1.6911329391251628E-13</v>
      </c>
      <c r="S11" s="13">
        <v>5.7678105442489873E-14</v>
      </c>
      <c r="T11" s="13"/>
    </row>
    <row r="12" spans="1:21">
      <c r="A12" s="13">
        <v>40.000000000000007</v>
      </c>
      <c r="B12" s="20">
        <v>0.52805358968148919</v>
      </c>
      <c r="C12" s="20">
        <v>6.6856400080042414E-2</v>
      </c>
      <c r="D12" s="13">
        <v>1.3178514099318321E-7</v>
      </c>
      <c r="E12" s="13">
        <v>6.3415787858688926E-8</v>
      </c>
      <c r="F12" s="13">
        <v>2.9840912341624932E-8</v>
      </c>
      <c r="G12" s="13">
        <v>1.3731265332075934E-8</v>
      </c>
      <c r="H12" s="13">
        <v>6.1786383997907423E-9</v>
      </c>
      <c r="I12" s="13">
        <v>2.7186841604885985E-9</v>
      </c>
      <c r="J12" s="13">
        <v>1.1697915836545714E-9</v>
      </c>
      <c r="K12" s="13">
        <v>4.9220042639905467E-10</v>
      </c>
      <c r="L12" s="13">
        <v>2.0251595136819172E-10</v>
      </c>
      <c r="M12" s="13">
        <v>8.148173073733797E-11</v>
      </c>
      <c r="N12" s="13">
        <v>3.205863386751294E-11</v>
      </c>
      <c r="O12" s="13">
        <v>1.2334272405500923E-11</v>
      </c>
      <c r="P12" s="13">
        <v>4.640511118347962E-12</v>
      </c>
      <c r="Q12" s="13">
        <v>1.7072686167114199E-12</v>
      </c>
      <c r="R12" s="13">
        <v>6.1421674822238394E-13</v>
      </c>
      <c r="S12" s="13">
        <v>2.1608529307354135E-13</v>
      </c>
      <c r="T12" s="13"/>
    </row>
    <row r="13" spans="1:21">
      <c r="A13" s="13">
        <v>41.000000000000007</v>
      </c>
      <c r="B13" s="20">
        <v>0.53926672038365209</v>
      </c>
      <c r="C13" s="20">
        <v>6.709047362777075E-2</v>
      </c>
      <c r="D13" s="13">
        <v>3.130931724318486E-7</v>
      </c>
      <c r="E13" s="13">
        <v>1.5525170632969639E-7</v>
      </c>
      <c r="F13" s="13">
        <v>7.5292307100015558E-8</v>
      </c>
      <c r="G13" s="13">
        <v>3.571217209272169E-8</v>
      </c>
      <c r="H13" s="13">
        <v>1.6566599164339516E-8</v>
      </c>
      <c r="I13" s="13">
        <v>7.5162618413370938E-9</v>
      </c>
      <c r="J13" s="13">
        <v>3.3351999498255263E-9</v>
      </c>
      <c r="K13" s="13">
        <v>1.4474157298569331E-9</v>
      </c>
      <c r="L13" s="13">
        <v>6.1435039012067255E-10</v>
      </c>
      <c r="M13" s="13">
        <v>2.550295042465212E-10</v>
      </c>
      <c r="N13" s="13">
        <v>1.035419054393717E-10</v>
      </c>
      <c r="O13" s="13">
        <v>4.111433942823197E-11</v>
      </c>
      <c r="P13" s="13">
        <v>1.5966948297134663E-11</v>
      </c>
      <c r="Q13" s="13">
        <v>6.0645971701184419E-12</v>
      </c>
      <c r="R13" s="13">
        <v>2.2528560196687671E-12</v>
      </c>
      <c r="S13" s="13">
        <v>8.1849560650749519E-13</v>
      </c>
      <c r="T13" s="13"/>
    </row>
    <row r="14" spans="1:21">
      <c r="A14" s="13">
        <v>42</v>
      </c>
      <c r="B14" s="20">
        <v>0.55089183094931404</v>
      </c>
      <c r="C14" s="20">
        <v>6.735524949030125E-2</v>
      </c>
      <c r="D14" s="13">
        <v>7.410470310377727E-7</v>
      </c>
      <c r="E14" s="13">
        <v>3.7907703611334177E-7</v>
      </c>
      <c r="F14" s="13">
        <v>1.8968645821514112E-7</v>
      </c>
      <c r="G14" s="13">
        <v>9.2847951262384092E-8</v>
      </c>
      <c r="H14" s="13">
        <v>4.4456520590356505E-8</v>
      </c>
      <c r="I14" s="13">
        <v>2.0822159079183109E-8</v>
      </c>
      <c r="J14" s="13">
        <v>9.5398862702191718E-9</v>
      </c>
      <c r="K14" s="13">
        <v>4.2755085667339451E-9</v>
      </c>
      <c r="L14" s="13">
        <v>1.8743880686556326E-9</v>
      </c>
      <c r="M14" s="13">
        <v>8.0381922264997448E-10</v>
      </c>
      <c r="N14" s="13">
        <v>3.3719755032786444E-10</v>
      </c>
      <c r="O14" s="13">
        <v>1.3836861074438608E-10</v>
      </c>
      <c r="P14" s="13">
        <v>5.5541537365233326E-11</v>
      </c>
      <c r="Q14" s="13">
        <v>2.1808478089400363E-11</v>
      </c>
      <c r="R14" s="13">
        <v>8.376449380914725E-12</v>
      </c>
      <c r="S14" s="13">
        <v>3.1471810239473817E-12</v>
      </c>
      <c r="T14" s="13"/>
    </row>
    <row r="15" spans="1:21">
      <c r="A15" s="13">
        <v>43</v>
      </c>
      <c r="B15" s="20">
        <v>0.56299532280376408</v>
      </c>
      <c r="C15" s="20">
        <v>6.765648852330941E-2</v>
      </c>
      <c r="D15" s="13">
        <v>1.7477870400449288E-6</v>
      </c>
      <c r="E15" s="13">
        <v>9.2350742537386294E-7</v>
      </c>
      <c r="F15" s="13">
        <v>4.7742424639262502E-7</v>
      </c>
      <c r="G15" s="13">
        <v>2.4147976989573821E-7</v>
      </c>
      <c r="H15" s="13">
        <v>1.1950036671055438E-7</v>
      </c>
      <c r="I15" s="13">
        <v>5.7858867031503401E-8</v>
      </c>
      <c r="J15" s="13">
        <v>2.7408345169926043E-8</v>
      </c>
      <c r="K15" s="13">
        <v>1.2703047069554999E-8</v>
      </c>
      <c r="L15" s="13">
        <v>5.7603013244824203E-9</v>
      </c>
      <c r="M15" s="13">
        <v>2.5556107108105304E-9</v>
      </c>
      <c r="N15" s="13">
        <v>1.1093188675353709E-9</v>
      </c>
      <c r="O15" s="13">
        <v>4.7111865579329095E-10</v>
      </c>
      <c r="P15" s="13">
        <v>1.9575659725744691E-10</v>
      </c>
      <c r="Q15" s="13">
        <v>7.9581975371876229E-11</v>
      </c>
      <c r="R15" s="13">
        <v>3.1653754165689211E-11</v>
      </c>
      <c r="S15" s="13">
        <v>1.2318219481472491E-11</v>
      </c>
      <c r="T15" s="13"/>
    </row>
    <row r="16" spans="1:21">
      <c r="A16" s="13">
        <v>43.999999999999993</v>
      </c>
      <c r="B16" s="20">
        <v>0.57564886596102127</v>
      </c>
      <c r="C16" s="20">
        <v>6.8000139108169572E-2</v>
      </c>
      <c r="D16" s="13">
        <v>4.1044284068177569E-6</v>
      </c>
      <c r="E16" s="13">
        <v>2.2432728347398199E-6</v>
      </c>
      <c r="F16" s="13">
        <v>1.1998290325494411E-6</v>
      </c>
      <c r="G16" s="13">
        <v>6.2800701134459289E-7</v>
      </c>
      <c r="H16" s="13">
        <v>3.2167512256375463E-7</v>
      </c>
      <c r="I16" s="13">
        <v>1.6124205128646854E-7</v>
      </c>
      <c r="J16" s="13">
        <v>7.909463216101462E-8</v>
      </c>
      <c r="K16" s="13">
        <v>3.7968510793862641E-8</v>
      </c>
      <c r="L16" s="13">
        <v>1.7836431615871416E-8</v>
      </c>
      <c r="M16" s="13">
        <v>8.1997429748984133E-9</v>
      </c>
      <c r="N16" s="13">
        <v>3.688929559900915E-9</v>
      </c>
      <c r="O16" s="13">
        <v>1.6240834554601689E-9</v>
      </c>
      <c r="P16" s="13">
        <v>6.9971982476417886E-10</v>
      </c>
      <c r="Q16" s="13">
        <v>2.9501756349614061E-10</v>
      </c>
      <c r="R16" s="13">
        <v>1.2172489871699477E-10</v>
      </c>
      <c r="S16" s="13">
        <v>4.9149468813109394E-11</v>
      </c>
      <c r="T16" s="13"/>
    </row>
    <row r="17" spans="1:20">
      <c r="A17" s="13">
        <v>44.999999999999993</v>
      </c>
      <c r="B17" s="20">
        <v>0.58892992326674731</v>
      </c>
      <c r="C17" s="20">
        <v>6.8392367761951484E-2</v>
      </c>
      <c r="D17" s="13">
        <v>9.5785011232091627E-6</v>
      </c>
      <c r="E17" s="13">
        <v>5.4232398527123244E-6</v>
      </c>
      <c r="F17" s="13">
        <v>3.0056288133604751E-6</v>
      </c>
      <c r="G17" s="13">
        <v>1.6305238428230456E-6</v>
      </c>
      <c r="H17" s="13">
        <v>8.6583320556633946E-7</v>
      </c>
      <c r="I17" s="13">
        <v>4.5004567903760252E-7</v>
      </c>
      <c r="J17" s="13">
        <v>2.2897824926583124E-7</v>
      </c>
      <c r="K17" s="13">
        <v>1.1403735612203957E-7</v>
      </c>
      <c r="L17" s="13">
        <v>5.559238734164084E-8</v>
      </c>
      <c r="M17" s="13">
        <v>2.6527650347951111E-8</v>
      </c>
      <c r="N17" s="13">
        <v>1.2390747867911474E-8</v>
      </c>
      <c r="O17" s="13">
        <v>5.6651515251223902E-9</v>
      </c>
      <c r="P17" s="13">
        <v>2.535366899874764E-9</v>
      </c>
      <c r="Q17" s="13">
        <v>1.1106708587582898E-9</v>
      </c>
      <c r="R17" s="13">
        <v>4.7626121276040095E-10</v>
      </c>
      <c r="S17" s="13">
        <v>1.9990346644920444E-10</v>
      </c>
      <c r="T17" s="13"/>
    </row>
    <row r="18" spans="1:20">
      <c r="A18" s="13">
        <v>45.999999999999986</v>
      </c>
      <c r="B18" s="20">
        <v>0.60292236832974178</v>
      </c>
      <c r="C18" s="20">
        <v>6.8839595958429922E-2</v>
      </c>
      <c r="D18" s="13">
        <v>2.2143868786619944E-5</v>
      </c>
      <c r="E18" s="13">
        <v>1.3008808884176968E-5</v>
      </c>
      <c r="F18" s="13">
        <v>7.4826785800987718E-6</v>
      </c>
      <c r="G18" s="13">
        <v>4.214171157886462E-6</v>
      </c>
      <c r="H18" s="13">
        <v>2.3238215425494263E-6</v>
      </c>
      <c r="I18" s="13">
        <v>1.2546682249588891E-6</v>
      </c>
      <c r="J18" s="13">
        <v>6.6327029629214791E-7</v>
      </c>
      <c r="K18" s="13">
        <v>3.4331100122390469E-7</v>
      </c>
      <c r="L18" s="13">
        <v>1.7398844847894154E-7</v>
      </c>
      <c r="M18" s="13">
        <v>8.6335345897348656E-8</v>
      </c>
      <c r="N18" s="13">
        <v>4.1946175953907181E-8</v>
      </c>
      <c r="O18" s="13">
        <v>1.9954076745121092E-8</v>
      </c>
      <c r="P18" s="13">
        <v>9.294080401290843E-9</v>
      </c>
      <c r="Q18" s="13">
        <v>4.2385443824847527E-9</v>
      </c>
      <c r="R18" s="13">
        <v>1.8926162647399483E-9</v>
      </c>
      <c r="S18" s="13">
        <v>8.2745412230040792E-10</v>
      </c>
      <c r="T18" s="13"/>
    </row>
    <row r="19" spans="1:20">
      <c r="A19" s="13">
        <v>46.999999999999986</v>
      </c>
      <c r="B19" s="20">
        <v>0.61771720957397325</v>
      </c>
      <c r="C19" s="20">
        <v>6.9348543616827851E-2</v>
      </c>
      <c r="D19" s="13">
        <v>5.0487711002669514E-5</v>
      </c>
      <c r="E19" s="13">
        <v>3.0825386504362156E-5</v>
      </c>
      <c r="F19" s="13">
        <v>1.8433208073844993E-5</v>
      </c>
      <c r="G19" s="13">
        <v>1.0795999738930242E-5</v>
      </c>
      <c r="H19" s="13">
        <v>6.1929040396072095E-6</v>
      </c>
      <c r="I19" s="13">
        <v>3.4793280714331334E-6</v>
      </c>
      <c r="J19" s="13">
        <v>1.9145466667509931E-6</v>
      </c>
      <c r="K19" s="13">
        <v>1.0318250746477658E-6</v>
      </c>
      <c r="L19" s="13">
        <v>5.4464778743619271E-7</v>
      </c>
      <c r="M19" s="13">
        <v>2.8157555906841088E-7</v>
      </c>
      <c r="N19" s="13">
        <v>1.4257510880566157E-7</v>
      </c>
      <c r="O19" s="13">
        <v>7.0706935269022245E-8</v>
      </c>
      <c r="P19" s="13">
        <v>3.434391974526308E-8</v>
      </c>
      <c r="Q19" s="13">
        <v>1.6338314548674675E-8</v>
      </c>
      <c r="R19" s="13">
        <v>7.6126206814966049E-9</v>
      </c>
      <c r="S19" s="13">
        <v>3.4740068726361109E-9</v>
      </c>
      <c r="T19" s="13"/>
    </row>
    <row r="20" spans="1:20">
      <c r="A20" s="13">
        <v>47.999999999999979</v>
      </c>
      <c r="B20" s="20">
        <v>0.63341343484498003</v>
      </c>
      <c r="C20" s="20">
        <v>6.9926279822833393E-2</v>
      </c>
      <c r="D20" s="13">
        <v>1.1286526945313027E-4</v>
      </c>
      <c r="E20" s="13">
        <v>7.1738195138086432E-5</v>
      </c>
      <c r="F20" s="13">
        <v>4.4674399007331908E-5</v>
      </c>
      <c r="G20" s="13">
        <v>2.7257444776593208E-5</v>
      </c>
      <c r="H20" s="13">
        <v>1.6294075052430217E-5</v>
      </c>
      <c r="I20" s="13">
        <v>9.5431650113479372E-6</v>
      </c>
      <c r="J20" s="13">
        <v>5.4761243779932924E-6</v>
      </c>
      <c r="K20" s="13">
        <v>3.0787351020980452E-6</v>
      </c>
      <c r="L20" s="13">
        <v>1.6958580310158275E-6</v>
      </c>
      <c r="M20" s="13">
        <v>9.1521854355470512E-7</v>
      </c>
      <c r="N20" s="13">
        <v>4.8392524525268235E-7</v>
      </c>
      <c r="O20" s="13">
        <v>2.5069743824348704E-7</v>
      </c>
      <c r="P20" s="13">
        <v>1.2724468848490037E-7</v>
      </c>
      <c r="Q20" s="13">
        <v>6.3277247417637576E-8</v>
      </c>
      <c r="R20" s="13">
        <v>3.0830008498284285E-8</v>
      </c>
      <c r="S20" s="13">
        <v>1.4716951523247724E-8</v>
      </c>
      <c r="T20" s="13"/>
    </row>
    <row r="21" spans="1:20">
      <c r="A21" s="13">
        <v>48.999999999999979</v>
      </c>
      <c r="B21" s="20">
        <v>0.65011899341413071</v>
      </c>
      <c r="C21" s="20">
        <v>7.0580281474344614E-2</v>
      </c>
      <c r="D21" s="13">
        <v>2.4559262913892264E-4</v>
      </c>
      <c r="E21" s="13">
        <v>1.627795296956336E-4</v>
      </c>
      <c r="F21" s="13">
        <v>1.05746557180953E-4</v>
      </c>
      <c r="G21" s="13">
        <v>6.7330938930328636E-5</v>
      </c>
      <c r="H21" s="13">
        <v>4.2018939877854279E-5</v>
      </c>
      <c r="I21" s="13">
        <v>2.5701442443549469E-5</v>
      </c>
      <c r="J21" s="13">
        <v>1.5408199440601491E-5</v>
      </c>
      <c r="K21" s="13">
        <v>9.0537452629653011E-6</v>
      </c>
      <c r="L21" s="13">
        <v>5.2141874162113627E-6</v>
      </c>
      <c r="M21" s="13">
        <v>2.9432488963565089E-6</v>
      </c>
      <c r="N21" s="13">
        <v>1.6283558883215763E-6</v>
      </c>
      <c r="O21" s="13">
        <v>8.8298566811950381E-7</v>
      </c>
      <c r="P21" s="13">
        <v>4.6928855909263973E-7</v>
      </c>
      <c r="Q21" s="13">
        <v>2.4446025759433998E-7</v>
      </c>
      <c r="R21" s="13">
        <v>1.2481263443750635E-7</v>
      </c>
      <c r="S21" s="13">
        <v>6.2458395212568602E-8</v>
      </c>
      <c r="T21" s="13"/>
    </row>
    <row r="22" spans="1:20">
      <c r="A22" s="13">
        <v>49.999999999999972</v>
      </c>
      <c r="B22" s="20">
        <v>0.66795193511722384</v>
      </c>
      <c r="C22" s="20">
        <v>7.1318500695366868E-2</v>
      </c>
      <c r="D22" s="13">
        <v>5.1562876627003621E-4</v>
      </c>
      <c r="E22" s="13">
        <v>3.5696592862714181E-4</v>
      </c>
      <c r="F22" s="13">
        <v>2.4231367640626189E-4</v>
      </c>
      <c r="G22" s="13">
        <v>1.612837530037464E-4</v>
      </c>
      <c r="H22" s="13">
        <v>1.0526035919568981E-4</v>
      </c>
      <c r="I22" s="13">
        <v>6.7359771876876655E-5</v>
      </c>
      <c r="J22" s="13">
        <v>4.2266657120877777E-5</v>
      </c>
      <c r="K22" s="13">
        <v>2.6004992139047584E-5</v>
      </c>
      <c r="L22" s="13">
        <v>1.5688343363248356E-5</v>
      </c>
      <c r="M22" s="13">
        <v>9.2802350916946932E-6</v>
      </c>
      <c r="N22" s="13">
        <v>5.3827276125566387E-6</v>
      </c>
      <c r="O22" s="13">
        <v>3.0613103626400845E-6</v>
      </c>
      <c r="P22" s="13">
        <v>1.7071585319269873E-6</v>
      </c>
      <c r="Q22" s="13">
        <v>9.3347325019494738E-7</v>
      </c>
      <c r="R22" s="13">
        <v>5.0048542501706801E-7</v>
      </c>
      <c r="S22" s="13">
        <v>2.6311313244016709E-7</v>
      </c>
      <c r="T22" s="13"/>
    </row>
    <row r="23" spans="1:20">
      <c r="A23" s="13">
        <v>50.999999999999972</v>
      </c>
      <c r="B23" s="20">
        <v>0.68704172983211165</v>
      </c>
      <c r="C23" s="20">
        <v>7.2149442039429135E-2</v>
      </c>
      <c r="D23" s="13">
        <v>1.0338220313090016E-3</v>
      </c>
      <c r="E23" s="13">
        <v>7.4872003060714608E-4</v>
      </c>
      <c r="F23" s="13">
        <v>5.3192474703051104E-4</v>
      </c>
      <c r="G23" s="13">
        <v>3.7071316911000242E-4</v>
      </c>
      <c r="H23" s="13">
        <v>2.5344452101973568E-4</v>
      </c>
      <c r="I23" s="13">
        <v>1.6997493145192249E-4</v>
      </c>
      <c r="J23" s="13">
        <v>1.1182629005581319E-4</v>
      </c>
      <c r="K23" s="13">
        <v>7.2170553150179858E-5</v>
      </c>
      <c r="L23" s="13">
        <v>4.5691269580617642E-5</v>
      </c>
      <c r="M23" s="13">
        <v>2.8376804739015508E-5</v>
      </c>
      <c r="N23" s="13">
        <v>1.7288241982906641E-5</v>
      </c>
      <c r="O23" s="13">
        <v>1.0332258146650966E-5</v>
      </c>
      <c r="P23" s="13">
        <v>6.0575462470376953E-6</v>
      </c>
      <c r="Q23" s="13">
        <v>3.4838167537315486E-6</v>
      </c>
      <c r="R23" s="13">
        <v>1.9654904720783271E-6</v>
      </c>
      <c r="S23" s="13">
        <v>1.0877864808388604E-6</v>
      </c>
      <c r="T23" s="13"/>
    </row>
    <row r="24" spans="1:20">
      <c r="A24" s="13">
        <v>51.999999999999964</v>
      </c>
      <c r="B24" s="20">
        <v>0.70753079465516744</v>
      </c>
      <c r="C24" s="20">
        <v>7.3082250713301877E-2</v>
      </c>
      <c r="D24" s="13">
        <v>1.9560958625207668E-3</v>
      </c>
      <c r="E24" s="13">
        <v>1.48415193180787E-3</v>
      </c>
      <c r="F24" s="13">
        <v>1.1051857576268374E-3</v>
      </c>
      <c r="G24" s="13">
        <v>8.0772009582591312E-4</v>
      </c>
      <c r="H24" s="13">
        <v>5.7936891115770996E-4</v>
      </c>
      <c r="I24" s="13">
        <v>4.0786663245839935E-4</v>
      </c>
      <c r="J24" s="13">
        <v>2.8180575480566008E-4</v>
      </c>
      <c r="K24" s="13">
        <v>1.9109539818259769E-4</v>
      </c>
      <c r="L24" s="13">
        <v>1.271801376317763E-4</v>
      </c>
      <c r="M24" s="13">
        <v>8.307245460709041E-5</v>
      </c>
      <c r="N24" s="13">
        <v>5.325537979177628E-5</v>
      </c>
      <c r="O24" s="13">
        <v>3.3507237193308299E-5</v>
      </c>
      <c r="P24" s="13">
        <v>2.0691045913286918E-5</v>
      </c>
      <c r="Q24" s="13">
        <v>1.2539925590544789E-5</v>
      </c>
      <c r="R24" s="13">
        <v>7.4589237102225068E-6</v>
      </c>
      <c r="S24" s="13">
        <v>4.3543773433857895E-6</v>
      </c>
      <c r="T24" s="13"/>
    </row>
    <row r="25" spans="1:20">
      <c r="A25" s="13">
        <v>52.999999999999964</v>
      </c>
      <c r="B25" s="20">
        <v>0.72957626111518437</v>
      </c>
      <c r="C25" s="20">
        <v>7.4126813298542357E-2</v>
      </c>
      <c r="D25" s="13">
        <v>3.4463175252150398E-3</v>
      </c>
      <c r="E25" s="13">
        <v>2.7429847735704321E-3</v>
      </c>
      <c r="F25" s="13">
        <v>2.1438171795283116E-3</v>
      </c>
      <c r="G25" s="13">
        <v>1.6453122777486139E-3</v>
      </c>
      <c r="H25" s="13">
        <v>1.2399528522704789E-3</v>
      </c>
      <c r="I25" s="13">
        <v>9.1761023083457229E-4</v>
      </c>
      <c r="J25" s="13">
        <v>6.6681838272688275E-4</v>
      </c>
      <c r="K25" s="13">
        <v>4.7583142711924716E-4</v>
      </c>
      <c r="L25" s="13">
        <v>3.3342251465355067E-4</v>
      </c>
      <c r="M25" s="13">
        <v>2.2942089228354703E-4</v>
      </c>
      <c r="N25" s="13">
        <v>1.5501268833078668E-4</v>
      </c>
      <c r="O25" s="13">
        <v>1.028484553335324E-4</v>
      </c>
      <c r="P25" s="13">
        <v>6.7007673648660337E-5</v>
      </c>
      <c r="Q25" s="13">
        <v>4.2869414220030941E-5</v>
      </c>
      <c r="R25" s="13">
        <v>2.6931887995762609E-5</v>
      </c>
      <c r="S25" s="13">
        <v>1.6614309321034021E-5</v>
      </c>
      <c r="T25" s="13"/>
    </row>
    <row r="26" spans="1:20">
      <c r="A26" s="13">
        <v>53.999999999999957</v>
      </c>
      <c r="B26" s="20">
        <v>0.75335202073262564</v>
      </c>
      <c r="C26" s="20">
        <v>7.5293872739447279E-2</v>
      </c>
      <c r="D26" s="13">
        <v>5.5703680491437568E-3</v>
      </c>
      <c r="E26" s="13">
        <v>4.6560221317912378E-3</v>
      </c>
      <c r="F26" s="13">
        <v>3.8237152324368459E-3</v>
      </c>
      <c r="G26" s="13">
        <v>3.0852858438899251E-3</v>
      </c>
      <c r="H26" s="13">
        <v>2.4459334260014697E-3</v>
      </c>
      <c r="I26" s="13">
        <v>1.905167735400366E-3</v>
      </c>
      <c r="J26" s="13">
        <v>1.4580122205308476E-3</v>
      </c>
      <c r="K26" s="13">
        <v>1.0962976178894145E-3</v>
      </c>
      <c r="L26" s="13">
        <v>8.0990697102231669E-4</v>
      </c>
      <c r="M26" s="13">
        <v>5.8786981847872672E-4</v>
      </c>
      <c r="N26" s="13">
        <v>4.1924370559258666E-4</v>
      </c>
      <c r="O26" s="13">
        <v>2.9375907924401753E-4</v>
      </c>
      <c r="P26" s="13">
        <v>2.0223457460660113E-4</v>
      </c>
      <c r="Q26" s="13">
        <v>1.3679142496587706E-4</v>
      </c>
      <c r="R26" s="13">
        <v>9.0907915941540308E-5</v>
      </c>
      <c r="S26" s="13">
        <v>5.9358632891045699E-5</v>
      </c>
      <c r="T26" s="13"/>
    </row>
    <row r="27" spans="1:20">
      <c r="A27" s="13">
        <v>54.999999999999957</v>
      </c>
      <c r="B27" s="20">
        <v>0.77905109439724674</v>
      </c>
      <c r="C27" s="20">
        <v>7.6595159710023134E-2</v>
      </c>
      <c r="D27" s="13">
        <v>8.1266766833335471E-3</v>
      </c>
      <c r="E27" s="13">
        <v>7.1398877598183906E-3</v>
      </c>
      <c r="F27" s="13">
        <v>6.1669046295177972E-3</v>
      </c>
      <c r="G27" s="13">
        <v>5.2364929647857102E-3</v>
      </c>
      <c r="H27" s="13">
        <v>4.371306526733342E-3</v>
      </c>
      <c r="I27" s="13">
        <v>3.5873970198830266E-3</v>
      </c>
      <c r="J27" s="13">
        <v>2.8943101619483239E-3</v>
      </c>
      <c r="K27" s="13">
        <v>2.2956630313898177E-3</v>
      </c>
      <c r="L27" s="13">
        <v>1.7900644032451691E-3</v>
      </c>
      <c r="M27" s="13">
        <v>1.3722290748654897E-3</v>
      </c>
      <c r="N27" s="13">
        <v>1.0341463946890415E-3</v>
      </c>
      <c r="O27" s="13">
        <v>7.6618716451802929E-4</v>
      </c>
      <c r="P27" s="13">
        <v>5.5806548971410602E-4</v>
      </c>
      <c r="Q27" s="13">
        <v>3.9960683359466475E-4</v>
      </c>
      <c r="R27" s="13">
        <v>2.8130541393147734E-4</v>
      </c>
      <c r="S27" s="13">
        <v>1.9467972291803897E-4</v>
      </c>
      <c r="T27" s="13"/>
    </row>
    <row r="28" spans="1:20">
      <c r="A28" s="13">
        <v>55.99999999999995</v>
      </c>
      <c r="B28" s="20">
        <v>0.80688837965015336</v>
      </c>
      <c r="C28" s="20">
        <v>7.8043542880241762E-2</v>
      </c>
      <c r="D28" s="13">
        <v>1.0515443696702084E-2</v>
      </c>
      <c r="E28" s="13">
        <v>9.7167800439573199E-3</v>
      </c>
      <c r="F28" s="13">
        <v>8.832564129656972E-3</v>
      </c>
      <c r="G28" s="13">
        <v>7.8980682973373434E-3</v>
      </c>
      <c r="H28" s="13">
        <v>6.9474371802343412E-3</v>
      </c>
      <c r="I28" s="13">
        <v>6.0117101072149721E-3</v>
      </c>
      <c r="J28" s="13">
        <v>5.1173024950450178E-3</v>
      </c>
      <c r="K28" s="13">
        <v>4.2850294153485291E-3</v>
      </c>
      <c r="L28" s="13">
        <v>3.5296869017561162E-3</v>
      </c>
      <c r="M28" s="13">
        <v>2.8601460941496686E-3</v>
      </c>
      <c r="N28" s="13">
        <v>2.2798690818335585E-3</v>
      </c>
      <c r="O28" s="13">
        <v>1.7877272451152395E-3</v>
      </c>
      <c r="P28" s="13">
        <v>1.3789936515106382E-3</v>
      </c>
      <c r="Q28" s="13">
        <v>1.0463884391835744E-3</v>
      </c>
      <c r="R28" s="13">
        <v>7.810759339868373E-4</v>
      </c>
      <c r="S28" s="13">
        <v>5.7353937518163107E-4</v>
      </c>
      <c r="T28" s="13"/>
    </row>
    <row r="29" spans="1:20">
      <c r="A29" s="13">
        <v>56.99999999999995</v>
      </c>
      <c r="B29" s="20">
        <v>0.83710384032764584</v>
      </c>
      <c r="C29" s="20">
        <v>7.9653201086211961E-2</v>
      </c>
      <c r="D29" s="13">
        <v>1.1844915983096444E-2</v>
      </c>
      <c r="E29" s="13">
        <v>1.1515477190576448E-2</v>
      </c>
      <c r="F29" s="13">
        <v>1.1020132723240459E-2</v>
      </c>
      <c r="G29" s="13">
        <v>1.0381178090461653E-2</v>
      </c>
      <c r="H29" s="13">
        <v>9.6263442537433686E-3</v>
      </c>
      <c r="I29" s="13">
        <v>8.7868065824204186E-3</v>
      </c>
      <c r="J29" s="13">
        <v>7.8950643744045527E-3</v>
      </c>
      <c r="K29" s="13">
        <v>6.982890230303628E-3</v>
      </c>
      <c r="L29" s="13">
        <v>6.0795255144083255E-3</v>
      </c>
      <c r="M29" s="13">
        <v>5.210256290421115E-3</v>
      </c>
      <c r="N29" s="13">
        <v>4.3954507529891107E-3</v>
      </c>
      <c r="O29" s="13">
        <v>3.6500825058113123E-3</v>
      </c>
      <c r="P29" s="13">
        <v>2.9837118203597623E-3</v>
      </c>
      <c r="Q29" s="13">
        <v>2.400855373465335E-3</v>
      </c>
      <c r="R29" s="13">
        <v>1.9016476638475562E-3</v>
      </c>
      <c r="S29" s="13">
        <v>1.4826854991489107E-3</v>
      </c>
      <c r="T29" s="13"/>
    </row>
    <row r="30" spans="1:20">
      <c r="A30" s="13">
        <v>57.999999999999943</v>
      </c>
      <c r="B30" s="20">
        <v>0.86996621553760234</v>
      </c>
      <c r="C30" s="20">
        <v>8.1439820985917441E-2</v>
      </c>
      <c r="D30" s="13">
        <v>1.1390390237953218E-2</v>
      </c>
      <c r="E30" s="13">
        <v>1.1650338042520334E-2</v>
      </c>
      <c r="F30" s="13">
        <v>1.1737900397145984E-2</v>
      </c>
      <c r="G30" s="13">
        <v>1.1649151209031294E-2</v>
      </c>
      <c r="H30" s="13">
        <v>1.1388069651552061E-2</v>
      </c>
      <c r="I30" s="13">
        <v>1.0966244294324077E-2</v>
      </c>
      <c r="J30" s="13">
        <v>1.0402020076396431E-2</v>
      </c>
      <c r="K30" s="13">
        <v>9.719175592839276E-3</v>
      </c>
      <c r="L30" s="13">
        <v>8.9452635144134877E-3</v>
      </c>
      <c r="M30" s="13">
        <v>8.109775251569664E-3</v>
      </c>
      <c r="N30" s="13">
        <v>7.242299288225602E-3</v>
      </c>
      <c r="O30" s="13">
        <v>6.3708310354837899E-3</v>
      </c>
      <c r="P30" s="13">
        <v>5.5203634983502477E-3</v>
      </c>
      <c r="Q30" s="13">
        <v>4.7118475832967181E-3</v>
      </c>
      <c r="R30" s="13">
        <v>3.9615647736237509E-3</v>
      </c>
      <c r="S30" s="13">
        <v>3.2809095556456985E-3</v>
      </c>
      <c r="T30" s="13"/>
    </row>
    <row r="31" spans="1:20">
      <c r="A31" s="13">
        <v>58.999999999999943</v>
      </c>
      <c r="B31" s="20">
        <v>0.90577734006883548</v>
      </c>
      <c r="C31" s="20">
        <v>8.3420824471786489E-2</v>
      </c>
      <c r="D31" s="13">
        <v>9.1637822063423465E-3</v>
      </c>
      <c r="E31" s="13">
        <v>9.8574259442927286E-3</v>
      </c>
      <c r="F31" s="13">
        <v>1.0452292575140533E-2</v>
      </c>
      <c r="G31" s="13">
        <v>1.0924935033029637E-2</v>
      </c>
      <c r="H31" s="13">
        <v>1.1256035104190527E-2</v>
      </c>
      <c r="I31" s="13">
        <v>1.1431712276875871E-2</v>
      </c>
      <c r="J31" s="13">
        <v>1.1444488896489578E-2</v>
      </c>
      <c r="K31" s="13">
        <v>1.1293818124440124E-2</v>
      </c>
      <c r="L31" s="13">
        <v>1.0986122760404775E-2</v>
      </c>
      <c r="M31" s="13">
        <v>1.053434108769454E-2</v>
      </c>
      <c r="N31" s="13">
        <v>9.9570244875263874E-3</v>
      </c>
      <c r="O31" s="13">
        <v>9.2770745126537872E-3</v>
      </c>
      <c r="P31" s="13">
        <v>8.5202391516300685E-3</v>
      </c>
      <c r="Q31" s="13">
        <v>7.7135055388693283E-3</v>
      </c>
      <c r="R31" s="13">
        <v>6.8835278993363844E-3</v>
      </c>
      <c r="S31" s="13">
        <v>6.0552158464928377E-3</v>
      </c>
      <c r="T31" s="13"/>
    </row>
    <row r="32" spans="1:20">
      <c r="A32" s="13">
        <v>59.999999999999936</v>
      </c>
      <c r="B32" s="20">
        <v>0.94487718666848086</v>
      </c>
      <c r="C32" s="20">
        <v>8.5615630937679849E-2</v>
      </c>
      <c r="D32" s="13">
        <v>6.0423470010918228E-3</v>
      </c>
      <c r="E32" s="13">
        <v>6.8305653219953568E-3</v>
      </c>
      <c r="F32" s="13">
        <v>7.6169792791059157E-3</v>
      </c>
      <c r="G32" s="13">
        <v>8.3788427155014611E-3</v>
      </c>
      <c r="H32" s="13">
        <v>9.0920212209406933E-3</v>
      </c>
      <c r="I32" s="13">
        <v>9.7322214406028746E-3</v>
      </c>
      <c r="J32" s="13">
        <v>1.0276344667751899E-2</v>
      </c>
      <c r="K32" s="13">
        <v>1.0703861493587879E-2</v>
      </c>
      <c r="L32" s="13">
        <v>1.099809427638947E-2</v>
      </c>
      <c r="M32" s="13">
        <v>1.1147296024111315E-2</v>
      </c>
      <c r="N32" s="13">
        <v>1.1145428472805792E-2</v>
      </c>
      <c r="O32" s="13">
        <v>1.0992567537598462E-2</v>
      </c>
      <c r="P32" s="13">
        <v>1.0694898192724728E-2</v>
      </c>
      <c r="Q32" s="13">
        <v>1.0264299261879942E-2</v>
      </c>
      <c r="R32" s="13">
        <v>9.7175569669814815E-3</v>
      </c>
      <c r="S32" s="13">
        <v>9.0752797979990665E-3</v>
      </c>
      <c r="T32" s="13"/>
    </row>
    <row r="33" spans="1:20">
      <c r="A33" s="13">
        <v>60.999999999999936</v>
      </c>
      <c r="B33" s="20">
        <v>0.98764976289335782</v>
      </c>
      <c r="C33" s="20">
        <v>8.8045960491093048E-2</v>
      </c>
      <c r="D33" s="13">
        <v>3.1986907891689087E-3</v>
      </c>
      <c r="E33" s="13">
        <v>3.7956527955670663E-3</v>
      </c>
      <c r="F33" s="13">
        <v>4.4462963937509908E-3</v>
      </c>
      <c r="G33" s="13">
        <v>5.1417156167707428E-3</v>
      </c>
      <c r="H33" s="13">
        <v>5.8696932722581202E-3</v>
      </c>
      <c r="I33" s="13">
        <v>6.6148572102873128E-3</v>
      </c>
      <c r="J33" s="13">
        <v>7.3590753940512418E-3</v>
      </c>
      <c r="K33" s="13">
        <v>8.0820911228850108E-3</v>
      </c>
      <c r="L33" s="13">
        <v>8.7623772054994508E-3</v>
      </c>
      <c r="M33" s="13">
        <v>9.3781647737309574E-3</v>
      </c>
      <c r="N33" s="13">
        <v>9.9085814794444577E-3</v>
      </c>
      <c r="O33" s="13">
        <v>1.0334817759996499E-2</v>
      </c>
      <c r="P33" s="13">
        <v>1.0641231040333729E-2</v>
      </c>
      <c r="Q33" s="13">
        <v>1.0816297756674561E-2</v>
      </c>
      <c r="R33" s="13">
        <v>1.085333249030947E-2</v>
      </c>
      <c r="S33" s="13">
        <v>1.0750911656958483E-2</v>
      </c>
      <c r="T33" s="13"/>
    </row>
    <row r="34" spans="1:20">
      <c r="A34" s="13">
        <v>61.999999999999929</v>
      </c>
      <c r="B34" s="20">
        <v>1.0345300223598419</v>
      </c>
      <c r="C34" s="20">
        <v>9.0736185398507155E-2</v>
      </c>
      <c r="D34" s="13">
        <v>1.3321136036632496E-3</v>
      </c>
      <c r="E34" s="13">
        <v>1.6566986844699315E-3</v>
      </c>
      <c r="F34" s="13">
        <v>2.0354984758566611E-3</v>
      </c>
      <c r="G34" s="13">
        <v>2.4707171271263206E-3</v>
      </c>
      <c r="H34" s="13">
        <v>2.9627858387640256E-3</v>
      </c>
      <c r="I34" s="13">
        <v>3.5099625660116925E-3</v>
      </c>
      <c r="J34" s="13">
        <v>4.1079930423182304E-3</v>
      </c>
      <c r="K34" s="13">
        <v>4.7498719756419866E-3</v>
      </c>
      <c r="L34" s="13">
        <v>5.4257415042938085E-3</v>
      </c>
      <c r="M34" s="13">
        <v>6.1229580516776773E-3</v>
      </c>
      <c r="N34" s="13">
        <v>6.8263485483835134E-3</v>
      </c>
      <c r="O34" s="13">
        <v>7.518663089423578E-3</v>
      </c>
      <c r="P34" s="13">
        <v>8.1812145111264632E-3</v>
      </c>
      <c r="Q34" s="13">
        <v>8.7946776418397592E-3</v>
      </c>
      <c r="R34" s="13">
        <v>9.3400039787977628E-3</v>
      </c>
      <c r="S34" s="13">
        <v>9.7993932676391053E-3</v>
      </c>
      <c r="T34" s="13"/>
    </row>
    <row r="35" spans="1:20">
      <c r="A35" s="13">
        <v>62.999999999999929</v>
      </c>
      <c r="B35" s="20">
        <v>1.0860119833215627</v>
      </c>
      <c r="C35" s="20">
        <v>9.3713738498853338E-2</v>
      </c>
      <c r="D35" s="13">
        <v>4.2792151296703777E-4</v>
      </c>
      <c r="E35" s="13">
        <v>5.5667608989546226E-4</v>
      </c>
      <c r="F35" s="13">
        <v>7.1597174706089191E-4</v>
      </c>
      <c r="G35" s="13">
        <v>9.1042478244410599E-4</v>
      </c>
      <c r="H35" s="13">
        <v>1.1445825652924915E-3</v>
      </c>
      <c r="I35" s="13">
        <v>1.4226728733477737E-3</v>
      </c>
      <c r="J35" s="13">
        <v>1.7483075954895998E-3</v>
      </c>
      <c r="K35" s="13">
        <v>2.1241515912113662E-3</v>
      </c>
      <c r="L35" s="13">
        <v>2.5515732423486907E-3</v>
      </c>
      <c r="M35" s="13">
        <v>3.0302987059215086E-3</v>
      </c>
      <c r="N35" s="13">
        <v>3.5580964035313422E-3</v>
      </c>
      <c r="O35" s="13">
        <v>4.1305211502611783E-3</v>
      </c>
      <c r="P35" s="13">
        <v>4.7407478749980836E-3</v>
      </c>
      <c r="Q35" s="13">
        <v>5.3795226075677768E-3</v>
      </c>
      <c r="R35" s="13">
        <v>6.0352530487992754E-3</v>
      </c>
      <c r="S35" s="13">
        <v>6.6942526690531102E-3</v>
      </c>
      <c r="T35" s="13"/>
    </row>
    <row r="36" spans="1:20">
      <c r="A36" s="13">
        <v>63.999999999999922</v>
      </c>
      <c r="B36" s="20">
        <v>1.1426582880207572</v>
      </c>
      <c r="C36" s="20">
        <v>9.7009589074147917E-2</v>
      </c>
      <c r="D36" s="13">
        <v>1.0407368928334932E-4</v>
      </c>
      <c r="E36" s="13">
        <v>1.4128307475056898E-4</v>
      </c>
      <c r="F36" s="13">
        <v>1.8976866548004118E-4</v>
      </c>
      <c r="G36" s="13">
        <v>2.5219939870532796E-4</v>
      </c>
      <c r="H36" s="13">
        <v>3.3162614906853482E-4</v>
      </c>
      <c r="I36" s="13">
        <v>4.3145813961420324E-4</v>
      </c>
      <c r="J36" s="13">
        <v>5.5541006154840547E-4</v>
      </c>
      <c r="K36" s="13">
        <v>7.0741456471255576E-4</v>
      </c>
      <c r="L36" s="13">
        <v>8.914960617130666E-4</v>
      </c>
      <c r="M36" s="13">
        <v>1.1116038404564686E-3</v>
      </c>
      <c r="N36" s="13">
        <v>1.3714053072632867E-3</v>
      </c>
      <c r="O36" s="13">
        <v>1.6740437000012209E-3</v>
      </c>
      <c r="P36" s="13">
        <v>2.0218686274554834E-3</v>
      </c>
      <c r="Q36" s="13">
        <v>2.4161520095051189E-3</v>
      </c>
      <c r="R36" s="13">
        <v>2.8568060183211549E-3</v>
      </c>
      <c r="S36" s="13">
        <v>3.3421229905641562E-3</v>
      </c>
      <c r="T36" s="13"/>
    </row>
    <row r="39" spans="1:20">
      <c r="A39" s="13"/>
      <c r="B39" s="13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20">
      <c r="A40" s="13"/>
      <c r="B40" s="20"/>
      <c r="C40" s="20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20">
      <c r="A41" s="13"/>
      <c r="B41" s="20"/>
      <c r="C41" s="20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20">
      <c r="A42" s="13"/>
      <c r="B42" s="20"/>
      <c r="C42" s="20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20">
      <c r="A43" s="13"/>
      <c r="B43" s="20"/>
      <c r="C43" s="20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20">
      <c r="A44" s="13"/>
      <c r="B44" s="20"/>
      <c r="C44" s="20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20">
      <c r="A45" s="13"/>
      <c r="B45" s="20"/>
      <c r="C45" s="20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20">
      <c r="A46" s="13"/>
      <c r="B46" s="20"/>
      <c r="C46" s="20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20">
      <c r="A47" s="13"/>
      <c r="B47" s="20"/>
      <c r="C47" s="20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20">
      <c r="A48" s="13"/>
      <c r="B48" s="20"/>
      <c r="C48" s="20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>
      <c r="A49" s="13"/>
      <c r="B49" s="20"/>
      <c r="C49" s="2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>
      <c r="A50" s="13"/>
      <c r="B50" s="20"/>
      <c r="C50" s="20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>
      <c r="A51" s="13"/>
      <c r="B51" s="20"/>
      <c r="C51" s="20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>
      <c r="A52" s="13"/>
      <c r="B52" s="20"/>
      <c r="C52" s="20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>
      <c r="A53" s="13"/>
      <c r="B53" s="20"/>
      <c r="C53" s="20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>
      <c r="A54" s="13"/>
      <c r="B54" s="20"/>
      <c r="C54" s="20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>
      <c r="A55" s="13"/>
      <c r="B55" s="20"/>
      <c r="C55" s="20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>
      <c r="A56" s="13"/>
      <c r="B56" s="20"/>
      <c r="C56" s="2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>
      <c r="A57" s="13"/>
      <c r="B57" s="20"/>
      <c r="C57" s="20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>
      <c r="A58" s="13"/>
      <c r="B58" s="20"/>
      <c r="C58" s="20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>
      <c r="A59" s="13"/>
      <c r="B59" s="20"/>
      <c r="C59" s="20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>
      <c r="A60" s="13"/>
      <c r="B60" s="20"/>
      <c r="C60" s="2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>
      <c r="A61" s="13"/>
      <c r="B61" s="20"/>
      <c r="C61" s="20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>
      <c r="A62" s="13"/>
      <c r="B62" s="20"/>
      <c r="C62" s="20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>
      <c r="A63" s="13"/>
      <c r="B63" s="20"/>
      <c r="C63" s="2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>
      <c r="A64" s="13"/>
      <c r="B64" s="20"/>
      <c r="C64" s="20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>
      <c r="A65" s="13"/>
      <c r="B65" s="20"/>
      <c r="C65" s="20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>
      <c r="A66" s="13"/>
      <c r="B66" s="20"/>
      <c r="C66" s="20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>
      <c r="A67" s="13"/>
      <c r="B67" s="20"/>
      <c r="C67" s="20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>
      <c r="A68" s="13"/>
      <c r="B68" s="20"/>
      <c r="C68" s="20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>
      <c r="A69" s="13"/>
      <c r="B69" s="20"/>
      <c r="C69" s="20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>
      <c r="A70" s="13"/>
      <c r="B70" s="20"/>
      <c r="C70" s="20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>
      <c r="A71" s="13"/>
      <c r="B71" s="20"/>
      <c r="C71" s="20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>
      <c r="A72" s="13"/>
      <c r="B72" s="20"/>
      <c r="C72" s="20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2:R24"/>
  <sheetViews>
    <sheetView workbookViewId="0">
      <selection activeCell="F26" sqref="F26"/>
    </sheetView>
  </sheetViews>
  <sheetFormatPr defaultRowHeight="15"/>
  <cols>
    <col min="1" max="1" width="24.28515625" customWidth="1"/>
    <col min="2" max="2" width="22.5703125" customWidth="1"/>
    <col min="3" max="3" width="24.140625" customWidth="1"/>
    <col min="4" max="4" width="15" customWidth="1"/>
    <col min="6" max="6" width="11.140625" customWidth="1"/>
    <col min="7" max="8" width="22.42578125" customWidth="1"/>
    <col min="9" max="9" width="26" customWidth="1"/>
  </cols>
  <sheetData>
    <row r="2" spans="1:18">
      <c r="A2" t="s">
        <v>6</v>
      </c>
    </row>
    <row r="4" spans="1:18" ht="30">
      <c r="A4" s="11" t="s">
        <v>11</v>
      </c>
      <c r="B4" s="11" t="s">
        <v>10</v>
      </c>
      <c r="C4" s="11" t="s">
        <v>14</v>
      </c>
    </row>
    <row r="5" spans="1:18" ht="30">
      <c r="A5" s="11" t="s">
        <v>7</v>
      </c>
      <c r="B5" s="17">
        <v>0.9</v>
      </c>
      <c r="C5" s="18">
        <v>1E-3</v>
      </c>
    </row>
    <row r="6" spans="1:18" ht="54" customHeight="1">
      <c r="A6" s="14" t="s">
        <v>9</v>
      </c>
      <c r="B6" s="17">
        <v>0.92</v>
      </c>
      <c r="C6" s="18">
        <v>0.5</v>
      </c>
    </row>
    <row r="7" spans="1:18" ht="59.25" customHeight="1">
      <c r="A7" s="14" t="s">
        <v>8</v>
      </c>
      <c r="B7" s="17">
        <v>0.95</v>
      </c>
      <c r="C7" s="18">
        <v>0.8</v>
      </c>
    </row>
    <row r="8" spans="1:18" ht="33.75" customHeight="1">
      <c r="A8" s="12"/>
      <c r="B8" s="13"/>
    </row>
    <row r="9" spans="1:18" ht="45">
      <c r="A9" s="11" t="s">
        <v>13</v>
      </c>
      <c r="B9" s="11" t="s">
        <v>12</v>
      </c>
      <c r="C9" s="11" t="s">
        <v>15</v>
      </c>
      <c r="D9" s="11" t="s">
        <v>14</v>
      </c>
    </row>
    <row r="10" spans="1:18">
      <c r="A10" s="12">
        <v>0.9</v>
      </c>
      <c r="B10" s="16">
        <v>0</v>
      </c>
      <c r="C10" s="16">
        <f>A10+B10</f>
        <v>0.9</v>
      </c>
      <c r="D10" s="15">
        <f t="shared" ref="D10:D21" si="0">IF(C10&lt;=$B$5, $C$5*C10/$B$5, IF(C10&lt;=$B$6,$C$5+(C10-$B$5)*($C$6-$C$5)/($B$6-$B$5),IF(C10&lt;=$B$7,$C$6+(C10-$B$6)*($C$7-$C$6)/($B$7-$B$6),$C$7+(C10-$B$7)*(1-$C$7)/(100%-$B$7))))</f>
        <v>1E-3</v>
      </c>
      <c r="G10">
        <v>90</v>
      </c>
      <c r="H10">
        <v>91</v>
      </c>
      <c r="I10">
        <v>92</v>
      </c>
      <c r="J10">
        <v>93</v>
      </c>
      <c r="K10">
        <v>94</v>
      </c>
      <c r="L10">
        <v>95</v>
      </c>
      <c r="M10">
        <v>96</v>
      </c>
      <c r="N10">
        <v>97</v>
      </c>
      <c r="O10">
        <v>98</v>
      </c>
      <c r="P10">
        <v>99</v>
      </c>
      <c r="Q10">
        <v>100</v>
      </c>
    </row>
    <row r="11" spans="1:18">
      <c r="A11" s="10">
        <v>0.9</v>
      </c>
      <c r="B11" s="16">
        <v>0.01</v>
      </c>
      <c r="C11" s="16">
        <f t="shared" ref="C11:C21" si="1">A11+B11</f>
        <v>0.91</v>
      </c>
      <c r="D11" s="15">
        <f t="shared" si="0"/>
        <v>0.2505</v>
      </c>
      <c r="G11">
        <v>1E-3</v>
      </c>
      <c r="H11">
        <v>0.2505</v>
      </c>
      <c r="I11">
        <v>0.5</v>
      </c>
      <c r="J11">
        <v>0.60000000000000042</v>
      </c>
      <c r="K11">
        <v>0.70000000000000073</v>
      </c>
      <c r="L11">
        <v>0.80000000000000115</v>
      </c>
      <c r="M11">
        <v>0.84000000000000008</v>
      </c>
      <c r="N11">
        <v>0.88</v>
      </c>
      <c r="O11">
        <v>0.92</v>
      </c>
      <c r="P11">
        <v>0.96</v>
      </c>
      <c r="Q11">
        <v>1</v>
      </c>
      <c r="R11">
        <v>1</v>
      </c>
    </row>
    <row r="12" spans="1:18">
      <c r="A12" s="10">
        <v>0.9</v>
      </c>
      <c r="B12" s="16">
        <v>0.02</v>
      </c>
      <c r="C12" s="16">
        <f t="shared" si="1"/>
        <v>0.92</v>
      </c>
      <c r="D12" s="15">
        <f t="shared" si="0"/>
        <v>0.5</v>
      </c>
    </row>
    <row r="13" spans="1:18">
      <c r="A13" s="10">
        <v>0.9</v>
      </c>
      <c r="B13" s="16">
        <v>0.03</v>
      </c>
      <c r="C13" s="16">
        <f t="shared" si="1"/>
        <v>0.93</v>
      </c>
      <c r="D13" s="15">
        <f t="shared" si="0"/>
        <v>0.60000000000000042</v>
      </c>
    </row>
    <row r="14" spans="1:18">
      <c r="A14" s="10">
        <v>0.9</v>
      </c>
      <c r="B14" s="16">
        <v>0.04</v>
      </c>
      <c r="C14" s="16">
        <f t="shared" si="1"/>
        <v>0.94000000000000006</v>
      </c>
      <c r="D14" s="15">
        <f t="shared" si="0"/>
        <v>0.70000000000000073</v>
      </c>
    </row>
    <row r="15" spans="1:18">
      <c r="A15" s="10">
        <v>0.9</v>
      </c>
      <c r="B15" s="16">
        <v>0.05</v>
      </c>
      <c r="C15" s="16">
        <f t="shared" si="1"/>
        <v>0.95000000000000007</v>
      </c>
      <c r="D15" s="15">
        <f t="shared" si="0"/>
        <v>0.80000000000000115</v>
      </c>
    </row>
    <row r="16" spans="1:18">
      <c r="A16" s="10">
        <v>0.9</v>
      </c>
      <c r="B16" s="16">
        <v>0.06</v>
      </c>
      <c r="C16" s="16">
        <f t="shared" si="1"/>
        <v>0.96</v>
      </c>
      <c r="D16" s="15">
        <f t="shared" si="0"/>
        <v>0.84000000000000008</v>
      </c>
    </row>
    <row r="17" spans="1:4">
      <c r="A17" s="10">
        <v>0.9</v>
      </c>
      <c r="B17" s="16">
        <v>7.0000000000000007E-2</v>
      </c>
      <c r="C17" s="16">
        <f t="shared" si="1"/>
        <v>0.97</v>
      </c>
      <c r="D17" s="15">
        <f t="shared" si="0"/>
        <v>0.88</v>
      </c>
    </row>
    <row r="18" spans="1:4">
      <c r="A18" s="10">
        <v>0.9</v>
      </c>
      <c r="B18" s="16">
        <v>0.08</v>
      </c>
      <c r="C18" s="16">
        <f t="shared" si="1"/>
        <v>0.98</v>
      </c>
      <c r="D18" s="15">
        <f t="shared" si="0"/>
        <v>0.92</v>
      </c>
    </row>
    <row r="19" spans="1:4">
      <c r="A19" s="10">
        <v>0.9</v>
      </c>
      <c r="B19" s="16">
        <v>0.09</v>
      </c>
      <c r="C19" s="16">
        <f t="shared" si="1"/>
        <v>0.99</v>
      </c>
      <c r="D19" s="15">
        <f t="shared" si="0"/>
        <v>0.96</v>
      </c>
    </row>
    <row r="20" spans="1:4">
      <c r="A20" s="10">
        <v>0.9</v>
      </c>
      <c r="B20" s="16">
        <v>0.1</v>
      </c>
      <c r="C20" s="16">
        <f t="shared" si="1"/>
        <v>1</v>
      </c>
      <c r="D20" s="15">
        <f t="shared" si="0"/>
        <v>1</v>
      </c>
    </row>
    <row r="21" spans="1:4">
      <c r="A21" s="10">
        <v>0.9</v>
      </c>
      <c r="B21" s="16">
        <v>0.1</v>
      </c>
      <c r="C21" s="16">
        <f t="shared" si="1"/>
        <v>1</v>
      </c>
      <c r="D21" s="15">
        <f t="shared" si="0"/>
        <v>1</v>
      </c>
    </row>
    <row r="22" spans="1:4">
      <c r="A22" s="10"/>
      <c r="B22" s="16"/>
      <c r="C22" s="16"/>
      <c r="D22" s="15"/>
    </row>
    <row r="23" spans="1:4">
      <c r="A23" s="12"/>
      <c r="B23" s="15"/>
    </row>
    <row r="24" spans="1:4">
      <c r="A24" s="12"/>
      <c r="B24" s="1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N1" sqref="N1"/>
    </sheetView>
  </sheetViews>
  <sheetFormatPr defaultRowHeight="15"/>
  <cols>
    <col min="1" max="1" width="11.85546875" customWidth="1"/>
    <col min="2" max="2" width="21.42578125" customWidth="1"/>
    <col min="14" max="14" width="12" bestFit="1" customWidth="1"/>
  </cols>
  <sheetData>
    <row r="1" spans="1:14" ht="21">
      <c r="A1" s="34" t="s">
        <v>66</v>
      </c>
      <c r="B1" s="34"/>
      <c r="C1" s="34"/>
      <c r="D1" s="34"/>
      <c r="E1" s="34"/>
      <c r="F1" s="34"/>
      <c r="G1" s="34"/>
      <c r="H1" s="34"/>
      <c r="I1" s="34"/>
      <c r="J1" s="1"/>
      <c r="K1" s="1"/>
      <c r="L1" s="1"/>
    </row>
    <row r="3" spans="1:14" ht="60">
      <c r="A3" s="2" t="s">
        <v>39</v>
      </c>
      <c r="B3" s="2" t="s">
        <v>54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4" t="s">
        <v>55</v>
      </c>
    </row>
    <row r="4" spans="1:14">
      <c r="A4" s="2">
        <v>0</v>
      </c>
      <c r="B4" s="2">
        <v>6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>
      <c r="A5" s="2">
        <v>1</v>
      </c>
      <c r="B5" s="2">
        <v>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>
      <c r="A6" s="2">
        <v>2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>
      <c r="A7" s="2">
        <v>3</v>
      </c>
      <c r="B7" s="2">
        <v>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>
      <c r="A8" s="2">
        <v>4</v>
      </c>
      <c r="B8" s="2">
        <v>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>
      <c r="A9" s="2">
        <v>5</v>
      </c>
      <c r="B9" s="2">
        <v>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>
      <c r="A10" s="2">
        <v>6</v>
      </c>
      <c r="B10" s="2">
        <v>15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>
      <c r="A11" s="2">
        <v>7</v>
      </c>
      <c r="B11" s="2">
        <v>18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>
      <c r="A12" s="2">
        <v>8</v>
      </c>
      <c r="B12" s="2">
        <v>21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>
      <c r="A13" s="2">
        <v>9</v>
      </c>
      <c r="B13" s="2">
        <v>24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>
      <c r="A14" s="2">
        <v>10</v>
      </c>
      <c r="B14" s="2">
        <v>25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>
      <c r="A15" s="2">
        <v>11</v>
      </c>
      <c r="B15" s="2">
        <v>26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>
      <c r="A16" s="2">
        <v>12</v>
      </c>
      <c r="B16" s="2">
        <v>29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>
      <c r="A17" s="2">
        <v>13</v>
      </c>
      <c r="B17" s="2">
        <v>28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1:14">
      <c r="A18" s="2">
        <v>14</v>
      </c>
      <c r="B18" s="2">
        <v>29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>
      <c r="A19" s="2">
        <v>15</v>
      </c>
      <c r="B19" s="2">
        <v>29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>
      <c r="A20" s="2">
        <v>16</v>
      </c>
      <c r="B20" s="2">
        <v>29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>
      <c r="A21" s="2">
        <v>17</v>
      </c>
      <c r="B21" s="2">
        <v>29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>
      <c r="A22" s="2">
        <v>18</v>
      </c>
      <c r="B22" s="2">
        <v>39</v>
      </c>
      <c r="C22" s="13">
        <v>9.8333518550066574E-10</v>
      </c>
      <c r="D22" s="13">
        <v>4.1070522001957521E-10</v>
      </c>
      <c r="E22" s="13">
        <v>1.6771874302422318E-10</v>
      </c>
      <c r="F22" s="13">
        <v>6.6966208054791511E-11</v>
      </c>
      <c r="G22" s="13">
        <v>2.6142827028972628E-11</v>
      </c>
      <c r="H22" s="13">
        <v>9.9786576687027617E-12</v>
      </c>
      <c r="I22" s="13">
        <v>3.7240408045340605E-12</v>
      </c>
      <c r="J22" s="13">
        <v>1.358874881122442E-12</v>
      </c>
      <c r="K22" s="13">
        <v>4.8480517087931826E-13</v>
      </c>
      <c r="L22" s="13">
        <v>1.6911329391251628E-13</v>
      </c>
      <c r="M22" s="13">
        <v>5.7678105442489873E-14</v>
      </c>
      <c r="N22" s="2">
        <f>SUMPRODUCT(C22:M22,FailureCpu!$G$11:$Q$11)</f>
        <v>2.5917704599663771E-10</v>
      </c>
    </row>
    <row r="23" spans="1:14">
      <c r="A23" s="2">
        <v>19</v>
      </c>
      <c r="B23" s="2">
        <v>47</v>
      </c>
      <c r="C23" s="13">
        <v>3.4793280714331334E-6</v>
      </c>
      <c r="D23" s="13">
        <v>1.9145466667509931E-6</v>
      </c>
      <c r="E23" s="13">
        <v>1.0318250746477658E-6</v>
      </c>
      <c r="F23" s="13">
        <v>5.4464778743619271E-7</v>
      </c>
      <c r="G23" s="13">
        <v>2.8157555906841088E-7</v>
      </c>
      <c r="H23" s="13">
        <v>1.4257510880566157E-7</v>
      </c>
      <c r="I23" s="13">
        <v>7.0706935269022245E-8</v>
      </c>
      <c r="J23" s="13">
        <v>3.434391974526308E-8</v>
      </c>
      <c r="K23" s="13">
        <v>1.6338314548674675E-8</v>
      </c>
      <c r="L23" s="13">
        <v>7.6126206814966049E-9</v>
      </c>
      <c r="M23" s="13">
        <v>3.4740068726361109E-9</v>
      </c>
      <c r="N23" s="2">
        <f>SUMPRODUCT(C23:M23,FailureCpu!$G$11:$Q$11)</f>
        <v>1.7523673033840367E-6</v>
      </c>
    </row>
    <row r="24" spans="1:14">
      <c r="A24" s="2">
        <v>20</v>
      </c>
      <c r="B24" s="2">
        <v>45</v>
      </c>
      <c r="C24" s="13">
        <v>4.5004567903760252E-7</v>
      </c>
      <c r="D24" s="13">
        <v>2.2897824926583124E-7</v>
      </c>
      <c r="E24" s="13">
        <v>1.1403735612203957E-7</v>
      </c>
      <c r="F24" s="13">
        <v>5.559238734164084E-8</v>
      </c>
      <c r="G24" s="13">
        <v>2.6527650347951111E-8</v>
      </c>
      <c r="H24" s="13">
        <v>1.2390747867911474E-8</v>
      </c>
      <c r="I24" s="13">
        <v>5.6651515251223902E-9</v>
      </c>
      <c r="J24" s="13">
        <v>2.535366899874764E-9</v>
      </c>
      <c r="K24" s="13">
        <v>1.1106708587582898E-9</v>
      </c>
      <c r="L24" s="13">
        <v>4.7626121276040095E-10</v>
      </c>
      <c r="M24" s="13">
        <v>1.9990346644920444E-10</v>
      </c>
      <c r="N24" s="2">
        <f>SUMPRODUCT(C24:M24,FailureCpu!$G$11:$Q$11)</f>
        <v>1.8533394269777702E-7</v>
      </c>
    </row>
    <row r="25" spans="1:14">
      <c r="A25" s="2">
        <v>21</v>
      </c>
      <c r="B25" s="2">
        <v>36</v>
      </c>
      <c r="C25" s="13">
        <v>4.4939215390351864E-11</v>
      </c>
      <c r="D25" s="13">
        <v>1.7239115224085519E-11</v>
      </c>
      <c r="E25" s="13">
        <v>6.4635298242974853E-12</v>
      </c>
      <c r="F25" s="13">
        <v>2.3685897174747881E-12</v>
      </c>
      <c r="G25" s="13">
        <v>8.4835030426585058E-13</v>
      </c>
      <c r="H25" s="13">
        <v>2.9697910777201127E-13</v>
      </c>
      <c r="I25" s="13">
        <v>1.0161126876546663E-13</v>
      </c>
      <c r="J25" s="13">
        <v>3.3979982284243927E-14</v>
      </c>
      <c r="K25" s="13">
        <v>1.110630817182268E-14</v>
      </c>
      <c r="L25" s="13">
        <v>3.5479834838309818E-15</v>
      </c>
      <c r="M25" s="13">
        <v>1.1077933580901462E-15</v>
      </c>
      <c r="N25" s="2">
        <f>SUMPRODUCT(C25:M25,FailureCpu!$G$11:$Q$11)</f>
        <v>9.9776723320548687E-12</v>
      </c>
    </row>
    <row r="26" spans="1:14">
      <c r="A26" s="2">
        <v>22</v>
      </c>
      <c r="B26" s="2">
        <v>22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>
      <c r="A27" s="2">
        <v>23</v>
      </c>
      <c r="B27" s="2">
        <v>11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TimeEvents</vt:lpstr>
      <vt:lpstr>CpuEvents</vt:lpstr>
      <vt:lpstr>FailureCpu</vt:lpstr>
      <vt:lpstr>CpuHour</vt:lpstr>
    </vt:vector>
  </TitlesOfParts>
  <Company>Amdocs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Amdocs</dc:creator>
  <cp:lastModifiedBy>Amdocs</cp:lastModifiedBy>
  <dcterms:created xsi:type="dcterms:W3CDTF">2011-02-19T04:17:26Z</dcterms:created>
  <dcterms:modified xsi:type="dcterms:W3CDTF">2011-02-20T03:50:29Z</dcterms:modified>
</cp:coreProperties>
</file>