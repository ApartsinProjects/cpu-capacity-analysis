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1.xml" ContentType="application/vnd.openxmlformats-officedocument.spreadsheetml.table+xml"/>
  <Override PartName="/xl/tables/table1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60" windowWidth="20940" windowHeight="10110"/>
  </bookViews>
  <sheets>
    <sheet name="QResults" sheetId="6" r:id="rId1"/>
    <sheet name="FailureForCPU" sheetId="3" r:id="rId2"/>
    <sheet name="ServerTypeA" sheetId="1" r:id="rId3"/>
    <sheet name="ServerTypeB" sheetId="4" r:id="rId4"/>
  </sheets>
  <calcPr calcId="125725"/>
</workbook>
</file>

<file path=xl/calcChain.xml><?xml version="1.0" encoding="utf-8"?>
<calcChain xmlns="http://schemas.openxmlformats.org/spreadsheetml/2006/main">
  <c r="H18" i="6"/>
  <c r="H17"/>
  <c r="I31" l="1"/>
  <c r="C15"/>
  <c r="G24"/>
  <c r="G22"/>
  <c r="B214" i="4"/>
  <c r="B213"/>
  <c r="C213" s="1"/>
  <c r="C212"/>
  <c r="B212"/>
  <c r="B211"/>
  <c r="C211" s="1"/>
  <c r="C210"/>
  <c r="B210"/>
  <c r="B209"/>
  <c r="C209" s="1"/>
  <c r="C208"/>
  <c r="B208"/>
  <c r="B207"/>
  <c r="C207" s="1"/>
  <c r="C206"/>
  <c r="B206"/>
  <c r="B205"/>
  <c r="C205" s="1"/>
  <c r="C204"/>
  <c r="B204"/>
  <c r="B203"/>
  <c r="C203" s="1"/>
  <c r="C202"/>
  <c r="B202"/>
  <c r="B201"/>
  <c r="C201" s="1"/>
  <c r="C200"/>
  <c r="B200"/>
  <c r="B199"/>
  <c r="C199" s="1"/>
  <c r="C198"/>
  <c r="B198"/>
  <c r="B197"/>
  <c r="C197" s="1"/>
  <c r="C196"/>
  <c r="B196"/>
  <c r="B195"/>
  <c r="C195" s="1"/>
  <c r="C194"/>
  <c r="B194"/>
  <c r="B193"/>
  <c r="C193" s="1"/>
  <c r="C192"/>
  <c r="B192"/>
  <c r="B191"/>
  <c r="C191" s="1"/>
  <c r="B319" i="1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13" i="6"/>
  <c r="F19"/>
  <c r="H19" s="1"/>
  <c r="E19"/>
  <c r="D19"/>
  <c r="C19"/>
  <c r="C23"/>
  <c r="D23" s="1"/>
  <c r="E23" s="1"/>
  <c r="F23" s="1"/>
  <c r="B19"/>
  <c r="B14"/>
  <c r="B16" s="1"/>
  <c r="B15"/>
  <c r="B12"/>
  <c r="I7" s="1"/>
  <c r="B11"/>
  <c r="I6" s="1"/>
  <c r="B15" i="3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C5"/>
  <c r="C6"/>
  <c r="C7"/>
  <c r="C8"/>
  <c r="C9"/>
  <c r="B20" i="6" l="1"/>
  <c r="E193" i="4" a="1"/>
  <c r="E193" s="1"/>
  <c r="D193" a="1"/>
  <c r="D193" s="1"/>
  <c r="E197" a="1"/>
  <c r="E197" s="1"/>
  <c r="D197" a="1"/>
  <c r="D197" s="1"/>
  <c r="E201" a="1"/>
  <c r="E201" s="1"/>
  <c r="D201" a="1"/>
  <c r="D201" s="1"/>
  <c r="E205" a="1"/>
  <c r="E205" s="1"/>
  <c r="D205" a="1"/>
  <c r="D205" s="1"/>
  <c r="E209" a="1"/>
  <c r="E209" s="1"/>
  <c r="D209" a="1"/>
  <c r="D209" s="1"/>
  <c r="E213" a="1"/>
  <c r="E213" s="1"/>
  <c r="D213" a="1"/>
  <c r="D213" s="1"/>
  <c r="E191" a="1"/>
  <c r="E191" s="1"/>
  <c r="D191" a="1"/>
  <c r="D191" s="1"/>
  <c r="E195" a="1"/>
  <c r="E195" s="1"/>
  <c r="D195" a="1"/>
  <c r="D195" s="1"/>
  <c r="E199" a="1"/>
  <c r="E199" s="1"/>
  <c r="D199" a="1"/>
  <c r="D199" s="1"/>
  <c r="E203" a="1"/>
  <c r="E203" s="1"/>
  <c r="D203" a="1"/>
  <c r="D203" s="1"/>
  <c r="E207" a="1"/>
  <c r="E207" s="1"/>
  <c r="D207" a="1"/>
  <c r="D207" s="1"/>
  <c r="E211" a="1"/>
  <c r="E211" s="1"/>
  <c r="D211" a="1"/>
  <c r="D211" s="1"/>
  <c r="B320"/>
  <c r="B288"/>
  <c r="B256"/>
  <c r="B224"/>
  <c r="B322"/>
  <c r="B290"/>
  <c r="B258"/>
  <c r="B226"/>
  <c r="B324"/>
  <c r="B292"/>
  <c r="B260"/>
  <c r="B228"/>
  <c r="B326"/>
  <c r="B294"/>
  <c r="B262"/>
  <c r="B230"/>
  <c r="B328"/>
  <c r="B296"/>
  <c r="B232"/>
  <c r="B264"/>
  <c r="B330"/>
  <c r="B298"/>
  <c r="B266"/>
  <c r="B234"/>
  <c r="B332"/>
  <c r="B300"/>
  <c r="B268"/>
  <c r="B236"/>
  <c r="B334"/>
  <c r="B302"/>
  <c r="B270"/>
  <c r="B238"/>
  <c r="B336"/>
  <c r="B304"/>
  <c r="B272"/>
  <c r="B240"/>
  <c r="B338"/>
  <c r="B306"/>
  <c r="B274"/>
  <c r="B242"/>
  <c r="B340"/>
  <c r="B308"/>
  <c r="B276"/>
  <c r="B244"/>
  <c r="D192" a="1"/>
  <c r="D192" s="1"/>
  <c r="E192" a="1"/>
  <c r="E192" s="1"/>
  <c r="D194" a="1"/>
  <c r="D194" s="1"/>
  <c r="E194" a="1"/>
  <c r="E194" s="1"/>
  <c r="D196" a="1"/>
  <c r="D196" s="1"/>
  <c r="E196" a="1"/>
  <c r="E196" s="1"/>
  <c r="D198" a="1"/>
  <c r="D198" s="1"/>
  <c r="E198" a="1"/>
  <c r="E198" s="1"/>
  <c r="D200" a="1"/>
  <c r="D200" s="1"/>
  <c r="E200" a="1"/>
  <c r="E200" s="1"/>
  <c r="D202" a="1"/>
  <c r="D202" s="1"/>
  <c r="E202" a="1"/>
  <c r="E202" s="1"/>
  <c r="D204" a="1"/>
  <c r="D204" s="1"/>
  <c r="E204" a="1"/>
  <c r="E204" s="1"/>
  <c r="D206" a="1"/>
  <c r="D206" s="1"/>
  <c r="E206" a="1"/>
  <c r="E206" s="1"/>
  <c r="D208" a="1"/>
  <c r="D208" s="1"/>
  <c r="E208" a="1"/>
  <c r="E208" s="1"/>
  <c r="D210" a="1"/>
  <c r="D210" s="1"/>
  <c r="E210" a="1"/>
  <c r="E210" s="1"/>
  <c r="D212" a="1"/>
  <c r="D212" s="1"/>
  <c r="E212" a="1"/>
  <c r="E212" s="1"/>
  <c r="B319"/>
  <c r="B344" s="1"/>
  <c r="B287"/>
  <c r="B255"/>
  <c r="B280" s="1"/>
  <c r="B223"/>
  <c r="B216"/>
  <c r="B321"/>
  <c r="B289"/>
  <c r="B257"/>
  <c r="B225"/>
  <c r="B323"/>
  <c r="B291"/>
  <c r="B259"/>
  <c r="B227"/>
  <c r="B325"/>
  <c r="B293"/>
  <c r="B261"/>
  <c r="B229"/>
  <c r="B327"/>
  <c r="B295"/>
  <c r="B263"/>
  <c r="B231"/>
  <c r="B329"/>
  <c r="B297"/>
  <c r="B265"/>
  <c r="B233"/>
  <c r="B331"/>
  <c r="B299"/>
  <c r="B267"/>
  <c r="B235"/>
  <c r="B333"/>
  <c r="B301"/>
  <c r="B269"/>
  <c r="B237"/>
  <c r="B335"/>
  <c r="B303"/>
  <c r="B271"/>
  <c r="B239"/>
  <c r="B337"/>
  <c r="B305"/>
  <c r="B273"/>
  <c r="B241"/>
  <c r="B339"/>
  <c r="B307"/>
  <c r="B275"/>
  <c r="B243"/>
  <c r="B341"/>
  <c r="B309"/>
  <c r="B277"/>
  <c r="B245"/>
  <c r="B342"/>
  <c r="B310"/>
  <c r="B278"/>
  <c r="B246"/>
  <c r="C214"/>
  <c r="B21" i="6"/>
  <c r="C21" s="1"/>
  <c r="D310" i="4" l="1" a="1"/>
  <c r="D309" a="1"/>
  <c r="D243" a="1"/>
  <c r="D305" a="1"/>
  <c r="D239" a="1"/>
  <c r="D301" a="1"/>
  <c r="D235" a="1"/>
  <c r="D297" a="1"/>
  <c r="D231" a="1"/>
  <c r="D293" a="1"/>
  <c r="D227" a="1"/>
  <c r="D289" a="1"/>
  <c r="D335" a="1"/>
  <c r="D325" a="1"/>
  <c r="D321" a="1"/>
  <c r="D328" a="1"/>
  <c r="D332" a="1"/>
  <c r="D336" a="1"/>
  <c r="D340" a="1"/>
  <c r="D329" a="1"/>
  <c r="D333" a="1"/>
  <c r="D337" a="1"/>
  <c r="D341" a="1"/>
  <c r="D322" a="1"/>
  <c r="D302" a="1"/>
  <c r="D306" a="1"/>
  <c r="D298" a="1"/>
  <c r="D294" a="1"/>
  <c r="D290" a="1"/>
  <c r="D300" a="1"/>
  <c r="D261" a="1"/>
  <c r="D257" a="1"/>
  <c r="D223" a="1"/>
  <c r="D264" a="1"/>
  <c r="D268" a="1"/>
  <c r="D272" a="1"/>
  <c r="D276" a="1"/>
  <c r="D265" a="1"/>
  <c r="D269" a="1"/>
  <c r="D273" a="1"/>
  <c r="D277" a="1"/>
  <c r="D256" a="1"/>
  <c r="D244" a="1"/>
  <c r="D240" a="1"/>
  <c r="D236" a="1"/>
  <c r="D232" a="1"/>
  <c r="D228" a="1"/>
  <c r="D224" a="1"/>
  <c r="E214" a="1"/>
  <c r="E214" s="1"/>
  <c r="D214" a="1"/>
  <c r="D214" s="1"/>
  <c r="D260" a="1"/>
  <c r="Y212"/>
  <c r="W212"/>
  <c r="U212"/>
  <c r="S212"/>
  <c r="Q212"/>
  <c r="O212"/>
  <c r="M212"/>
  <c r="K212"/>
  <c r="I212"/>
  <c r="G212"/>
  <c r="Z212"/>
  <c r="X212"/>
  <c r="V212"/>
  <c r="T212"/>
  <c r="R212"/>
  <c r="P212"/>
  <c r="N212"/>
  <c r="L212"/>
  <c r="J212"/>
  <c r="H212"/>
  <c r="F212"/>
  <c r="Y210"/>
  <c r="W210"/>
  <c r="U210"/>
  <c r="S210"/>
  <c r="Q210"/>
  <c r="O210"/>
  <c r="M210"/>
  <c r="K210"/>
  <c r="I210"/>
  <c r="G210"/>
  <c r="Z210"/>
  <c r="X210"/>
  <c r="V210"/>
  <c r="T210"/>
  <c r="R210"/>
  <c r="P210"/>
  <c r="N210"/>
  <c r="L210"/>
  <c r="J210"/>
  <c r="H210"/>
  <c r="F210"/>
  <c r="Y208"/>
  <c r="W208"/>
  <c r="U208"/>
  <c r="S208"/>
  <c r="Q208"/>
  <c r="O208"/>
  <c r="M208"/>
  <c r="K208"/>
  <c r="I208"/>
  <c r="G208"/>
  <c r="Z208"/>
  <c r="X208"/>
  <c r="V208"/>
  <c r="T208"/>
  <c r="R208"/>
  <c r="P208"/>
  <c r="N208"/>
  <c r="L208"/>
  <c r="J208"/>
  <c r="H208"/>
  <c r="F208"/>
  <c r="Y206"/>
  <c r="W206"/>
  <c r="U206"/>
  <c r="S206"/>
  <c r="Q206"/>
  <c r="O206"/>
  <c r="M206"/>
  <c r="K206"/>
  <c r="I206"/>
  <c r="G206"/>
  <c r="Z206"/>
  <c r="X206"/>
  <c r="V206"/>
  <c r="T206"/>
  <c r="R206"/>
  <c r="P206"/>
  <c r="N206"/>
  <c r="L206"/>
  <c r="J206"/>
  <c r="H206"/>
  <c r="F206"/>
  <c r="Y204"/>
  <c r="W204"/>
  <c r="U204"/>
  <c r="S204"/>
  <c r="Q204"/>
  <c r="O204"/>
  <c r="M204"/>
  <c r="K204"/>
  <c r="I204"/>
  <c r="G204"/>
  <c r="Z204"/>
  <c r="X204"/>
  <c r="V204"/>
  <c r="T204"/>
  <c r="R204"/>
  <c r="P204"/>
  <c r="N204"/>
  <c r="L204"/>
  <c r="J204"/>
  <c r="H204"/>
  <c r="F204"/>
  <c r="Y202"/>
  <c r="W202"/>
  <c r="U202"/>
  <c r="S202"/>
  <c r="Q202"/>
  <c r="O202"/>
  <c r="M202"/>
  <c r="K202"/>
  <c r="I202"/>
  <c r="G202"/>
  <c r="Z202"/>
  <c r="X202"/>
  <c r="V202"/>
  <c r="T202"/>
  <c r="R202"/>
  <c r="P202"/>
  <c r="N202"/>
  <c r="L202"/>
  <c r="J202"/>
  <c r="H202"/>
  <c r="F202"/>
  <c r="Y200"/>
  <c r="W200"/>
  <c r="U200"/>
  <c r="S200"/>
  <c r="Q200"/>
  <c r="O200"/>
  <c r="M200"/>
  <c r="K200"/>
  <c r="I200"/>
  <c r="G200"/>
  <c r="Z200"/>
  <c r="X200"/>
  <c r="V200"/>
  <c r="T200"/>
  <c r="R200"/>
  <c r="P200"/>
  <c r="N200"/>
  <c r="L200"/>
  <c r="J200"/>
  <c r="H200"/>
  <c r="F200"/>
  <c r="Y198"/>
  <c r="W198"/>
  <c r="U198"/>
  <c r="S198"/>
  <c r="Q198"/>
  <c r="O198"/>
  <c r="M198"/>
  <c r="K198"/>
  <c r="I198"/>
  <c r="G198"/>
  <c r="Z198"/>
  <c r="X198"/>
  <c r="V198"/>
  <c r="T198"/>
  <c r="R198"/>
  <c r="P198"/>
  <c r="N198"/>
  <c r="L198"/>
  <c r="J198"/>
  <c r="H198"/>
  <c r="F198"/>
  <c r="Y196"/>
  <c r="W196"/>
  <c r="U196"/>
  <c r="S196"/>
  <c r="Q196"/>
  <c r="O196"/>
  <c r="M196"/>
  <c r="K196"/>
  <c r="I196"/>
  <c r="G196"/>
  <c r="Z196"/>
  <c r="X196"/>
  <c r="V196"/>
  <c r="T196"/>
  <c r="R196"/>
  <c r="P196"/>
  <c r="N196"/>
  <c r="L196"/>
  <c r="J196"/>
  <c r="H196"/>
  <c r="F196"/>
  <c r="Y194"/>
  <c r="W194"/>
  <c r="U194"/>
  <c r="S194"/>
  <c r="Q194"/>
  <c r="O194"/>
  <c r="M194"/>
  <c r="K194"/>
  <c r="I194"/>
  <c r="G194"/>
  <c r="Z194"/>
  <c r="X194"/>
  <c r="V194"/>
  <c r="T194"/>
  <c r="R194"/>
  <c r="P194"/>
  <c r="N194"/>
  <c r="L194"/>
  <c r="J194"/>
  <c r="H194"/>
  <c r="F194"/>
  <c r="Y192"/>
  <c r="W192"/>
  <c r="U192"/>
  <c r="S192"/>
  <c r="Q192"/>
  <c r="O192"/>
  <c r="M192"/>
  <c r="K192"/>
  <c r="I192"/>
  <c r="G192"/>
  <c r="Z192"/>
  <c r="X192"/>
  <c r="V192"/>
  <c r="T192"/>
  <c r="R192"/>
  <c r="P192"/>
  <c r="N192"/>
  <c r="L192"/>
  <c r="J192"/>
  <c r="H192"/>
  <c r="F192"/>
  <c r="Z207"/>
  <c r="X207"/>
  <c r="V207"/>
  <c r="T207"/>
  <c r="R207"/>
  <c r="P207"/>
  <c r="N207"/>
  <c r="L207"/>
  <c r="J207"/>
  <c r="H207"/>
  <c r="F207"/>
  <c r="Y207"/>
  <c r="W207"/>
  <c r="U207"/>
  <c r="S207"/>
  <c r="Q207"/>
  <c r="O207"/>
  <c r="M207"/>
  <c r="K207"/>
  <c r="I207"/>
  <c r="G207"/>
  <c r="Z199"/>
  <c r="X199"/>
  <c r="V199"/>
  <c r="T199"/>
  <c r="R199"/>
  <c r="P199"/>
  <c r="N199"/>
  <c r="L199"/>
  <c r="J199"/>
  <c r="H199"/>
  <c r="F199"/>
  <c r="Y199"/>
  <c r="W199"/>
  <c r="U199"/>
  <c r="S199"/>
  <c r="Q199"/>
  <c r="O199"/>
  <c r="M199"/>
  <c r="K199"/>
  <c r="I199"/>
  <c r="G199"/>
  <c r="Z213"/>
  <c r="X213"/>
  <c r="V213"/>
  <c r="T213"/>
  <c r="R213"/>
  <c r="P213"/>
  <c r="N213"/>
  <c r="L213"/>
  <c r="J213"/>
  <c r="H213"/>
  <c r="F213"/>
  <c r="W213"/>
  <c r="S213"/>
  <c r="O213"/>
  <c r="K213"/>
  <c r="G213"/>
  <c r="Y213"/>
  <c r="U213"/>
  <c r="Q213"/>
  <c r="M213"/>
  <c r="I213"/>
  <c r="Z205"/>
  <c r="X205"/>
  <c r="V205"/>
  <c r="T205"/>
  <c r="R205"/>
  <c r="P205"/>
  <c r="N205"/>
  <c r="L205"/>
  <c r="J205"/>
  <c r="H205"/>
  <c r="F205"/>
  <c r="Y205"/>
  <c r="W205"/>
  <c r="U205"/>
  <c r="S205"/>
  <c r="Q205"/>
  <c r="O205"/>
  <c r="M205"/>
  <c r="K205"/>
  <c r="I205"/>
  <c r="G205"/>
  <c r="Z197"/>
  <c r="X197"/>
  <c r="V197"/>
  <c r="T197"/>
  <c r="R197"/>
  <c r="P197"/>
  <c r="N197"/>
  <c r="L197"/>
  <c r="J197"/>
  <c r="H197"/>
  <c r="F197"/>
  <c r="Y197"/>
  <c r="W197"/>
  <c r="U197"/>
  <c r="S197"/>
  <c r="Q197"/>
  <c r="O197"/>
  <c r="M197"/>
  <c r="K197"/>
  <c r="I197"/>
  <c r="G197"/>
  <c r="B248"/>
  <c r="B312"/>
  <c r="C216"/>
  <c r="D327" a="1"/>
  <c r="D323" a="1"/>
  <c r="D319" a="1"/>
  <c r="D330" a="1"/>
  <c r="D334" a="1"/>
  <c r="D338" a="1"/>
  <c r="D342" a="1"/>
  <c r="D331" a="1"/>
  <c r="D339" a="1"/>
  <c r="D324" a="1"/>
  <c r="D320" a="1"/>
  <c r="D299" a="1"/>
  <c r="D295" a="1"/>
  <c r="D291" a="1"/>
  <c r="D287" a="1"/>
  <c r="D304" a="1"/>
  <c r="D308" a="1"/>
  <c r="D303" a="1"/>
  <c r="D307" a="1"/>
  <c r="D326" a="1"/>
  <c r="D296" a="1"/>
  <c r="D292" a="1"/>
  <c r="D288" a="1"/>
  <c r="D263" a="1"/>
  <c r="D259" a="1"/>
  <c r="D255" a="1"/>
  <c r="D241" a="1"/>
  <c r="D237" a="1"/>
  <c r="D233" a="1"/>
  <c r="D229" a="1"/>
  <c r="D225" a="1"/>
  <c r="D262" a="1"/>
  <c r="D266" a="1"/>
  <c r="D270" a="1"/>
  <c r="D274" a="1"/>
  <c r="D278" a="1"/>
  <c r="D267" a="1"/>
  <c r="D271" a="1"/>
  <c r="D275" a="1"/>
  <c r="D258" a="1"/>
  <c r="D246" a="1"/>
  <c r="D242" a="1"/>
  <c r="D238" a="1"/>
  <c r="D234" a="1"/>
  <c r="D230" a="1"/>
  <c r="D226" a="1"/>
  <c r="D245" a="1"/>
  <c r="Z211"/>
  <c r="X211"/>
  <c r="V211"/>
  <c r="T211"/>
  <c r="R211"/>
  <c r="P211"/>
  <c r="N211"/>
  <c r="L211"/>
  <c r="J211"/>
  <c r="H211"/>
  <c r="F211"/>
  <c r="Y211"/>
  <c r="W211"/>
  <c r="U211"/>
  <c r="S211"/>
  <c r="Q211"/>
  <c r="O211"/>
  <c r="M211"/>
  <c r="K211"/>
  <c r="I211"/>
  <c r="G211"/>
  <c r="Z203"/>
  <c r="X203"/>
  <c r="V203"/>
  <c r="T203"/>
  <c r="R203"/>
  <c r="P203"/>
  <c r="N203"/>
  <c r="L203"/>
  <c r="J203"/>
  <c r="H203"/>
  <c r="F203"/>
  <c r="Y203"/>
  <c r="W203"/>
  <c r="U203"/>
  <c r="S203"/>
  <c r="Q203"/>
  <c r="O203"/>
  <c r="M203"/>
  <c r="K203"/>
  <c r="I203"/>
  <c r="G203"/>
  <c r="Z195"/>
  <c r="X195"/>
  <c r="V195"/>
  <c r="T195"/>
  <c r="R195"/>
  <c r="P195"/>
  <c r="N195"/>
  <c r="L195"/>
  <c r="J195"/>
  <c r="H195"/>
  <c r="F195"/>
  <c r="Y195"/>
  <c r="W195"/>
  <c r="U195"/>
  <c r="S195"/>
  <c r="Q195"/>
  <c r="O195"/>
  <c r="M195"/>
  <c r="K195"/>
  <c r="I195"/>
  <c r="G195"/>
  <c r="Z191"/>
  <c r="X191"/>
  <c r="V191"/>
  <c r="R191"/>
  <c r="N191"/>
  <c r="H191"/>
  <c r="Y191"/>
  <c r="W191"/>
  <c r="U191"/>
  <c r="S191"/>
  <c r="Q191"/>
  <c r="O191"/>
  <c r="M191"/>
  <c r="K191"/>
  <c r="I191"/>
  <c r="G191"/>
  <c r="T191"/>
  <c r="P191"/>
  <c r="L191"/>
  <c r="J191"/>
  <c r="F191"/>
  <c r="Z209"/>
  <c r="X209"/>
  <c r="V209"/>
  <c r="T209"/>
  <c r="R209"/>
  <c r="P209"/>
  <c r="N209"/>
  <c r="L209"/>
  <c r="J209"/>
  <c r="H209"/>
  <c r="F209"/>
  <c r="Y209"/>
  <c r="W209"/>
  <c r="U209"/>
  <c r="S209"/>
  <c r="Q209"/>
  <c r="O209"/>
  <c r="M209"/>
  <c r="K209"/>
  <c r="I209"/>
  <c r="G209"/>
  <c r="Z201"/>
  <c r="X201"/>
  <c r="V201"/>
  <c r="T201"/>
  <c r="R201"/>
  <c r="P201"/>
  <c r="N201"/>
  <c r="L201"/>
  <c r="J201"/>
  <c r="H201"/>
  <c r="F201"/>
  <c r="Y201"/>
  <c r="W201"/>
  <c r="U201"/>
  <c r="S201"/>
  <c r="Q201"/>
  <c r="O201"/>
  <c r="M201"/>
  <c r="K201"/>
  <c r="I201"/>
  <c r="G201"/>
  <c r="Z193"/>
  <c r="X193"/>
  <c r="V193"/>
  <c r="T193"/>
  <c r="R193"/>
  <c r="P193"/>
  <c r="N193"/>
  <c r="L193"/>
  <c r="J193"/>
  <c r="H193"/>
  <c r="F193"/>
  <c r="Y193"/>
  <c r="W193"/>
  <c r="U193"/>
  <c r="S193"/>
  <c r="Q193"/>
  <c r="O193"/>
  <c r="M193"/>
  <c r="K193"/>
  <c r="I193"/>
  <c r="G193"/>
  <c r="D21" i="6"/>
  <c r="C20"/>
  <c r="C12" s="1"/>
  <c r="B191" i="1"/>
  <c r="C191" s="1"/>
  <c r="B192"/>
  <c r="C192" s="1"/>
  <c r="B193"/>
  <c r="C193" s="1"/>
  <c r="B194"/>
  <c r="C194" s="1"/>
  <c r="B195"/>
  <c r="C195" s="1"/>
  <c r="B196"/>
  <c r="C196" s="1"/>
  <c r="B197"/>
  <c r="C197" s="1"/>
  <c r="B198"/>
  <c r="C198" s="1"/>
  <c r="B199"/>
  <c r="C199" s="1"/>
  <c r="B200"/>
  <c r="C200" s="1"/>
  <c r="B201"/>
  <c r="C201" s="1"/>
  <c r="B202"/>
  <c r="C202" s="1"/>
  <c r="B203"/>
  <c r="C203" s="1"/>
  <c r="B204"/>
  <c r="C204" s="1"/>
  <c r="B205"/>
  <c r="C205" s="1"/>
  <c r="B206"/>
  <c r="C206" s="1"/>
  <c r="B207"/>
  <c r="C207" s="1"/>
  <c r="B208"/>
  <c r="C208" s="1"/>
  <c r="B209"/>
  <c r="C209" s="1"/>
  <c r="B210"/>
  <c r="C210" s="1"/>
  <c r="B211"/>
  <c r="C211" s="1"/>
  <c r="B212"/>
  <c r="C212" s="1"/>
  <c r="B213"/>
  <c r="C213" s="1"/>
  <c r="B214"/>
  <c r="C214" s="1"/>
  <c r="D207" a="1"/>
  <c r="D206" a="1"/>
  <c r="D205" a="1"/>
  <c r="D204" a="1"/>
  <c r="D203" a="1"/>
  <c r="D202" a="1"/>
  <c r="D201" a="1"/>
  <c r="D200" a="1"/>
  <c r="D199" a="1"/>
  <c r="B28" i="4"/>
  <c r="B28" i="1"/>
  <c r="B101" i="4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C31" a="1"/>
  <c r="F31" s="1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B42" i="1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344" s="1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31" a="1"/>
  <c r="C31" s="1"/>
  <c r="AD201" i="4" l="1"/>
  <c r="AA201"/>
  <c r="AB201" s="1"/>
  <c r="AC201" s="1"/>
  <c r="AD191"/>
  <c r="AA191"/>
  <c r="AB191" s="1"/>
  <c r="AD203"/>
  <c r="AA203"/>
  <c r="AB203" s="1"/>
  <c r="AC203" s="1"/>
  <c r="AD193"/>
  <c r="AA193"/>
  <c r="AB193" s="1"/>
  <c r="AC193" s="1"/>
  <c r="AD209"/>
  <c r="AA209"/>
  <c r="AB209" s="1"/>
  <c r="AC209" s="1"/>
  <c r="AD195"/>
  <c r="AA195"/>
  <c r="AB195" s="1"/>
  <c r="AC195" s="1"/>
  <c r="AD211"/>
  <c r="AA211"/>
  <c r="AB211" s="1"/>
  <c r="AC211" s="1"/>
  <c r="AD197"/>
  <c r="AA197"/>
  <c r="AB197" s="1"/>
  <c r="AC197" s="1"/>
  <c r="AD213"/>
  <c r="AA213"/>
  <c r="AB213" s="1"/>
  <c r="AC213" s="1"/>
  <c r="AD207"/>
  <c r="AA207"/>
  <c r="AB207" s="1"/>
  <c r="AC207" s="1"/>
  <c r="AA194"/>
  <c r="AB194" s="1"/>
  <c r="AC194" s="1"/>
  <c r="AD194"/>
  <c r="AA198"/>
  <c r="AB198" s="1"/>
  <c r="AC198" s="1"/>
  <c r="AD198"/>
  <c r="AA202"/>
  <c r="AB202" s="1"/>
  <c r="AC202" s="1"/>
  <c r="AD202"/>
  <c r="AA206"/>
  <c r="AB206" s="1"/>
  <c r="AC206" s="1"/>
  <c r="AD206"/>
  <c r="AA210"/>
  <c r="AB210" s="1"/>
  <c r="AC210" s="1"/>
  <c r="AD210"/>
  <c r="AD205"/>
  <c r="AA205"/>
  <c r="AB205" s="1"/>
  <c r="AC205" s="1"/>
  <c r="AD199"/>
  <c r="AA199"/>
  <c r="AB199" s="1"/>
  <c r="AC199" s="1"/>
  <c r="AA192"/>
  <c r="AB192" s="1"/>
  <c r="AC192" s="1"/>
  <c r="AD192"/>
  <c r="AA196"/>
  <c r="AB196" s="1"/>
  <c r="AC196" s="1"/>
  <c r="AD196"/>
  <c r="AA200"/>
  <c r="AB200" s="1"/>
  <c r="AC200" s="1"/>
  <c r="AD200"/>
  <c r="AA204"/>
  <c r="AB204" s="1"/>
  <c r="AC204" s="1"/>
  <c r="AD204"/>
  <c r="AA208"/>
  <c r="AB208" s="1"/>
  <c r="AC208" s="1"/>
  <c r="AD208"/>
  <c r="AA212"/>
  <c r="AB212" s="1"/>
  <c r="AC212" s="1"/>
  <c r="AD212"/>
  <c r="Z214"/>
  <c r="X214"/>
  <c r="V214"/>
  <c r="T214"/>
  <c r="R214"/>
  <c r="P214"/>
  <c r="N214"/>
  <c r="L214"/>
  <c r="Y214"/>
  <c r="W214"/>
  <c r="U214"/>
  <c r="S214"/>
  <c r="Q214"/>
  <c r="O214"/>
  <c r="M214"/>
  <c r="K214"/>
  <c r="I214"/>
  <c r="G214"/>
  <c r="H214"/>
  <c r="J214"/>
  <c r="F214"/>
  <c r="E21" i="6"/>
  <c r="D20"/>
  <c r="D12" s="1"/>
  <c r="C11"/>
  <c r="B220" i="1" s="1"/>
  <c r="B280"/>
  <c r="B312"/>
  <c r="B216"/>
  <c r="D200"/>
  <c r="D202"/>
  <c r="D204"/>
  <c r="D206"/>
  <c r="F206" s="1"/>
  <c r="D199"/>
  <c r="D203"/>
  <c r="D207"/>
  <c r="D201"/>
  <c r="F201" s="1"/>
  <c r="D205"/>
  <c r="E192" a="1"/>
  <c r="E192" s="1"/>
  <c r="D192" a="1"/>
  <c r="D192" s="1"/>
  <c r="E194" a="1"/>
  <c r="E194" s="1"/>
  <c r="D194" a="1"/>
  <c r="D194" s="1"/>
  <c r="D196" a="1"/>
  <c r="D196" s="1"/>
  <c r="E196" a="1"/>
  <c r="E196" s="1"/>
  <c r="F202"/>
  <c r="E193" a="1"/>
  <c r="E193" s="1"/>
  <c r="D193" a="1"/>
  <c r="D193" s="1"/>
  <c r="D195" a="1"/>
  <c r="D195" s="1"/>
  <c r="E195" a="1"/>
  <c r="E195" s="1"/>
  <c r="D197" a="1"/>
  <c r="D197" s="1"/>
  <c r="E197" a="1"/>
  <c r="E197" s="1"/>
  <c r="F200"/>
  <c r="F204"/>
  <c r="E209" a="1"/>
  <c r="E209" s="1"/>
  <c r="D209" a="1"/>
  <c r="D209" s="1"/>
  <c r="E211" a="1"/>
  <c r="E211" s="1"/>
  <c r="D211" a="1"/>
  <c r="D211" s="1"/>
  <c r="E213" a="1"/>
  <c r="E213" s="1"/>
  <c r="D213" a="1"/>
  <c r="D213" s="1"/>
  <c r="E198" a="1"/>
  <c r="E198" s="1"/>
  <c r="D198" a="1"/>
  <c r="D198" s="1"/>
  <c r="E199" a="1"/>
  <c r="E199" s="1"/>
  <c r="E201" a="1"/>
  <c r="E201" s="1"/>
  <c r="E203" a="1"/>
  <c r="E203" s="1"/>
  <c r="E205" a="1"/>
  <c r="E205" s="1"/>
  <c r="E207" a="1"/>
  <c r="E207" s="1"/>
  <c r="E208" a="1"/>
  <c r="E208" s="1"/>
  <c r="D208" a="1"/>
  <c r="D208" s="1"/>
  <c r="E210" a="1"/>
  <c r="E210" s="1"/>
  <c r="D210" a="1"/>
  <c r="D210" s="1"/>
  <c r="E212" a="1"/>
  <c r="E212" s="1"/>
  <c r="D212" a="1"/>
  <c r="D212" s="1"/>
  <c r="F199"/>
  <c r="E200" a="1"/>
  <c r="E200" s="1"/>
  <c r="E202" a="1"/>
  <c r="E202" s="1"/>
  <c r="F203"/>
  <c r="E204" a="1"/>
  <c r="E204" s="1"/>
  <c r="F205"/>
  <c r="E206" a="1"/>
  <c r="E206" s="1"/>
  <c r="F207"/>
  <c r="D214" a="1"/>
  <c r="D214" s="1"/>
  <c r="E214" a="1"/>
  <c r="E214" s="1"/>
  <c r="C36" i="4" a="1"/>
  <c r="C36" s="1"/>
  <c r="C31"/>
  <c r="E31"/>
  <c r="D31"/>
  <c r="C36" i="1" a="1"/>
  <c r="C36" s="1"/>
  <c r="F31"/>
  <c r="D31"/>
  <c r="E31"/>
  <c r="AD214" i="4" l="1"/>
  <c r="AA214"/>
  <c r="AB214" s="1"/>
  <c r="AC214" s="1"/>
  <c r="AC191"/>
  <c r="F21" i="6"/>
  <c r="F20" s="1"/>
  <c r="F12" s="1"/>
  <c r="B316" i="4" s="1"/>
  <c r="E20" i="6"/>
  <c r="E12" s="1"/>
  <c r="B284" i="4" s="1"/>
  <c r="D11" i="6"/>
  <c r="B252" i="1" s="1"/>
  <c r="D36" i="4"/>
  <c r="F212" i="1"/>
  <c r="F208"/>
  <c r="F198"/>
  <c r="F213"/>
  <c r="F209"/>
  <c r="F195"/>
  <c r="F196"/>
  <c r="F192"/>
  <c r="F214"/>
  <c r="F210"/>
  <c r="C216"/>
  <c r="D191" a="1"/>
  <c r="D191" s="1"/>
  <c r="E191" a="1"/>
  <c r="E191" s="1"/>
  <c r="F211"/>
  <c r="F197"/>
  <c r="F193"/>
  <c r="F194"/>
  <c r="C101" i="4"/>
  <c r="C99"/>
  <c r="C97"/>
  <c r="C95"/>
  <c r="C93"/>
  <c r="C91"/>
  <c r="C89"/>
  <c r="C87"/>
  <c r="C85"/>
  <c r="C100"/>
  <c r="C98"/>
  <c r="C96"/>
  <c r="C94"/>
  <c r="C92"/>
  <c r="C90"/>
  <c r="C88"/>
  <c r="C86"/>
  <c r="C84"/>
  <c r="C83"/>
  <c r="C81"/>
  <c r="C79"/>
  <c r="C77"/>
  <c r="C75"/>
  <c r="C73"/>
  <c r="C71"/>
  <c r="C69"/>
  <c r="C67"/>
  <c r="C65"/>
  <c r="C63"/>
  <c r="C61"/>
  <c r="C59"/>
  <c r="C57"/>
  <c r="C55"/>
  <c r="C53"/>
  <c r="C51"/>
  <c r="C49"/>
  <c r="C47"/>
  <c r="C45"/>
  <c r="C43"/>
  <c r="C82"/>
  <c r="C80"/>
  <c r="C78"/>
  <c r="C76"/>
  <c r="C74"/>
  <c r="C72"/>
  <c r="C70"/>
  <c r="C68"/>
  <c r="C66"/>
  <c r="C64"/>
  <c r="C62"/>
  <c r="C60"/>
  <c r="C58"/>
  <c r="C56"/>
  <c r="C54"/>
  <c r="C52"/>
  <c r="C50"/>
  <c r="C48"/>
  <c r="C46"/>
  <c r="C44"/>
  <c r="C42"/>
  <c r="E101"/>
  <c r="E99"/>
  <c r="E97"/>
  <c r="E95"/>
  <c r="E93"/>
  <c r="E91"/>
  <c r="E89"/>
  <c r="E87"/>
  <c r="E85"/>
  <c r="E100"/>
  <c r="E98"/>
  <c r="E96"/>
  <c r="E94"/>
  <c r="E92"/>
  <c r="E90"/>
  <c r="E88"/>
  <c r="E86"/>
  <c r="E84"/>
  <c r="E83"/>
  <c r="E81"/>
  <c r="E79"/>
  <c r="E77"/>
  <c r="E75"/>
  <c r="E73"/>
  <c r="E71"/>
  <c r="E69"/>
  <c r="E67"/>
  <c r="E65"/>
  <c r="E63"/>
  <c r="E61"/>
  <c r="E59"/>
  <c r="E57"/>
  <c r="E55"/>
  <c r="E53"/>
  <c r="E51"/>
  <c r="E49"/>
  <c r="E47"/>
  <c r="E45"/>
  <c r="E43"/>
  <c r="E82"/>
  <c r="E80"/>
  <c r="E78"/>
  <c r="E76"/>
  <c r="E74"/>
  <c r="E72"/>
  <c r="E70"/>
  <c r="E68"/>
  <c r="E66"/>
  <c r="E64"/>
  <c r="E62"/>
  <c r="E60"/>
  <c r="E58"/>
  <c r="E56"/>
  <c r="E54"/>
  <c r="E52"/>
  <c r="E50"/>
  <c r="E48"/>
  <c r="E46"/>
  <c r="E44"/>
  <c r="E42"/>
  <c r="D36" i="1"/>
  <c r="E98" s="1"/>
  <c r="C47"/>
  <c r="C51"/>
  <c r="C55"/>
  <c r="C59"/>
  <c r="C63"/>
  <c r="C67"/>
  <c r="C71"/>
  <c r="C75"/>
  <c r="C79"/>
  <c r="C83"/>
  <c r="C87"/>
  <c r="C91"/>
  <c r="C95"/>
  <c r="C99"/>
  <c r="C44"/>
  <c r="C48"/>
  <c r="C56"/>
  <c r="C64"/>
  <c r="C72"/>
  <c r="C76"/>
  <c r="C84"/>
  <c r="C88"/>
  <c r="C92"/>
  <c r="C96"/>
  <c r="C100"/>
  <c r="C45"/>
  <c r="C49"/>
  <c r="C53"/>
  <c r="C57"/>
  <c r="C61"/>
  <c r="C65"/>
  <c r="C69"/>
  <c r="C73"/>
  <c r="C77"/>
  <c r="C81"/>
  <c r="C85"/>
  <c r="C89"/>
  <c r="C93"/>
  <c r="C97"/>
  <c r="C101"/>
  <c r="C42"/>
  <c r="C46"/>
  <c r="C50"/>
  <c r="C54"/>
  <c r="C58"/>
  <c r="C62"/>
  <c r="C66"/>
  <c r="C70"/>
  <c r="C74"/>
  <c r="C78"/>
  <c r="C82"/>
  <c r="C86"/>
  <c r="C90"/>
  <c r="C94"/>
  <c r="C98"/>
  <c r="C43"/>
  <c r="C52"/>
  <c r="C60"/>
  <c r="C68"/>
  <c r="C80"/>
  <c r="AC216" i="4" l="1"/>
  <c r="B217" s="1"/>
  <c r="B26" i="6" s="1"/>
  <c r="AB216" i="4"/>
  <c r="C300"/>
  <c r="C290"/>
  <c r="C294"/>
  <c r="C298"/>
  <c r="C307"/>
  <c r="C308"/>
  <c r="C304"/>
  <c r="C287"/>
  <c r="C295"/>
  <c r="C288"/>
  <c r="C292"/>
  <c r="C296"/>
  <c r="C303"/>
  <c r="C306"/>
  <c r="C302"/>
  <c r="C291"/>
  <c r="C299"/>
  <c r="C310"/>
  <c r="C305"/>
  <c r="C297"/>
  <c r="C289"/>
  <c r="C309"/>
  <c r="C301"/>
  <c r="C293"/>
  <c r="G21" i="6"/>
  <c r="C256" i="1"/>
  <c r="C277"/>
  <c r="C273"/>
  <c r="C269"/>
  <c r="C265"/>
  <c r="C261"/>
  <c r="C257"/>
  <c r="C278"/>
  <c r="C272"/>
  <c r="C268"/>
  <c r="C264"/>
  <c r="C260"/>
  <c r="C274"/>
  <c r="D13" i="6" s="1"/>
  <c r="E15" s="1"/>
  <c r="C275" i="1"/>
  <c r="C271"/>
  <c r="C267"/>
  <c r="C263"/>
  <c r="C259"/>
  <c r="C255"/>
  <c r="C276"/>
  <c r="C270"/>
  <c r="C266"/>
  <c r="C262"/>
  <c r="C258"/>
  <c r="C320" i="4"/>
  <c r="C324"/>
  <c r="C339"/>
  <c r="C335"/>
  <c r="C331"/>
  <c r="C342"/>
  <c r="C338"/>
  <c r="C334"/>
  <c r="C330"/>
  <c r="C319"/>
  <c r="C323"/>
  <c r="C327"/>
  <c r="C326"/>
  <c r="C322"/>
  <c r="C341"/>
  <c r="C337"/>
  <c r="C333"/>
  <c r="C329"/>
  <c r="C340"/>
  <c r="C336"/>
  <c r="C332"/>
  <c r="C328"/>
  <c r="C321"/>
  <c r="C325"/>
  <c r="F11" i="6"/>
  <c r="B316" i="1" s="1"/>
  <c r="E11" i="6"/>
  <c r="B284" i="1" s="1"/>
  <c r="E78"/>
  <c r="E46"/>
  <c r="E75"/>
  <c r="E43"/>
  <c r="E72"/>
  <c r="E101"/>
  <c r="E69"/>
  <c r="E94"/>
  <c r="E62"/>
  <c r="E91"/>
  <c r="E59"/>
  <c r="E88"/>
  <c r="E56"/>
  <c r="E85"/>
  <c r="E53"/>
  <c r="E86"/>
  <c r="E70"/>
  <c r="E54"/>
  <c r="E99"/>
  <c r="E83"/>
  <c r="E67"/>
  <c r="E51"/>
  <c r="E96"/>
  <c r="E80"/>
  <c r="E64"/>
  <c r="E48"/>
  <c r="E93"/>
  <c r="E77"/>
  <c r="E61"/>
  <c r="E45"/>
  <c r="F191"/>
  <c r="Y44" i="4"/>
  <c r="W44"/>
  <c r="U44"/>
  <c r="S44"/>
  <c r="Q44"/>
  <c r="O44"/>
  <c r="M44"/>
  <c r="K44"/>
  <c r="I44"/>
  <c r="G44"/>
  <c r="D44"/>
  <c r="Z44"/>
  <c r="U108" s="1"/>
  <c r="X44"/>
  <c r="S108" s="1"/>
  <c r="V44"/>
  <c r="Q108" s="1"/>
  <c r="T44"/>
  <c r="O108" s="1"/>
  <c r="R44"/>
  <c r="M108" s="1"/>
  <c r="P44"/>
  <c r="K108" s="1"/>
  <c r="N44"/>
  <c r="I108" s="1"/>
  <c r="L44"/>
  <c r="G108" s="1"/>
  <c r="J44"/>
  <c r="E108" s="1"/>
  <c r="H44"/>
  <c r="C108" s="1"/>
  <c r="Y48"/>
  <c r="W48"/>
  <c r="U48"/>
  <c r="S48"/>
  <c r="Q48"/>
  <c r="O48"/>
  <c r="M48"/>
  <c r="K48"/>
  <c r="I48"/>
  <c r="G48"/>
  <c r="D48"/>
  <c r="Z48"/>
  <c r="U112" s="1"/>
  <c r="X48"/>
  <c r="S112" s="1"/>
  <c r="V48"/>
  <c r="Q112" s="1"/>
  <c r="T48"/>
  <c r="O112" s="1"/>
  <c r="R48"/>
  <c r="M112" s="1"/>
  <c r="P48"/>
  <c r="K112" s="1"/>
  <c r="N48"/>
  <c r="I112" s="1"/>
  <c r="L48"/>
  <c r="G112" s="1"/>
  <c r="J48"/>
  <c r="E112" s="1"/>
  <c r="H48"/>
  <c r="C112" s="1"/>
  <c r="Y52"/>
  <c r="W52"/>
  <c r="U52"/>
  <c r="S52"/>
  <c r="Q52"/>
  <c r="O52"/>
  <c r="M52"/>
  <c r="K52"/>
  <c r="I52"/>
  <c r="G52"/>
  <c r="D52"/>
  <c r="Z52"/>
  <c r="U116" s="1"/>
  <c r="X52"/>
  <c r="S116" s="1"/>
  <c r="V52"/>
  <c r="Q116" s="1"/>
  <c r="T52"/>
  <c r="O116" s="1"/>
  <c r="R52"/>
  <c r="M116" s="1"/>
  <c r="P52"/>
  <c r="K116" s="1"/>
  <c r="N52"/>
  <c r="I116" s="1"/>
  <c r="L52"/>
  <c r="G116" s="1"/>
  <c r="J52"/>
  <c r="E116" s="1"/>
  <c r="H52"/>
  <c r="C116" s="1"/>
  <c r="Y56"/>
  <c r="W56"/>
  <c r="U56"/>
  <c r="S56"/>
  <c r="Q56"/>
  <c r="O56"/>
  <c r="M56"/>
  <c r="K56"/>
  <c r="I56"/>
  <c r="G56"/>
  <c r="D56"/>
  <c r="Z56"/>
  <c r="U120" s="1"/>
  <c r="X56"/>
  <c r="S120" s="1"/>
  <c r="V56"/>
  <c r="Q120" s="1"/>
  <c r="T56"/>
  <c r="O120" s="1"/>
  <c r="R56"/>
  <c r="M120" s="1"/>
  <c r="P56"/>
  <c r="K120" s="1"/>
  <c r="N56"/>
  <c r="I120" s="1"/>
  <c r="L56"/>
  <c r="G120" s="1"/>
  <c r="J56"/>
  <c r="E120" s="1"/>
  <c r="H56"/>
  <c r="C120" s="1"/>
  <c r="Y60"/>
  <c r="W60"/>
  <c r="U60"/>
  <c r="S60"/>
  <c r="Q60"/>
  <c r="O60"/>
  <c r="M60"/>
  <c r="K60"/>
  <c r="I60"/>
  <c r="G60"/>
  <c r="D60"/>
  <c r="Z60"/>
  <c r="U124" s="1"/>
  <c r="X60"/>
  <c r="S124" s="1"/>
  <c r="V60"/>
  <c r="Q124" s="1"/>
  <c r="T60"/>
  <c r="O124" s="1"/>
  <c r="R60"/>
  <c r="M124" s="1"/>
  <c r="P60"/>
  <c r="K124" s="1"/>
  <c r="N60"/>
  <c r="I124" s="1"/>
  <c r="L60"/>
  <c r="G124" s="1"/>
  <c r="J60"/>
  <c r="E124" s="1"/>
  <c r="H60"/>
  <c r="C124" s="1"/>
  <c r="Y64"/>
  <c r="W64"/>
  <c r="U64"/>
  <c r="S64"/>
  <c r="Q64"/>
  <c r="O64"/>
  <c r="M64"/>
  <c r="K64"/>
  <c r="I64"/>
  <c r="G64"/>
  <c r="D64"/>
  <c r="Z64"/>
  <c r="U128" s="1"/>
  <c r="X64"/>
  <c r="S128" s="1"/>
  <c r="V64"/>
  <c r="Q128" s="1"/>
  <c r="T64"/>
  <c r="O128" s="1"/>
  <c r="R64"/>
  <c r="M128" s="1"/>
  <c r="P64"/>
  <c r="K128" s="1"/>
  <c r="N64"/>
  <c r="I128" s="1"/>
  <c r="L64"/>
  <c r="G128" s="1"/>
  <c r="J64"/>
  <c r="E128" s="1"/>
  <c r="H64"/>
  <c r="C128" s="1"/>
  <c r="Y68"/>
  <c r="W68"/>
  <c r="U68"/>
  <c r="S68"/>
  <c r="Q68"/>
  <c r="O68"/>
  <c r="M68"/>
  <c r="K68"/>
  <c r="I68"/>
  <c r="G68"/>
  <c r="D68"/>
  <c r="Z68"/>
  <c r="U132" s="1"/>
  <c r="X68"/>
  <c r="S132" s="1"/>
  <c r="V68"/>
  <c r="Q132" s="1"/>
  <c r="T68"/>
  <c r="O132" s="1"/>
  <c r="R68"/>
  <c r="M132" s="1"/>
  <c r="P68"/>
  <c r="K132" s="1"/>
  <c r="N68"/>
  <c r="I132" s="1"/>
  <c r="L68"/>
  <c r="G132" s="1"/>
  <c r="J68"/>
  <c r="E132" s="1"/>
  <c r="H68"/>
  <c r="C132" s="1"/>
  <c r="Y72"/>
  <c r="W72"/>
  <c r="U72"/>
  <c r="S72"/>
  <c r="Q72"/>
  <c r="O72"/>
  <c r="M72"/>
  <c r="K72"/>
  <c r="I72"/>
  <c r="G72"/>
  <c r="D72"/>
  <c r="Z72"/>
  <c r="U136" s="1"/>
  <c r="X72"/>
  <c r="S136" s="1"/>
  <c r="V72"/>
  <c r="Q136" s="1"/>
  <c r="T72"/>
  <c r="O136" s="1"/>
  <c r="R72"/>
  <c r="M136" s="1"/>
  <c r="P72"/>
  <c r="K136" s="1"/>
  <c r="N72"/>
  <c r="I136" s="1"/>
  <c r="L72"/>
  <c r="G136" s="1"/>
  <c r="J72"/>
  <c r="E136" s="1"/>
  <c r="H72"/>
  <c r="C136" s="1"/>
  <c r="Y76"/>
  <c r="W76"/>
  <c r="U76"/>
  <c r="S76"/>
  <c r="Q76"/>
  <c r="O76"/>
  <c r="M76"/>
  <c r="K76"/>
  <c r="I76"/>
  <c r="G76"/>
  <c r="D76"/>
  <c r="Z76"/>
  <c r="U140" s="1"/>
  <c r="X76"/>
  <c r="S140" s="1"/>
  <c r="V76"/>
  <c r="Q140" s="1"/>
  <c r="T76"/>
  <c r="O140" s="1"/>
  <c r="R76"/>
  <c r="M140" s="1"/>
  <c r="P76"/>
  <c r="K140" s="1"/>
  <c r="N76"/>
  <c r="I140" s="1"/>
  <c r="L76"/>
  <c r="G140" s="1"/>
  <c r="J76"/>
  <c r="E140" s="1"/>
  <c r="H76"/>
  <c r="C140" s="1"/>
  <c r="Y80"/>
  <c r="W80"/>
  <c r="U80"/>
  <c r="S80"/>
  <c r="Q80"/>
  <c r="O80"/>
  <c r="M80"/>
  <c r="K80"/>
  <c r="I80"/>
  <c r="G80"/>
  <c r="D80"/>
  <c r="Z80"/>
  <c r="U144" s="1"/>
  <c r="X80"/>
  <c r="S144" s="1"/>
  <c r="V80"/>
  <c r="Q144" s="1"/>
  <c r="T80"/>
  <c r="O144" s="1"/>
  <c r="R80"/>
  <c r="M144" s="1"/>
  <c r="P80"/>
  <c r="K144" s="1"/>
  <c r="N80"/>
  <c r="I144" s="1"/>
  <c r="L80"/>
  <c r="G144" s="1"/>
  <c r="J80"/>
  <c r="E144" s="1"/>
  <c r="H80"/>
  <c r="C144" s="1"/>
  <c r="Z43"/>
  <c r="X43"/>
  <c r="V43"/>
  <c r="T43"/>
  <c r="R43"/>
  <c r="P43"/>
  <c r="N43"/>
  <c r="L43"/>
  <c r="J43"/>
  <c r="H43"/>
  <c r="Y43"/>
  <c r="T107" s="1"/>
  <c r="W43"/>
  <c r="U43"/>
  <c r="P107" s="1"/>
  <c r="S43"/>
  <c r="Q43"/>
  <c r="L107" s="1"/>
  <c r="O43"/>
  <c r="M43"/>
  <c r="H107" s="1"/>
  <c r="K43"/>
  <c r="I43"/>
  <c r="D107" s="1"/>
  <c r="G43"/>
  <c r="D43"/>
  <c r="Z47"/>
  <c r="X47"/>
  <c r="V47"/>
  <c r="T47"/>
  <c r="R47"/>
  <c r="P47"/>
  <c r="N47"/>
  <c r="L47"/>
  <c r="J47"/>
  <c r="H47"/>
  <c r="Y47"/>
  <c r="T111" s="1"/>
  <c r="W47"/>
  <c r="U47"/>
  <c r="P111" s="1"/>
  <c r="S47"/>
  <c r="Q47"/>
  <c r="L111" s="1"/>
  <c r="O47"/>
  <c r="M47"/>
  <c r="H111" s="1"/>
  <c r="K47"/>
  <c r="I47"/>
  <c r="D111" s="1"/>
  <c r="G47"/>
  <c r="D47"/>
  <c r="Z51"/>
  <c r="X51"/>
  <c r="V51"/>
  <c r="T51"/>
  <c r="R51"/>
  <c r="P51"/>
  <c r="N51"/>
  <c r="L51"/>
  <c r="J51"/>
  <c r="H51"/>
  <c r="Y51"/>
  <c r="T115" s="1"/>
  <c r="W51"/>
  <c r="U51"/>
  <c r="P115" s="1"/>
  <c r="S51"/>
  <c r="Q51"/>
  <c r="L115" s="1"/>
  <c r="O51"/>
  <c r="M51"/>
  <c r="H115" s="1"/>
  <c r="K51"/>
  <c r="I51"/>
  <c r="D115" s="1"/>
  <c r="G51"/>
  <c r="D51"/>
  <c r="Z55"/>
  <c r="X55"/>
  <c r="V55"/>
  <c r="T55"/>
  <c r="R55"/>
  <c r="P55"/>
  <c r="N55"/>
  <c r="L55"/>
  <c r="J55"/>
  <c r="H55"/>
  <c r="Y55"/>
  <c r="T119" s="1"/>
  <c r="W55"/>
  <c r="U55"/>
  <c r="P119" s="1"/>
  <c r="S55"/>
  <c r="Q55"/>
  <c r="L119" s="1"/>
  <c r="O55"/>
  <c r="M55"/>
  <c r="H119" s="1"/>
  <c r="K55"/>
  <c r="I55"/>
  <c r="D119" s="1"/>
  <c r="G55"/>
  <c r="D55"/>
  <c r="Z59"/>
  <c r="X59"/>
  <c r="V59"/>
  <c r="T59"/>
  <c r="R59"/>
  <c r="P59"/>
  <c r="N59"/>
  <c r="L59"/>
  <c r="J59"/>
  <c r="H59"/>
  <c r="Y59"/>
  <c r="T123" s="1"/>
  <c r="W59"/>
  <c r="U59"/>
  <c r="P123" s="1"/>
  <c r="S59"/>
  <c r="Q59"/>
  <c r="L123" s="1"/>
  <c r="O59"/>
  <c r="M59"/>
  <c r="H123" s="1"/>
  <c r="K59"/>
  <c r="I59"/>
  <c r="D123" s="1"/>
  <c r="G59"/>
  <c r="D59"/>
  <c r="Z63"/>
  <c r="X63"/>
  <c r="V63"/>
  <c r="T63"/>
  <c r="R63"/>
  <c r="P63"/>
  <c r="N63"/>
  <c r="L63"/>
  <c r="J63"/>
  <c r="H63"/>
  <c r="Y63"/>
  <c r="T127" s="1"/>
  <c r="W63"/>
  <c r="U63"/>
  <c r="P127" s="1"/>
  <c r="S63"/>
  <c r="Q63"/>
  <c r="L127" s="1"/>
  <c r="O63"/>
  <c r="M63"/>
  <c r="H127" s="1"/>
  <c r="K63"/>
  <c r="I63"/>
  <c r="D127" s="1"/>
  <c r="G63"/>
  <c r="D63"/>
  <c r="Z67"/>
  <c r="X67"/>
  <c r="V67"/>
  <c r="T67"/>
  <c r="R67"/>
  <c r="P67"/>
  <c r="N67"/>
  <c r="L67"/>
  <c r="J67"/>
  <c r="H67"/>
  <c r="Y67"/>
  <c r="T131" s="1"/>
  <c r="W67"/>
  <c r="U67"/>
  <c r="P131" s="1"/>
  <c r="S67"/>
  <c r="Q67"/>
  <c r="L131" s="1"/>
  <c r="O67"/>
  <c r="M67"/>
  <c r="H131" s="1"/>
  <c r="K67"/>
  <c r="I67"/>
  <c r="D131" s="1"/>
  <c r="G67"/>
  <c r="D67"/>
  <c r="Z71"/>
  <c r="X71"/>
  <c r="V71"/>
  <c r="T71"/>
  <c r="R71"/>
  <c r="P71"/>
  <c r="N71"/>
  <c r="L71"/>
  <c r="J71"/>
  <c r="H71"/>
  <c r="Y71"/>
  <c r="T135" s="1"/>
  <c r="W71"/>
  <c r="U71"/>
  <c r="P135" s="1"/>
  <c r="S71"/>
  <c r="Q71"/>
  <c r="L135" s="1"/>
  <c r="O71"/>
  <c r="M71"/>
  <c r="H135" s="1"/>
  <c r="K71"/>
  <c r="I71"/>
  <c r="D135" s="1"/>
  <c r="G71"/>
  <c r="D71"/>
  <c r="Z75"/>
  <c r="X75"/>
  <c r="V75"/>
  <c r="T75"/>
  <c r="R75"/>
  <c r="P75"/>
  <c r="N75"/>
  <c r="L75"/>
  <c r="J75"/>
  <c r="H75"/>
  <c r="Y75"/>
  <c r="T139" s="1"/>
  <c r="W75"/>
  <c r="U75"/>
  <c r="P139" s="1"/>
  <c r="S75"/>
  <c r="Q75"/>
  <c r="L139" s="1"/>
  <c r="O75"/>
  <c r="M75"/>
  <c r="H139" s="1"/>
  <c r="K75"/>
  <c r="I75"/>
  <c r="D139" s="1"/>
  <c r="G75"/>
  <c r="D75"/>
  <c r="Z79"/>
  <c r="X79"/>
  <c r="V79"/>
  <c r="T79"/>
  <c r="R79"/>
  <c r="P79"/>
  <c r="N79"/>
  <c r="L79"/>
  <c r="J79"/>
  <c r="H79"/>
  <c r="Y79"/>
  <c r="T143" s="1"/>
  <c r="W79"/>
  <c r="U79"/>
  <c r="P143" s="1"/>
  <c r="S79"/>
  <c r="Q79"/>
  <c r="L143" s="1"/>
  <c r="O79"/>
  <c r="M79"/>
  <c r="H143" s="1"/>
  <c r="K79"/>
  <c r="I79"/>
  <c r="D143" s="1"/>
  <c r="G79"/>
  <c r="D79"/>
  <c r="Y83"/>
  <c r="W83"/>
  <c r="U83"/>
  <c r="S83"/>
  <c r="Q83"/>
  <c r="O83"/>
  <c r="M83"/>
  <c r="X83"/>
  <c r="T83"/>
  <c r="O147" s="1"/>
  <c r="P83"/>
  <c r="L83"/>
  <c r="J83"/>
  <c r="H83"/>
  <c r="Z83"/>
  <c r="U147" s="1"/>
  <c r="V83"/>
  <c r="Q147" s="1"/>
  <c r="R83"/>
  <c r="M147" s="1"/>
  <c r="N83"/>
  <c r="I147" s="1"/>
  <c r="K83"/>
  <c r="F147" s="1"/>
  <c r="I83"/>
  <c r="D147" s="1"/>
  <c r="G83"/>
  <c r="D83"/>
  <c r="Y86"/>
  <c r="W86"/>
  <c r="U86"/>
  <c r="S86"/>
  <c r="Q86"/>
  <c r="O86"/>
  <c r="M86"/>
  <c r="K86"/>
  <c r="I86"/>
  <c r="G86"/>
  <c r="D86"/>
  <c r="Z86"/>
  <c r="U150" s="1"/>
  <c r="X86"/>
  <c r="S150" s="1"/>
  <c r="V86"/>
  <c r="Q150" s="1"/>
  <c r="T86"/>
  <c r="O150" s="1"/>
  <c r="R86"/>
  <c r="M150" s="1"/>
  <c r="P86"/>
  <c r="K150" s="1"/>
  <c r="N86"/>
  <c r="I150" s="1"/>
  <c r="L86"/>
  <c r="G150" s="1"/>
  <c r="J86"/>
  <c r="E150" s="1"/>
  <c r="H86"/>
  <c r="C150" s="1"/>
  <c r="Y90"/>
  <c r="W90"/>
  <c r="U90"/>
  <c r="S90"/>
  <c r="Q90"/>
  <c r="O90"/>
  <c r="M90"/>
  <c r="K90"/>
  <c r="I90"/>
  <c r="G90"/>
  <c r="D90"/>
  <c r="Z90"/>
  <c r="U154" s="1"/>
  <c r="X90"/>
  <c r="S154" s="1"/>
  <c r="V90"/>
  <c r="Q154" s="1"/>
  <c r="T90"/>
  <c r="O154" s="1"/>
  <c r="R90"/>
  <c r="M154" s="1"/>
  <c r="P90"/>
  <c r="K154" s="1"/>
  <c r="N90"/>
  <c r="I154" s="1"/>
  <c r="L90"/>
  <c r="G154" s="1"/>
  <c r="J90"/>
  <c r="E154" s="1"/>
  <c r="H90"/>
  <c r="C154" s="1"/>
  <c r="Y94"/>
  <c r="W94"/>
  <c r="U94"/>
  <c r="S94"/>
  <c r="Q94"/>
  <c r="O94"/>
  <c r="M94"/>
  <c r="K94"/>
  <c r="I94"/>
  <c r="G94"/>
  <c r="D94"/>
  <c r="Z94"/>
  <c r="U158" s="1"/>
  <c r="X94"/>
  <c r="S158" s="1"/>
  <c r="V94"/>
  <c r="Q158" s="1"/>
  <c r="T94"/>
  <c r="O158" s="1"/>
  <c r="R94"/>
  <c r="M158" s="1"/>
  <c r="P94"/>
  <c r="K158" s="1"/>
  <c r="N94"/>
  <c r="I158" s="1"/>
  <c r="L94"/>
  <c r="G158" s="1"/>
  <c r="J94"/>
  <c r="E158" s="1"/>
  <c r="H94"/>
  <c r="C158" s="1"/>
  <c r="Y98"/>
  <c r="W98"/>
  <c r="U98"/>
  <c r="S98"/>
  <c r="Q98"/>
  <c r="O98"/>
  <c r="M98"/>
  <c r="K98"/>
  <c r="I98"/>
  <c r="G98"/>
  <c r="D98"/>
  <c r="Z98"/>
  <c r="U162" s="1"/>
  <c r="X98"/>
  <c r="S162" s="1"/>
  <c r="V98"/>
  <c r="Q162" s="1"/>
  <c r="T98"/>
  <c r="O162" s="1"/>
  <c r="R98"/>
  <c r="M162" s="1"/>
  <c r="P98"/>
  <c r="K162" s="1"/>
  <c r="N98"/>
  <c r="I162" s="1"/>
  <c r="L98"/>
  <c r="G162" s="1"/>
  <c r="J98"/>
  <c r="E162" s="1"/>
  <c r="H98"/>
  <c r="C162" s="1"/>
  <c r="Z85"/>
  <c r="X85"/>
  <c r="V85"/>
  <c r="T85"/>
  <c r="R85"/>
  <c r="P85"/>
  <c r="N85"/>
  <c r="L85"/>
  <c r="J85"/>
  <c r="H85"/>
  <c r="Y85"/>
  <c r="T149" s="1"/>
  <c r="W85"/>
  <c r="U85"/>
  <c r="P149" s="1"/>
  <c r="S85"/>
  <c r="Q85"/>
  <c r="L149" s="1"/>
  <c r="O85"/>
  <c r="M85"/>
  <c r="H149" s="1"/>
  <c r="K85"/>
  <c r="I85"/>
  <c r="D149" s="1"/>
  <c r="G85"/>
  <c r="D85"/>
  <c r="Z89"/>
  <c r="X89"/>
  <c r="V89"/>
  <c r="T89"/>
  <c r="R89"/>
  <c r="P89"/>
  <c r="N89"/>
  <c r="L89"/>
  <c r="J89"/>
  <c r="H89"/>
  <c r="Y89"/>
  <c r="T153" s="1"/>
  <c r="W89"/>
  <c r="U89"/>
  <c r="P153" s="1"/>
  <c r="S89"/>
  <c r="Q89"/>
  <c r="L153" s="1"/>
  <c r="O89"/>
  <c r="M89"/>
  <c r="H153" s="1"/>
  <c r="K89"/>
  <c r="I89"/>
  <c r="D153" s="1"/>
  <c r="G89"/>
  <c r="D89"/>
  <c r="Z93"/>
  <c r="X93"/>
  <c r="V93"/>
  <c r="T93"/>
  <c r="R93"/>
  <c r="P93"/>
  <c r="N93"/>
  <c r="L93"/>
  <c r="J93"/>
  <c r="H93"/>
  <c r="Y93"/>
  <c r="T157" s="1"/>
  <c r="W93"/>
  <c r="U93"/>
  <c r="P157" s="1"/>
  <c r="S93"/>
  <c r="Q93"/>
  <c r="L157" s="1"/>
  <c r="O93"/>
  <c r="M93"/>
  <c r="H157" s="1"/>
  <c r="K93"/>
  <c r="I93"/>
  <c r="D157" s="1"/>
  <c r="G93"/>
  <c r="D93"/>
  <c r="Z97"/>
  <c r="X97"/>
  <c r="V97"/>
  <c r="T97"/>
  <c r="R97"/>
  <c r="P97"/>
  <c r="N97"/>
  <c r="L97"/>
  <c r="J97"/>
  <c r="H97"/>
  <c r="Y97"/>
  <c r="T161" s="1"/>
  <c r="W97"/>
  <c r="U97"/>
  <c r="P161" s="1"/>
  <c r="S97"/>
  <c r="Q97"/>
  <c r="L161" s="1"/>
  <c r="O97"/>
  <c r="M97"/>
  <c r="H161" s="1"/>
  <c r="K97"/>
  <c r="I97"/>
  <c r="D161" s="1"/>
  <c r="G97"/>
  <c r="D97"/>
  <c r="Z101"/>
  <c r="X101"/>
  <c r="V101"/>
  <c r="T101"/>
  <c r="R101"/>
  <c r="P101"/>
  <c r="N101"/>
  <c r="L101"/>
  <c r="J101"/>
  <c r="H101"/>
  <c r="Y101"/>
  <c r="T165" s="1"/>
  <c r="W101"/>
  <c r="U101"/>
  <c r="P165" s="1"/>
  <c r="S101"/>
  <c r="Q101"/>
  <c r="L165" s="1"/>
  <c r="O101"/>
  <c r="M101"/>
  <c r="H165" s="1"/>
  <c r="K101"/>
  <c r="I101"/>
  <c r="D165" s="1"/>
  <c r="G101"/>
  <c r="D101"/>
  <c r="Y42"/>
  <c r="W42"/>
  <c r="U42"/>
  <c r="S42"/>
  <c r="Q42"/>
  <c r="O42"/>
  <c r="M42"/>
  <c r="K42"/>
  <c r="I42"/>
  <c r="G42"/>
  <c r="D42"/>
  <c r="Z42"/>
  <c r="U106" s="1"/>
  <c r="X42"/>
  <c r="S106" s="1"/>
  <c r="V42"/>
  <c r="Q106" s="1"/>
  <c r="T42"/>
  <c r="O106" s="1"/>
  <c r="R42"/>
  <c r="M106" s="1"/>
  <c r="P42"/>
  <c r="K106" s="1"/>
  <c r="N42"/>
  <c r="I106" s="1"/>
  <c r="L42"/>
  <c r="G106" s="1"/>
  <c r="J42"/>
  <c r="E106" s="1"/>
  <c r="H42"/>
  <c r="C106" s="1"/>
  <c r="Y46"/>
  <c r="W46"/>
  <c r="U46"/>
  <c r="S46"/>
  <c r="Q46"/>
  <c r="O46"/>
  <c r="M46"/>
  <c r="K46"/>
  <c r="I46"/>
  <c r="G46"/>
  <c r="D46"/>
  <c r="Z46"/>
  <c r="U110" s="1"/>
  <c r="X46"/>
  <c r="S110" s="1"/>
  <c r="V46"/>
  <c r="Q110" s="1"/>
  <c r="T46"/>
  <c r="O110" s="1"/>
  <c r="R46"/>
  <c r="M110" s="1"/>
  <c r="P46"/>
  <c r="K110" s="1"/>
  <c r="N46"/>
  <c r="I110" s="1"/>
  <c r="L46"/>
  <c r="G110" s="1"/>
  <c r="J46"/>
  <c r="E110" s="1"/>
  <c r="H46"/>
  <c r="C110" s="1"/>
  <c r="Y50"/>
  <c r="W50"/>
  <c r="U50"/>
  <c r="S50"/>
  <c r="Q50"/>
  <c r="O50"/>
  <c r="M50"/>
  <c r="K50"/>
  <c r="I50"/>
  <c r="G50"/>
  <c r="D50"/>
  <c r="Z50"/>
  <c r="U114" s="1"/>
  <c r="X50"/>
  <c r="S114" s="1"/>
  <c r="V50"/>
  <c r="Q114" s="1"/>
  <c r="T50"/>
  <c r="O114" s="1"/>
  <c r="R50"/>
  <c r="M114" s="1"/>
  <c r="P50"/>
  <c r="K114" s="1"/>
  <c r="N50"/>
  <c r="I114" s="1"/>
  <c r="L50"/>
  <c r="G114" s="1"/>
  <c r="J50"/>
  <c r="E114" s="1"/>
  <c r="H50"/>
  <c r="C114" s="1"/>
  <c r="Y54"/>
  <c r="W54"/>
  <c r="U54"/>
  <c r="S54"/>
  <c r="Q54"/>
  <c r="O54"/>
  <c r="M54"/>
  <c r="K54"/>
  <c r="I54"/>
  <c r="G54"/>
  <c r="D54"/>
  <c r="Z54"/>
  <c r="U118" s="1"/>
  <c r="X54"/>
  <c r="S118" s="1"/>
  <c r="V54"/>
  <c r="Q118" s="1"/>
  <c r="T54"/>
  <c r="O118" s="1"/>
  <c r="R54"/>
  <c r="M118" s="1"/>
  <c r="P54"/>
  <c r="K118" s="1"/>
  <c r="N54"/>
  <c r="I118" s="1"/>
  <c r="L54"/>
  <c r="G118" s="1"/>
  <c r="J54"/>
  <c r="E118" s="1"/>
  <c r="H54"/>
  <c r="C118" s="1"/>
  <c r="Y58"/>
  <c r="W58"/>
  <c r="U58"/>
  <c r="S58"/>
  <c r="Q58"/>
  <c r="O58"/>
  <c r="M58"/>
  <c r="K58"/>
  <c r="I58"/>
  <c r="G58"/>
  <c r="D58"/>
  <c r="Z58"/>
  <c r="U122" s="1"/>
  <c r="X58"/>
  <c r="S122" s="1"/>
  <c r="V58"/>
  <c r="Q122" s="1"/>
  <c r="T58"/>
  <c r="O122" s="1"/>
  <c r="R58"/>
  <c r="M122" s="1"/>
  <c r="P58"/>
  <c r="K122" s="1"/>
  <c r="N58"/>
  <c r="I122" s="1"/>
  <c r="L58"/>
  <c r="G122" s="1"/>
  <c r="J58"/>
  <c r="E122" s="1"/>
  <c r="H58"/>
  <c r="C122" s="1"/>
  <c r="Y62"/>
  <c r="W62"/>
  <c r="U62"/>
  <c r="S62"/>
  <c r="Q62"/>
  <c r="O62"/>
  <c r="M62"/>
  <c r="K62"/>
  <c r="I62"/>
  <c r="G62"/>
  <c r="D62"/>
  <c r="Z62"/>
  <c r="U126" s="1"/>
  <c r="X62"/>
  <c r="S126" s="1"/>
  <c r="V62"/>
  <c r="Q126" s="1"/>
  <c r="T62"/>
  <c r="O126" s="1"/>
  <c r="R62"/>
  <c r="M126" s="1"/>
  <c r="P62"/>
  <c r="K126" s="1"/>
  <c r="N62"/>
  <c r="I126" s="1"/>
  <c r="L62"/>
  <c r="G126" s="1"/>
  <c r="J62"/>
  <c r="E126" s="1"/>
  <c r="H62"/>
  <c r="C126" s="1"/>
  <c r="Y66"/>
  <c r="W66"/>
  <c r="U66"/>
  <c r="S66"/>
  <c r="Q66"/>
  <c r="O66"/>
  <c r="M66"/>
  <c r="K66"/>
  <c r="I66"/>
  <c r="G66"/>
  <c r="D66"/>
  <c r="Z66"/>
  <c r="U130" s="1"/>
  <c r="X66"/>
  <c r="S130" s="1"/>
  <c r="V66"/>
  <c r="Q130" s="1"/>
  <c r="T66"/>
  <c r="O130" s="1"/>
  <c r="R66"/>
  <c r="M130" s="1"/>
  <c r="P66"/>
  <c r="K130" s="1"/>
  <c r="N66"/>
  <c r="I130" s="1"/>
  <c r="L66"/>
  <c r="G130" s="1"/>
  <c r="J66"/>
  <c r="E130" s="1"/>
  <c r="H66"/>
  <c r="C130" s="1"/>
  <c r="Y70"/>
  <c r="W70"/>
  <c r="U70"/>
  <c r="S70"/>
  <c r="Q70"/>
  <c r="O70"/>
  <c r="M70"/>
  <c r="K70"/>
  <c r="I70"/>
  <c r="G70"/>
  <c r="D70"/>
  <c r="Z70"/>
  <c r="U134" s="1"/>
  <c r="X70"/>
  <c r="S134" s="1"/>
  <c r="V70"/>
  <c r="Q134" s="1"/>
  <c r="T70"/>
  <c r="O134" s="1"/>
  <c r="R70"/>
  <c r="M134" s="1"/>
  <c r="P70"/>
  <c r="K134" s="1"/>
  <c r="N70"/>
  <c r="I134" s="1"/>
  <c r="L70"/>
  <c r="G134" s="1"/>
  <c r="J70"/>
  <c r="E134" s="1"/>
  <c r="H70"/>
  <c r="C134" s="1"/>
  <c r="Y74"/>
  <c r="W74"/>
  <c r="U74"/>
  <c r="S74"/>
  <c r="Q74"/>
  <c r="O74"/>
  <c r="M74"/>
  <c r="K74"/>
  <c r="I74"/>
  <c r="G74"/>
  <c r="D74"/>
  <c r="Z74"/>
  <c r="U138" s="1"/>
  <c r="X74"/>
  <c r="S138" s="1"/>
  <c r="V74"/>
  <c r="Q138" s="1"/>
  <c r="T74"/>
  <c r="O138" s="1"/>
  <c r="R74"/>
  <c r="M138" s="1"/>
  <c r="P74"/>
  <c r="K138" s="1"/>
  <c r="N74"/>
  <c r="I138" s="1"/>
  <c r="L74"/>
  <c r="G138" s="1"/>
  <c r="J74"/>
  <c r="E138" s="1"/>
  <c r="H74"/>
  <c r="C138" s="1"/>
  <c r="Y78"/>
  <c r="W78"/>
  <c r="U78"/>
  <c r="S78"/>
  <c r="Q78"/>
  <c r="O78"/>
  <c r="M78"/>
  <c r="K78"/>
  <c r="I78"/>
  <c r="G78"/>
  <c r="D78"/>
  <c r="Z78"/>
  <c r="U142" s="1"/>
  <c r="X78"/>
  <c r="S142" s="1"/>
  <c r="V78"/>
  <c r="Q142" s="1"/>
  <c r="T78"/>
  <c r="O142" s="1"/>
  <c r="R78"/>
  <c r="M142" s="1"/>
  <c r="P78"/>
  <c r="K142" s="1"/>
  <c r="N78"/>
  <c r="I142" s="1"/>
  <c r="L78"/>
  <c r="G142" s="1"/>
  <c r="J78"/>
  <c r="E142" s="1"/>
  <c r="H78"/>
  <c r="C142" s="1"/>
  <c r="Y82"/>
  <c r="W82"/>
  <c r="U82"/>
  <c r="S82"/>
  <c r="Q82"/>
  <c r="O82"/>
  <c r="M82"/>
  <c r="K82"/>
  <c r="I82"/>
  <c r="G82"/>
  <c r="D82"/>
  <c r="Z82"/>
  <c r="U146" s="1"/>
  <c r="X82"/>
  <c r="S146" s="1"/>
  <c r="V82"/>
  <c r="Q146" s="1"/>
  <c r="T82"/>
  <c r="O146" s="1"/>
  <c r="R82"/>
  <c r="M146" s="1"/>
  <c r="P82"/>
  <c r="K146" s="1"/>
  <c r="N82"/>
  <c r="I146" s="1"/>
  <c r="L82"/>
  <c r="G146" s="1"/>
  <c r="J82"/>
  <c r="E146" s="1"/>
  <c r="H82"/>
  <c r="C146" s="1"/>
  <c r="Z45"/>
  <c r="X45"/>
  <c r="V45"/>
  <c r="T45"/>
  <c r="R45"/>
  <c r="P45"/>
  <c r="N45"/>
  <c r="L45"/>
  <c r="J45"/>
  <c r="H45"/>
  <c r="Y45"/>
  <c r="W45"/>
  <c r="U45"/>
  <c r="S45"/>
  <c r="Q45"/>
  <c r="O45"/>
  <c r="M45"/>
  <c r="K45"/>
  <c r="I45"/>
  <c r="G45"/>
  <c r="D45"/>
  <c r="Z49"/>
  <c r="X49"/>
  <c r="V49"/>
  <c r="T49"/>
  <c r="R49"/>
  <c r="P49"/>
  <c r="N49"/>
  <c r="L49"/>
  <c r="J49"/>
  <c r="H49"/>
  <c r="Y49"/>
  <c r="W49"/>
  <c r="U49"/>
  <c r="S49"/>
  <c r="Q49"/>
  <c r="O49"/>
  <c r="M49"/>
  <c r="K49"/>
  <c r="I49"/>
  <c r="G49"/>
  <c r="D49"/>
  <c r="Z53"/>
  <c r="X53"/>
  <c r="V53"/>
  <c r="T53"/>
  <c r="R53"/>
  <c r="P53"/>
  <c r="N53"/>
  <c r="L53"/>
  <c r="J53"/>
  <c r="H53"/>
  <c r="Y53"/>
  <c r="W53"/>
  <c r="U53"/>
  <c r="S53"/>
  <c r="Q53"/>
  <c r="O53"/>
  <c r="M53"/>
  <c r="K53"/>
  <c r="I53"/>
  <c r="G53"/>
  <c r="D53"/>
  <c r="Z57"/>
  <c r="X57"/>
  <c r="V57"/>
  <c r="T57"/>
  <c r="R57"/>
  <c r="P57"/>
  <c r="N57"/>
  <c r="L57"/>
  <c r="J57"/>
  <c r="H57"/>
  <c r="Y57"/>
  <c r="W57"/>
  <c r="U57"/>
  <c r="S57"/>
  <c r="Q57"/>
  <c r="O57"/>
  <c r="M57"/>
  <c r="K57"/>
  <c r="I57"/>
  <c r="G57"/>
  <c r="D57"/>
  <c r="Z61"/>
  <c r="X61"/>
  <c r="V61"/>
  <c r="T61"/>
  <c r="R61"/>
  <c r="P61"/>
  <c r="N61"/>
  <c r="L61"/>
  <c r="J61"/>
  <c r="H61"/>
  <c r="Y61"/>
  <c r="W61"/>
  <c r="U61"/>
  <c r="S61"/>
  <c r="Q61"/>
  <c r="O61"/>
  <c r="M61"/>
  <c r="K61"/>
  <c r="I61"/>
  <c r="G61"/>
  <c r="D61"/>
  <c r="Z65"/>
  <c r="X65"/>
  <c r="V65"/>
  <c r="T65"/>
  <c r="R65"/>
  <c r="P65"/>
  <c r="N65"/>
  <c r="L65"/>
  <c r="J65"/>
  <c r="H65"/>
  <c r="Y65"/>
  <c r="W65"/>
  <c r="U65"/>
  <c r="S65"/>
  <c r="Q65"/>
  <c r="O65"/>
  <c r="M65"/>
  <c r="K65"/>
  <c r="I65"/>
  <c r="G65"/>
  <c r="D65"/>
  <c r="Z69"/>
  <c r="X69"/>
  <c r="V69"/>
  <c r="T69"/>
  <c r="R69"/>
  <c r="P69"/>
  <c r="N69"/>
  <c r="L69"/>
  <c r="J69"/>
  <c r="H69"/>
  <c r="Y69"/>
  <c r="W69"/>
  <c r="U69"/>
  <c r="S69"/>
  <c r="Q69"/>
  <c r="O69"/>
  <c r="M69"/>
  <c r="K69"/>
  <c r="I69"/>
  <c r="G69"/>
  <c r="D69"/>
  <c r="Z73"/>
  <c r="X73"/>
  <c r="V73"/>
  <c r="T73"/>
  <c r="R73"/>
  <c r="P73"/>
  <c r="N73"/>
  <c r="L73"/>
  <c r="J73"/>
  <c r="H73"/>
  <c r="Y73"/>
  <c r="W73"/>
  <c r="U73"/>
  <c r="S73"/>
  <c r="Q73"/>
  <c r="O73"/>
  <c r="M73"/>
  <c r="K73"/>
  <c r="I73"/>
  <c r="G73"/>
  <c r="D73"/>
  <c r="Z77"/>
  <c r="X77"/>
  <c r="V77"/>
  <c r="T77"/>
  <c r="R77"/>
  <c r="P77"/>
  <c r="N77"/>
  <c r="L77"/>
  <c r="J77"/>
  <c r="H77"/>
  <c r="Y77"/>
  <c r="W77"/>
  <c r="U77"/>
  <c r="S77"/>
  <c r="Q77"/>
  <c r="O77"/>
  <c r="M77"/>
  <c r="K77"/>
  <c r="I77"/>
  <c r="G77"/>
  <c r="D77"/>
  <c r="Z81"/>
  <c r="X81"/>
  <c r="V81"/>
  <c r="T81"/>
  <c r="R81"/>
  <c r="P81"/>
  <c r="N81"/>
  <c r="L81"/>
  <c r="J81"/>
  <c r="H81"/>
  <c r="Y81"/>
  <c r="W81"/>
  <c r="U81"/>
  <c r="S81"/>
  <c r="Q81"/>
  <c r="O81"/>
  <c r="M81"/>
  <c r="K81"/>
  <c r="I81"/>
  <c r="G81"/>
  <c r="D81"/>
  <c r="Y84"/>
  <c r="W84"/>
  <c r="U84"/>
  <c r="S84"/>
  <c r="Q84"/>
  <c r="Z84"/>
  <c r="X84"/>
  <c r="S148" s="1"/>
  <c r="V84"/>
  <c r="Q148" s="1"/>
  <c r="T84"/>
  <c r="O148" s="1"/>
  <c r="R84"/>
  <c r="M148" s="1"/>
  <c r="P84"/>
  <c r="N84"/>
  <c r="L84"/>
  <c r="J84"/>
  <c r="H84"/>
  <c r="M84"/>
  <c r="I84"/>
  <c r="D148" s="1"/>
  <c r="D84"/>
  <c r="O84"/>
  <c r="K84"/>
  <c r="F148" s="1"/>
  <c r="G84"/>
  <c r="Y88"/>
  <c r="W88"/>
  <c r="U88"/>
  <c r="S88"/>
  <c r="Q88"/>
  <c r="O88"/>
  <c r="M88"/>
  <c r="K88"/>
  <c r="I88"/>
  <c r="G88"/>
  <c r="D88"/>
  <c r="Z88"/>
  <c r="U152" s="1"/>
  <c r="X88"/>
  <c r="S152" s="1"/>
  <c r="V88"/>
  <c r="Q152" s="1"/>
  <c r="T88"/>
  <c r="O152" s="1"/>
  <c r="R88"/>
  <c r="M152" s="1"/>
  <c r="P88"/>
  <c r="K152" s="1"/>
  <c r="N88"/>
  <c r="I152" s="1"/>
  <c r="L88"/>
  <c r="G152" s="1"/>
  <c r="J88"/>
  <c r="E152" s="1"/>
  <c r="H88"/>
  <c r="C152" s="1"/>
  <c r="Y92"/>
  <c r="W92"/>
  <c r="U92"/>
  <c r="S92"/>
  <c r="Q92"/>
  <c r="O92"/>
  <c r="M92"/>
  <c r="K92"/>
  <c r="I92"/>
  <c r="G92"/>
  <c r="D92"/>
  <c r="Z92"/>
  <c r="U156" s="1"/>
  <c r="X92"/>
  <c r="S156" s="1"/>
  <c r="V92"/>
  <c r="Q156" s="1"/>
  <c r="T92"/>
  <c r="O156" s="1"/>
  <c r="R92"/>
  <c r="M156" s="1"/>
  <c r="P92"/>
  <c r="K156" s="1"/>
  <c r="N92"/>
  <c r="I156" s="1"/>
  <c r="L92"/>
  <c r="G156" s="1"/>
  <c r="J92"/>
  <c r="E156" s="1"/>
  <c r="H92"/>
  <c r="C156" s="1"/>
  <c r="Y96"/>
  <c r="W96"/>
  <c r="U96"/>
  <c r="S96"/>
  <c r="Q96"/>
  <c r="O96"/>
  <c r="M96"/>
  <c r="K96"/>
  <c r="I96"/>
  <c r="G96"/>
  <c r="D96"/>
  <c r="Z96"/>
  <c r="U160" s="1"/>
  <c r="X96"/>
  <c r="S160" s="1"/>
  <c r="V96"/>
  <c r="Q160" s="1"/>
  <c r="T96"/>
  <c r="O160" s="1"/>
  <c r="R96"/>
  <c r="M160" s="1"/>
  <c r="P96"/>
  <c r="K160" s="1"/>
  <c r="N96"/>
  <c r="I160" s="1"/>
  <c r="L96"/>
  <c r="G160" s="1"/>
  <c r="J96"/>
  <c r="E160" s="1"/>
  <c r="H96"/>
  <c r="C160" s="1"/>
  <c r="Y100"/>
  <c r="W100"/>
  <c r="U100"/>
  <c r="S100"/>
  <c r="Q100"/>
  <c r="O100"/>
  <c r="M100"/>
  <c r="K100"/>
  <c r="I100"/>
  <c r="G100"/>
  <c r="D100"/>
  <c r="Z100"/>
  <c r="X100"/>
  <c r="S164" s="1"/>
  <c r="V100"/>
  <c r="T100"/>
  <c r="O164" s="1"/>
  <c r="R100"/>
  <c r="P100"/>
  <c r="K164" s="1"/>
  <c r="N100"/>
  <c r="L100"/>
  <c r="G164" s="1"/>
  <c r="J100"/>
  <c r="H100"/>
  <c r="C164" s="1"/>
  <c r="Z87"/>
  <c r="X87"/>
  <c r="V87"/>
  <c r="T87"/>
  <c r="R87"/>
  <c r="P87"/>
  <c r="N87"/>
  <c r="L87"/>
  <c r="J87"/>
  <c r="H87"/>
  <c r="Y87"/>
  <c r="W87"/>
  <c r="U87"/>
  <c r="S87"/>
  <c r="Q87"/>
  <c r="O87"/>
  <c r="M87"/>
  <c r="K87"/>
  <c r="I87"/>
  <c r="G87"/>
  <c r="D87"/>
  <c r="Z91"/>
  <c r="X91"/>
  <c r="V91"/>
  <c r="T91"/>
  <c r="R91"/>
  <c r="P91"/>
  <c r="N91"/>
  <c r="L91"/>
  <c r="J91"/>
  <c r="H91"/>
  <c r="Y91"/>
  <c r="W91"/>
  <c r="U91"/>
  <c r="S91"/>
  <c r="Q91"/>
  <c r="O91"/>
  <c r="M91"/>
  <c r="K91"/>
  <c r="I91"/>
  <c r="G91"/>
  <c r="D91"/>
  <c r="Z95"/>
  <c r="X95"/>
  <c r="V95"/>
  <c r="T95"/>
  <c r="R95"/>
  <c r="P95"/>
  <c r="N95"/>
  <c r="L95"/>
  <c r="J95"/>
  <c r="H95"/>
  <c r="Y95"/>
  <c r="W95"/>
  <c r="U95"/>
  <c r="S95"/>
  <c r="Q95"/>
  <c r="O95"/>
  <c r="M95"/>
  <c r="K95"/>
  <c r="I95"/>
  <c r="G95"/>
  <c r="D95"/>
  <c r="Z99"/>
  <c r="X99"/>
  <c r="V99"/>
  <c r="T99"/>
  <c r="R99"/>
  <c r="P99"/>
  <c r="N99"/>
  <c r="L99"/>
  <c r="J99"/>
  <c r="H99"/>
  <c r="Y99"/>
  <c r="W99"/>
  <c r="U99"/>
  <c r="S99"/>
  <c r="Q99"/>
  <c r="O99"/>
  <c r="M99"/>
  <c r="K99"/>
  <c r="I99"/>
  <c r="G99"/>
  <c r="D99"/>
  <c r="D68" i="1"/>
  <c r="D52"/>
  <c r="D90"/>
  <c r="D74"/>
  <c r="D58"/>
  <c r="D42"/>
  <c r="D89"/>
  <c r="D73"/>
  <c r="D57"/>
  <c r="D49"/>
  <c r="D92"/>
  <c r="D72"/>
  <c r="Y72"/>
  <c r="W72"/>
  <c r="U72"/>
  <c r="S72"/>
  <c r="Q72"/>
  <c r="O72"/>
  <c r="M72"/>
  <c r="K72"/>
  <c r="I72"/>
  <c r="G72"/>
  <c r="Z72"/>
  <c r="U136" s="1"/>
  <c r="X72"/>
  <c r="S136" s="1"/>
  <c r="V72"/>
  <c r="Q136" s="1"/>
  <c r="T72"/>
  <c r="O136" s="1"/>
  <c r="R72"/>
  <c r="M136" s="1"/>
  <c r="P72"/>
  <c r="K136" s="1"/>
  <c r="N72"/>
  <c r="I136" s="1"/>
  <c r="L72"/>
  <c r="G136" s="1"/>
  <c r="J72"/>
  <c r="E136" s="1"/>
  <c r="H72"/>
  <c r="C136" s="1"/>
  <c r="D44"/>
  <c r="D95"/>
  <c r="D79"/>
  <c r="D63"/>
  <c r="D47"/>
  <c r="D80"/>
  <c r="Y80"/>
  <c r="W80"/>
  <c r="U80"/>
  <c r="S80"/>
  <c r="Q80"/>
  <c r="O80"/>
  <c r="M80"/>
  <c r="K80"/>
  <c r="I80"/>
  <c r="G80"/>
  <c r="Z80"/>
  <c r="U144" s="1"/>
  <c r="X80"/>
  <c r="S144" s="1"/>
  <c r="V80"/>
  <c r="Q144" s="1"/>
  <c r="T80"/>
  <c r="O144" s="1"/>
  <c r="R80"/>
  <c r="M144" s="1"/>
  <c r="P80"/>
  <c r="K144" s="1"/>
  <c r="N80"/>
  <c r="I144" s="1"/>
  <c r="L80"/>
  <c r="G144" s="1"/>
  <c r="J80"/>
  <c r="E144" s="1"/>
  <c r="H80"/>
  <c r="C144" s="1"/>
  <c r="D60"/>
  <c r="D43"/>
  <c r="Y43"/>
  <c r="W43"/>
  <c r="U43"/>
  <c r="S43"/>
  <c r="Q43"/>
  <c r="O43"/>
  <c r="M43"/>
  <c r="K43"/>
  <c r="I43"/>
  <c r="G43"/>
  <c r="Z43"/>
  <c r="U107" s="1"/>
  <c r="X43"/>
  <c r="S107" s="1"/>
  <c r="V43"/>
  <c r="Q107" s="1"/>
  <c r="T43"/>
  <c r="O107" s="1"/>
  <c r="R43"/>
  <c r="M107" s="1"/>
  <c r="P43"/>
  <c r="K107" s="1"/>
  <c r="N43"/>
  <c r="I107" s="1"/>
  <c r="L43"/>
  <c r="G107" s="1"/>
  <c r="J43"/>
  <c r="E107" s="1"/>
  <c r="H43"/>
  <c r="C107" s="1"/>
  <c r="D94"/>
  <c r="Y94"/>
  <c r="W94"/>
  <c r="U94"/>
  <c r="S94"/>
  <c r="Q94"/>
  <c r="O94"/>
  <c r="M94"/>
  <c r="K94"/>
  <c r="I94"/>
  <c r="G94"/>
  <c r="Z94"/>
  <c r="U158" s="1"/>
  <c r="X94"/>
  <c r="S158" s="1"/>
  <c r="V94"/>
  <c r="Q158" s="1"/>
  <c r="T94"/>
  <c r="O158" s="1"/>
  <c r="R94"/>
  <c r="M158" s="1"/>
  <c r="P94"/>
  <c r="K158" s="1"/>
  <c r="N94"/>
  <c r="I158" s="1"/>
  <c r="L94"/>
  <c r="G158" s="1"/>
  <c r="J94"/>
  <c r="E158" s="1"/>
  <c r="H94"/>
  <c r="C158" s="1"/>
  <c r="D86"/>
  <c r="Y86"/>
  <c r="W86"/>
  <c r="U86"/>
  <c r="S86"/>
  <c r="Q86"/>
  <c r="O86"/>
  <c r="M86"/>
  <c r="K86"/>
  <c r="I86"/>
  <c r="G86"/>
  <c r="Z86"/>
  <c r="U150" s="1"/>
  <c r="X86"/>
  <c r="S150" s="1"/>
  <c r="V86"/>
  <c r="Q150" s="1"/>
  <c r="T86"/>
  <c r="O150" s="1"/>
  <c r="R86"/>
  <c r="M150" s="1"/>
  <c r="P86"/>
  <c r="K150" s="1"/>
  <c r="N86"/>
  <c r="I150" s="1"/>
  <c r="L86"/>
  <c r="G150" s="1"/>
  <c r="J86"/>
  <c r="E150" s="1"/>
  <c r="H86"/>
  <c r="C150" s="1"/>
  <c r="D78"/>
  <c r="Y78"/>
  <c r="W78"/>
  <c r="U78"/>
  <c r="S78"/>
  <c r="Q78"/>
  <c r="O78"/>
  <c r="M78"/>
  <c r="K78"/>
  <c r="I78"/>
  <c r="G78"/>
  <c r="Z78"/>
  <c r="U142" s="1"/>
  <c r="X78"/>
  <c r="S142" s="1"/>
  <c r="V78"/>
  <c r="Q142" s="1"/>
  <c r="T78"/>
  <c r="O142" s="1"/>
  <c r="P78"/>
  <c r="L78"/>
  <c r="G142" s="1"/>
  <c r="H78"/>
  <c r="R78"/>
  <c r="N78"/>
  <c r="I142" s="1"/>
  <c r="J78"/>
  <c r="D70"/>
  <c r="Y70"/>
  <c r="W70"/>
  <c r="U70"/>
  <c r="S70"/>
  <c r="Q70"/>
  <c r="O70"/>
  <c r="M70"/>
  <c r="K70"/>
  <c r="I70"/>
  <c r="G70"/>
  <c r="Z70"/>
  <c r="U134" s="1"/>
  <c r="X70"/>
  <c r="S134" s="1"/>
  <c r="V70"/>
  <c r="Q134" s="1"/>
  <c r="T70"/>
  <c r="O134" s="1"/>
  <c r="R70"/>
  <c r="M134" s="1"/>
  <c r="P70"/>
  <c r="K134" s="1"/>
  <c r="N70"/>
  <c r="I134" s="1"/>
  <c r="L70"/>
  <c r="G134" s="1"/>
  <c r="J70"/>
  <c r="E134" s="1"/>
  <c r="H70"/>
  <c r="C134" s="1"/>
  <c r="D62"/>
  <c r="Y62"/>
  <c r="W62"/>
  <c r="U62"/>
  <c r="S62"/>
  <c r="Q62"/>
  <c r="O62"/>
  <c r="M62"/>
  <c r="K62"/>
  <c r="I62"/>
  <c r="G62"/>
  <c r="Z62"/>
  <c r="U126" s="1"/>
  <c r="X62"/>
  <c r="S126" s="1"/>
  <c r="V62"/>
  <c r="Q126" s="1"/>
  <c r="T62"/>
  <c r="O126" s="1"/>
  <c r="R62"/>
  <c r="M126" s="1"/>
  <c r="P62"/>
  <c r="K126" s="1"/>
  <c r="N62"/>
  <c r="I126" s="1"/>
  <c r="L62"/>
  <c r="G126" s="1"/>
  <c r="J62"/>
  <c r="E126" s="1"/>
  <c r="H62"/>
  <c r="C126" s="1"/>
  <c r="D54"/>
  <c r="Z54"/>
  <c r="X54"/>
  <c r="V54"/>
  <c r="T54"/>
  <c r="R54"/>
  <c r="P54"/>
  <c r="N54"/>
  <c r="L54"/>
  <c r="J54"/>
  <c r="H54"/>
  <c r="Y54"/>
  <c r="U54"/>
  <c r="P118" s="1"/>
  <c r="Q54"/>
  <c r="M54"/>
  <c r="H118" s="1"/>
  <c r="I54"/>
  <c r="W54"/>
  <c r="S54"/>
  <c r="N118" s="1"/>
  <c r="O54"/>
  <c r="K54"/>
  <c r="F118" s="1"/>
  <c r="G54"/>
  <c r="D46"/>
  <c r="Y46"/>
  <c r="W46"/>
  <c r="U46"/>
  <c r="S46"/>
  <c r="Q46"/>
  <c r="O46"/>
  <c r="M46"/>
  <c r="K46"/>
  <c r="I46"/>
  <c r="G46"/>
  <c r="Z46"/>
  <c r="U110" s="1"/>
  <c r="X46"/>
  <c r="S110" s="1"/>
  <c r="V46"/>
  <c r="Q110" s="1"/>
  <c r="T46"/>
  <c r="O110" s="1"/>
  <c r="R46"/>
  <c r="M110" s="1"/>
  <c r="P46"/>
  <c r="K110" s="1"/>
  <c r="N46"/>
  <c r="I110" s="1"/>
  <c r="L46"/>
  <c r="G110" s="1"/>
  <c r="J46"/>
  <c r="E110" s="1"/>
  <c r="H46"/>
  <c r="C110" s="1"/>
  <c r="D101"/>
  <c r="Y101"/>
  <c r="W101"/>
  <c r="U101"/>
  <c r="S101"/>
  <c r="Q101"/>
  <c r="O101"/>
  <c r="M101"/>
  <c r="K101"/>
  <c r="I101"/>
  <c r="G101"/>
  <c r="Z101"/>
  <c r="U165" s="1"/>
  <c r="X101"/>
  <c r="S165" s="1"/>
  <c r="V101"/>
  <c r="Q165" s="1"/>
  <c r="T101"/>
  <c r="O165" s="1"/>
  <c r="R101"/>
  <c r="M165" s="1"/>
  <c r="P101"/>
  <c r="K165" s="1"/>
  <c r="N101"/>
  <c r="I165" s="1"/>
  <c r="L101"/>
  <c r="G165" s="1"/>
  <c r="J101"/>
  <c r="E165" s="1"/>
  <c r="H101"/>
  <c r="C165" s="1"/>
  <c r="D93"/>
  <c r="Y93"/>
  <c r="W93"/>
  <c r="U93"/>
  <c r="S93"/>
  <c r="Q93"/>
  <c r="O93"/>
  <c r="M93"/>
  <c r="K93"/>
  <c r="I93"/>
  <c r="G93"/>
  <c r="Z93"/>
  <c r="U157" s="1"/>
  <c r="X93"/>
  <c r="S157" s="1"/>
  <c r="V93"/>
  <c r="Q157" s="1"/>
  <c r="T93"/>
  <c r="O157" s="1"/>
  <c r="R93"/>
  <c r="M157" s="1"/>
  <c r="P93"/>
  <c r="K157" s="1"/>
  <c r="N93"/>
  <c r="I157" s="1"/>
  <c r="L93"/>
  <c r="G157" s="1"/>
  <c r="J93"/>
  <c r="E157" s="1"/>
  <c r="H93"/>
  <c r="C157" s="1"/>
  <c r="D85"/>
  <c r="Y85"/>
  <c r="W85"/>
  <c r="U85"/>
  <c r="S85"/>
  <c r="Q85"/>
  <c r="O85"/>
  <c r="M85"/>
  <c r="K85"/>
  <c r="I85"/>
  <c r="G85"/>
  <c r="Z85"/>
  <c r="U149" s="1"/>
  <c r="X85"/>
  <c r="S149" s="1"/>
  <c r="V85"/>
  <c r="Q149" s="1"/>
  <c r="T85"/>
  <c r="O149" s="1"/>
  <c r="R85"/>
  <c r="M149" s="1"/>
  <c r="P85"/>
  <c r="K149" s="1"/>
  <c r="N85"/>
  <c r="I149" s="1"/>
  <c r="L85"/>
  <c r="G149" s="1"/>
  <c r="J85"/>
  <c r="E149" s="1"/>
  <c r="H85"/>
  <c r="C149" s="1"/>
  <c r="D77"/>
  <c r="Y77"/>
  <c r="W77"/>
  <c r="U77"/>
  <c r="S77"/>
  <c r="Q77"/>
  <c r="O77"/>
  <c r="M77"/>
  <c r="K77"/>
  <c r="I77"/>
  <c r="G77"/>
  <c r="X77"/>
  <c r="T77"/>
  <c r="O141" s="1"/>
  <c r="P77"/>
  <c r="L77"/>
  <c r="G141" s="1"/>
  <c r="H77"/>
  <c r="Z77"/>
  <c r="V77"/>
  <c r="Q141" s="1"/>
  <c r="R77"/>
  <c r="N77"/>
  <c r="I141" s="1"/>
  <c r="J77"/>
  <c r="D69"/>
  <c r="Y69"/>
  <c r="W69"/>
  <c r="U69"/>
  <c r="S69"/>
  <c r="Q69"/>
  <c r="O69"/>
  <c r="M69"/>
  <c r="K69"/>
  <c r="I69"/>
  <c r="G69"/>
  <c r="Z69"/>
  <c r="U133" s="1"/>
  <c r="X69"/>
  <c r="S133" s="1"/>
  <c r="V69"/>
  <c r="Q133" s="1"/>
  <c r="T69"/>
  <c r="O133" s="1"/>
  <c r="R69"/>
  <c r="M133" s="1"/>
  <c r="P69"/>
  <c r="K133" s="1"/>
  <c r="N69"/>
  <c r="I133" s="1"/>
  <c r="L69"/>
  <c r="G133" s="1"/>
  <c r="J69"/>
  <c r="E133" s="1"/>
  <c r="H69"/>
  <c r="C133" s="1"/>
  <c r="D61"/>
  <c r="Y61"/>
  <c r="W61"/>
  <c r="U61"/>
  <c r="S61"/>
  <c r="Q61"/>
  <c r="O61"/>
  <c r="M61"/>
  <c r="K61"/>
  <c r="I61"/>
  <c r="G61"/>
  <c r="Z61"/>
  <c r="U125" s="1"/>
  <c r="X61"/>
  <c r="S125" s="1"/>
  <c r="V61"/>
  <c r="Q125" s="1"/>
  <c r="T61"/>
  <c r="O125" s="1"/>
  <c r="R61"/>
  <c r="M125" s="1"/>
  <c r="P61"/>
  <c r="K125" s="1"/>
  <c r="N61"/>
  <c r="I125" s="1"/>
  <c r="L61"/>
  <c r="G125" s="1"/>
  <c r="J61"/>
  <c r="E125" s="1"/>
  <c r="H61"/>
  <c r="C125" s="1"/>
  <c r="D53"/>
  <c r="Z53"/>
  <c r="X53"/>
  <c r="V53"/>
  <c r="T53"/>
  <c r="R53"/>
  <c r="P53"/>
  <c r="N53"/>
  <c r="L53"/>
  <c r="J53"/>
  <c r="H53"/>
  <c r="Y53"/>
  <c r="U53"/>
  <c r="P117" s="1"/>
  <c r="Q53"/>
  <c r="M53"/>
  <c r="H117" s="1"/>
  <c r="I53"/>
  <c r="W53"/>
  <c r="S53"/>
  <c r="N117" s="1"/>
  <c r="O53"/>
  <c r="K53"/>
  <c r="F117" s="1"/>
  <c r="G53"/>
  <c r="D45"/>
  <c r="Y45"/>
  <c r="W45"/>
  <c r="U45"/>
  <c r="S45"/>
  <c r="Q45"/>
  <c r="O45"/>
  <c r="M45"/>
  <c r="K45"/>
  <c r="I45"/>
  <c r="G45"/>
  <c r="Z45"/>
  <c r="U109" s="1"/>
  <c r="Y195" s="1"/>
  <c r="X45"/>
  <c r="S109" s="1"/>
  <c r="W195" s="1"/>
  <c r="V45"/>
  <c r="Q109" s="1"/>
  <c r="U195" s="1"/>
  <c r="T45"/>
  <c r="O109" s="1"/>
  <c r="S195" s="1"/>
  <c r="R45"/>
  <c r="M109" s="1"/>
  <c r="Q195" s="1"/>
  <c r="P45"/>
  <c r="K109" s="1"/>
  <c r="O195" s="1"/>
  <c r="N45"/>
  <c r="I109" s="1"/>
  <c r="M195" s="1"/>
  <c r="L45"/>
  <c r="G109" s="1"/>
  <c r="K195" s="1"/>
  <c r="J45"/>
  <c r="E109" s="1"/>
  <c r="I195" s="1"/>
  <c r="H45"/>
  <c r="C109" s="1"/>
  <c r="G195" s="1"/>
  <c r="D96"/>
  <c r="Y96"/>
  <c r="W96"/>
  <c r="U96"/>
  <c r="S96"/>
  <c r="Q96"/>
  <c r="O96"/>
  <c r="M96"/>
  <c r="K96"/>
  <c r="I96"/>
  <c r="G96"/>
  <c r="Z96"/>
  <c r="U160" s="1"/>
  <c r="X96"/>
  <c r="S160" s="1"/>
  <c r="V96"/>
  <c r="Q160" s="1"/>
  <c r="T96"/>
  <c r="O160" s="1"/>
  <c r="R96"/>
  <c r="M160" s="1"/>
  <c r="P96"/>
  <c r="K160" s="1"/>
  <c r="N96"/>
  <c r="I160" s="1"/>
  <c r="L96"/>
  <c r="G160" s="1"/>
  <c r="J96"/>
  <c r="E160" s="1"/>
  <c r="H96"/>
  <c r="C160" s="1"/>
  <c r="D88"/>
  <c r="Y88"/>
  <c r="W88"/>
  <c r="U88"/>
  <c r="S88"/>
  <c r="Q88"/>
  <c r="O88"/>
  <c r="M88"/>
  <c r="K88"/>
  <c r="I88"/>
  <c r="G88"/>
  <c r="Z88"/>
  <c r="U152" s="1"/>
  <c r="X88"/>
  <c r="S152" s="1"/>
  <c r="W210" s="1"/>
  <c r="V88"/>
  <c r="Q152" s="1"/>
  <c r="T88"/>
  <c r="O152" s="1"/>
  <c r="S210" s="1"/>
  <c r="R88"/>
  <c r="M152" s="1"/>
  <c r="P88"/>
  <c r="K152" s="1"/>
  <c r="O210" s="1"/>
  <c r="N88"/>
  <c r="I152" s="1"/>
  <c r="L88"/>
  <c r="G152" s="1"/>
  <c r="K210" s="1"/>
  <c r="J88"/>
  <c r="E152" s="1"/>
  <c r="H88"/>
  <c r="C152" s="1"/>
  <c r="G210" s="1"/>
  <c r="D76"/>
  <c r="D64"/>
  <c r="Y64"/>
  <c r="W64"/>
  <c r="U64"/>
  <c r="S64"/>
  <c r="Q64"/>
  <c r="O64"/>
  <c r="M64"/>
  <c r="K64"/>
  <c r="I64"/>
  <c r="G64"/>
  <c r="Z64"/>
  <c r="U128" s="1"/>
  <c r="X64"/>
  <c r="S128" s="1"/>
  <c r="V64"/>
  <c r="Q128" s="1"/>
  <c r="T64"/>
  <c r="O128" s="1"/>
  <c r="R64"/>
  <c r="M128" s="1"/>
  <c r="P64"/>
  <c r="K128" s="1"/>
  <c r="N64"/>
  <c r="I128" s="1"/>
  <c r="L64"/>
  <c r="G128" s="1"/>
  <c r="J64"/>
  <c r="E128" s="1"/>
  <c r="H64"/>
  <c r="C128" s="1"/>
  <c r="D48"/>
  <c r="Y48"/>
  <c r="W48"/>
  <c r="U48"/>
  <c r="S48"/>
  <c r="Q48"/>
  <c r="O48"/>
  <c r="M48"/>
  <c r="K48"/>
  <c r="I48"/>
  <c r="G48"/>
  <c r="Z48"/>
  <c r="U112" s="1"/>
  <c r="X48"/>
  <c r="S112" s="1"/>
  <c r="V48"/>
  <c r="Q112" s="1"/>
  <c r="T48"/>
  <c r="O112" s="1"/>
  <c r="R48"/>
  <c r="M112" s="1"/>
  <c r="P48"/>
  <c r="K112" s="1"/>
  <c r="N48"/>
  <c r="I112" s="1"/>
  <c r="L48"/>
  <c r="G112" s="1"/>
  <c r="J48"/>
  <c r="E112" s="1"/>
  <c r="H48"/>
  <c r="C112" s="1"/>
  <c r="D99"/>
  <c r="Y99"/>
  <c r="W99"/>
  <c r="U99"/>
  <c r="S99"/>
  <c r="Q99"/>
  <c r="O99"/>
  <c r="M99"/>
  <c r="K99"/>
  <c r="I99"/>
  <c r="G99"/>
  <c r="Z99"/>
  <c r="U163" s="1"/>
  <c r="X99"/>
  <c r="S163" s="1"/>
  <c r="V99"/>
  <c r="Q163" s="1"/>
  <c r="T99"/>
  <c r="O163" s="1"/>
  <c r="R99"/>
  <c r="M163" s="1"/>
  <c r="P99"/>
  <c r="K163" s="1"/>
  <c r="N99"/>
  <c r="I163" s="1"/>
  <c r="L99"/>
  <c r="G163" s="1"/>
  <c r="J99"/>
  <c r="E163" s="1"/>
  <c r="H99"/>
  <c r="C163" s="1"/>
  <c r="D91"/>
  <c r="Y91"/>
  <c r="W91"/>
  <c r="U91"/>
  <c r="S91"/>
  <c r="Q91"/>
  <c r="O91"/>
  <c r="M91"/>
  <c r="K91"/>
  <c r="I91"/>
  <c r="G91"/>
  <c r="Z91"/>
  <c r="U155" s="1"/>
  <c r="X91"/>
  <c r="S155" s="1"/>
  <c r="V91"/>
  <c r="Q155" s="1"/>
  <c r="T91"/>
  <c r="O155" s="1"/>
  <c r="R91"/>
  <c r="M155" s="1"/>
  <c r="P91"/>
  <c r="K155" s="1"/>
  <c r="N91"/>
  <c r="I155" s="1"/>
  <c r="L91"/>
  <c r="G155" s="1"/>
  <c r="J91"/>
  <c r="E155" s="1"/>
  <c r="H91"/>
  <c r="C155" s="1"/>
  <c r="D83"/>
  <c r="Y83"/>
  <c r="W83"/>
  <c r="U83"/>
  <c r="S83"/>
  <c r="Q83"/>
  <c r="O83"/>
  <c r="M83"/>
  <c r="K83"/>
  <c r="I83"/>
  <c r="G83"/>
  <c r="Z83"/>
  <c r="U147" s="1"/>
  <c r="X83"/>
  <c r="S147" s="1"/>
  <c r="V83"/>
  <c r="Q147" s="1"/>
  <c r="T83"/>
  <c r="O147" s="1"/>
  <c r="R83"/>
  <c r="M147" s="1"/>
  <c r="P83"/>
  <c r="K147" s="1"/>
  <c r="N83"/>
  <c r="I147" s="1"/>
  <c r="L83"/>
  <c r="G147" s="1"/>
  <c r="J83"/>
  <c r="E147" s="1"/>
  <c r="H83"/>
  <c r="C147" s="1"/>
  <c r="D75"/>
  <c r="Y75"/>
  <c r="W75"/>
  <c r="U75"/>
  <c r="S75"/>
  <c r="Q75"/>
  <c r="O75"/>
  <c r="M75"/>
  <c r="K75"/>
  <c r="I75"/>
  <c r="G75"/>
  <c r="Z75"/>
  <c r="U139" s="1"/>
  <c r="X75"/>
  <c r="S139" s="1"/>
  <c r="V75"/>
  <c r="Q139" s="1"/>
  <c r="T75"/>
  <c r="O139" s="1"/>
  <c r="R75"/>
  <c r="M139" s="1"/>
  <c r="P75"/>
  <c r="K139" s="1"/>
  <c r="N75"/>
  <c r="I139" s="1"/>
  <c r="L75"/>
  <c r="G139" s="1"/>
  <c r="J75"/>
  <c r="E139" s="1"/>
  <c r="H75"/>
  <c r="C139" s="1"/>
  <c r="D67"/>
  <c r="Y67"/>
  <c r="W67"/>
  <c r="U67"/>
  <c r="S67"/>
  <c r="Q67"/>
  <c r="O67"/>
  <c r="M67"/>
  <c r="K67"/>
  <c r="I67"/>
  <c r="G67"/>
  <c r="Z67"/>
  <c r="U131" s="1"/>
  <c r="X67"/>
  <c r="S131" s="1"/>
  <c r="V67"/>
  <c r="Q131" s="1"/>
  <c r="T67"/>
  <c r="O131" s="1"/>
  <c r="R67"/>
  <c r="M131" s="1"/>
  <c r="P67"/>
  <c r="K131" s="1"/>
  <c r="N67"/>
  <c r="I131" s="1"/>
  <c r="L67"/>
  <c r="G131" s="1"/>
  <c r="J67"/>
  <c r="E131" s="1"/>
  <c r="H67"/>
  <c r="C131" s="1"/>
  <c r="D59"/>
  <c r="Y59"/>
  <c r="W59"/>
  <c r="U59"/>
  <c r="S59"/>
  <c r="Q59"/>
  <c r="O59"/>
  <c r="M59"/>
  <c r="K59"/>
  <c r="I59"/>
  <c r="G59"/>
  <c r="Z59"/>
  <c r="U123" s="1"/>
  <c r="X59"/>
  <c r="S123" s="1"/>
  <c r="V59"/>
  <c r="Q123" s="1"/>
  <c r="T59"/>
  <c r="O123" s="1"/>
  <c r="R59"/>
  <c r="M123" s="1"/>
  <c r="P59"/>
  <c r="K123" s="1"/>
  <c r="N59"/>
  <c r="I123" s="1"/>
  <c r="L59"/>
  <c r="G123" s="1"/>
  <c r="J59"/>
  <c r="E123" s="1"/>
  <c r="H59"/>
  <c r="C123" s="1"/>
  <c r="D51"/>
  <c r="Z51"/>
  <c r="Y51"/>
  <c r="W51"/>
  <c r="U51"/>
  <c r="S51"/>
  <c r="Q51"/>
  <c r="O51"/>
  <c r="M51"/>
  <c r="K51"/>
  <c r="I51"/>
  <c r="G51"/>
  <c r="X51"/>
  <c r="V51"/>
  <c r="T51"/>
  <c r="R51"/>
  <c r="P51"/>
  <c r="N51"/>
  <c r="L51"/>
  <c r="J51"/>
  <c r="H51"/>
  <c r="E90"/>
  <c r="Y90" s="1"/>
  <c r="E82"/>
  <c r="Y82" s="1"/>
  <c r="E74"/>
  <c r="Y74" s="1"/>
  <c r="E66"/>
  <c r="Y66" s="1"/>
  <c r="E58"/>
  <c r="Y58" s="1"/>
  <c r="E50"/>
  <c r="Y50" s="1"/>
  <c r="E42"/>
  <c r="Y42" s="1"/>
  <c r="E95"/>
  <c r="Y95" s="1"/>
  <c r="E87"/>
  <c r="E79"/>
  <c r="Y79" s="1"/>
  <c r="E71"/>
  <c r="E63"/>
  <c r="Y63" s="1"/>
  <c r="E55"/>
  <c r="E47"/>
  <c r="Y47" s="1"/>
  <c r="E100"/>
  <c r="E92"/>
  <c r="Y92" s="1"/>
  <c r="E84"/>
  <c r="E76"/>
  <c r="Y76" s="1"/>
  <c r="E68"/>
  <c r="Y68" s="1"/>
  <c r="E60"/>
  <c r="Y60" s="1"/>
  <c r="E52"/>
  <c r="Z52" s="1"/>
  <c r="E44"/>
  <c r="Y44" s="1"/>
  <c r="E97"/>
  <c r="E89"/>
  <c r="Y89" s="1"/>
  <c r="E81"/>
  <c r="E73"/>
  <c r="Y73" s="1"/>
  <c r="E65"/>
  <c r="E57"/>
  <c r="Y57" s="1"/>
  <c r="E49"/>
  <c r="Y49" s="1"/>
  <c r="D98"/>
  <c r="Y98"/>
  <c r="W98"/>
  <c r="U98"/>
  <c r="S98"/>
  <c r="Q98"/>
  <c r="O98"/>
  <c r="M98"/>
  <c r="K98"/>
  <c r="I98"/>
  <c r="G98"/>
  <c r="Z98"/>
  <c r="U162" s="1"/>
  <c r="X98"/>
  <c r="S162" s="1"/>
  <c r="V98"/>
  <c r="Q162" s="1"/>
  <c r="T98"/>
  <c r="O162" s="1"/>
  <c r="R98"/>
  <c r="M162" s="1"/>
  <c r="P98"/>
  <c r="K162" s="1"/>
  <c r="N98"/>
  <c r="I162" s="1"/>
  <c r="L98"/>
  <c r="G162" s="1"/>
  <c r="J98"/>
  <c r="E162" s="1"/>
  <c r="H98"/>
  <c r="C162" s="1"/>
  <c r="D82"/>
  <c r="W82"/>
  <c r="O82"/>
  <c r="G82"/>
  <c r="T82"/>
  <c r="L82"/>
  <c r="D66"/>
  <c r="S66"/>
  <c r="K66"/>
  <c r="X66"/>
  <c r="P66"/>
  <c r="H66"/>
  <c r="D50"/>
  <c r="W50"/>
  <c r="O50"/>
  <c r="G50"/>
  <c r="T50"/>
  <c r="L50"/>
  <c r="D97"/>
  <c r="Y97"/>
  <c r="Q97"/>
  <c r="I97"/>
  <c r="V97"/>
  <c r="N97"/>
  <c r="D81"/>
  <c r="S81"/>
  <c r="O81"/>
  <c r="K81"/>
  <c r="G81"/>
  <c r="X81"/>
  <c r="T81"/>
  <c r="P81"/>
  <c r="L81"/>
  <c r="H81"/>
  <c r="D65"/>
  <c r="Y65"/>
  <c r="U65"/>
  <c r="Q65"/>
  <c r="M65"/>
  <c r="I65"/>
  <c r="Z65"/>
  <c r="V65"/>
  <c r="R65"/>
  <c r="N65"/>
  <c r="J65"/>
  <c r="H65"/>
  <c r="D100"/>
  <c r="Y100"/>
  <c r="W100"/>
  <c r="U100"/>
  <c r="S100"/>
  <c r="Q100"/>
  <c r="O100"/>
  <c r="M100"/>
  <c r="K100"/>
  <c r="I100"/>
  <c r="G100"/>
  <c r="Z100"/>
  <c r="U164" s="1"/>
  <c r="X100"/>
  <c r="S164" s="1"/>
  <c r="V100"/>
  <c r="Q164" s="1"/>
  <c r="T100"/>
  <c r="O164" s="1"/>
  <c r="R100"/>
  <c r="M164" s="1"/>
  <c r="P100"/>
  <c r="K164" s="1"/>
  <c r="N100"/>
  <c r="I164" s="1"/>
  <c r="L100"/>
  <c r="G164" s="1"/>
  <c r="J100"/>
  <c r="E164" s="1"/>
  <c r="H100"/>
  <c r="C164" s="1"/>
  <c r="D84"/>
  <c r="Y84"/>
  <c r="W84"/>
  <c r="U84"/>
  <c r="S84"/>
  <c r="Q84"/>
  <c r="O84"/>
  <c r="M84"/>
  <c r="K84"/>
  <c r="I84"/>
  <c r="G84"/>
  <c r="Z84"/>
  <c r="U148" s="1"/>
  <c r="X84"/>
  <c r="S148" s="1"/>
  <c r="V84"/>
  <c r="Q148" s="1"/>
  <c r="T84"/>
  <c r="O148" s="1"/>
  <c r="R84"/>
  <c r="M148" s="1"/>
  <c r="P84"/>
  <c r="K148" s="1"/>
  <c r="N84"/>
  <c r="I148" s="1"/>
  <c r="L84"/>
  <c r="G148" s="1"/>
  <c r="J84"/>
  <c r="E148" s="1"/>
  <c r="H84"/>
  <c r="C148" s="1"/>
  <c r="D56"/>
  <c r="Y56"/>
  <c r="W56"/>
  <c r="U56"/>
  <c r="S56"/>
  <c r="Q56"/>
  <c r="O56"/>
  <c r="M56"/>
  <c r="K56"/>
  <c r="I56"/>
  <c r="G56"/>
  <c r="Z56"/>
  <c r="U120" s="1"/>
  <c r="X56"/>
  <c r="S120" s="1"/>
  <c r="V56"/>
  <c r="Q120" s="1"/>
  <c r="T56"/>
  <c r="O120" s="1"/>
  <c r="R56"/>
  <c r="M120" s="1"/>
  <c r="P56"/>
  <c r="K120" s="1"/>
  <c r="N56"/>
  <c r="I120" s="1"/>
  <c r="L56"/>
  <c r="G120" s="1"/>
  <c r="J56"/>
  <c r="E120" s="1"/>
  <c r="H56"/>
  <c r="C120" s="1"/>
  <c r="D87"/>
  <c r="Y87"/>
  <c r="W87"/>
  <c r="U87"/>
  <c r="S87"/>
  <c r="Q87"/>
  <c r="O87"/>
  <c r="M87"/>
  <c r="K87"/>
  <c r="I87"/>
  <c r="G87"/>
  <c r="Z87"/>
  <c r="U151" s="1"/>
  <c r="X87"/>
  <c r="S151" s="1"/>
  <c r="V87"/>
  <c r="Q151" s="1"/>
  <c r="T87"/>
  <c r="O151" s="1"/>
  <c r="R87"/>
  <c r="M151" s="1"/>
  <c r="P87"/>
  <c r="K151" s="1"/>
  <c r="N87"/>
  <c r="I151" s="1"/>
  <c r="L87"/>
  <c r="G151" s="1"/>
  <c r="J87"/>
  <c r="E151" s="1"/>
  <c r="H87"/>
  <c r="C151" s="1"/>
  <c r="D71"/>
  <c r="Y71"/>
  <c r="W71"/>
  <c r="U71"/>
  <c r="S71"/>
  <c r="Q71"/>
  <c r="O71"/>
  <c r="M71"/>
  <c r="K71"/>
  <c r="I71"/>
  <c r="G71"/>
  <c r="Z71"/>
  <c r="U135" s="1"/>
  <c r="X71"/>
  <c r="S135" s="1"/>
  <c r="V71"/>
  <c r="Q135" s="1"/>
  <c r="T71"/>
  <c r="O135" s="1"/>
  <c r="R71"/>
  <c r="M135" s="1"/>
  <c r="P71"/>
  <c r="K135" s="1"/>
  <c r="N71"/>
  <c r="I135" s="1"/>
  <c r="L71"/>
  <c r="G135" s="1"/>
  <c r="J71"/>
  <c r="E135" s="1"/>
  <c r="H71"/>
  <c r="C135" s="1"/>
  <c r="D55"/>
  <c r="Y55"/>
  <c r="W55"/>
  <c r="U55"/>
  <c r="Z55"/>
  <c r="X55"/>
  <c r="V55"/>
  <c r="T55"/>
  <c r="R55"/>
  <c r="P55"/>
  <c r="N55"/>
  <c r="L55"/>
  <c r="J55"/>
  <c r="H55"/>
  <c r="Q55"/>
  <c r="M55"/>
  <c r="I55"/>
  <c r="S55"/>
  <c r="O55"/>
  <c r="J119" s="1"/>
  <c r="K55"/>
  <c r="G55"/>
  <c r="E325" i="4" l="1" a="1"/>
  <c r="E325" s="1"/>
  <c r="D325"/>
  <c r="E328" a="1"/>
  <c r="E328" s="1"/>
  <c r="D328"/>
  <c r="E336" a="1"/>
  <c r="E336" s="1"/>
  <c r="D336"/>
  <c r="E329" a="1"/>
  <c r="E329" s="1"/>
  <c r="D329"/>
  <c r="E337" a="1"/>
  <c r="E337" s="1"/>
  <c r="D337"/>
  <c r="E322" a="1"/>
  <c r="E322" s="1"/>
  <c r="D322"/>
  <c r="E327" a="1"/>
  <c r="E327" s="1"/>
  <c r="D327"/>
  <c r="C344"/>
  <c r="E319" a="1"/>
  <c r="E319" s="1"/>
  <c r="D319"/>
  <c r="E334" a="1"/>
  <c r="E334" s="1"/>
  <c r="D334"/>
  <c r="E342" a="1"/>
  <c r="E342" s="1"/>
  <c r="D342"/>
  <c r="E335" a="1"/>
  <c r="E335" s="1"/>
  <c r="D335"/>
  <c r="E324" a="1"/>
  <c r="E324" s="1"/>
  <c r="D324"/>
  <c r="E301" a="1"/>
  <c r="E301" s="1"/>
  <c r="D301"/>
  <c r="E289" a="1"/>
  <c r="E289" s="1"/>
  <c r="D289"/>
  <c r="E305" a="1"/>
  <c r="E305" s="1"/>
  <c r="D305"/>
  <c r="E299" a="1"/>
  <c r="E299" s="1"/>
  <c r="D299"/>
  <c r="E302" a="1"/>
  <c r="E302" s="1"/>
  <c r="D302"/>
  <c r="E303" a="1"/>
  <c r="E303" s="1"/>
  <c r="D303"/>
  <c r="E292" a="1"/>
  <c r="E292" s="1"/>
  <c r="D292"/>
  <c r="E295" a="1"/>
  <c r="E295" s="1"/>
  <c r="D295"/>
  <c r="E304" a="1"/>
  <c r="E304" s="1"/>
  <c r="D304"/>
  <c r="E307" a="1"/>
  <c r="E307" s="1"/>
  <c r="D307"/>
  <c r="E294" a="1"/>
  <c r="E294" s="1"/>
  <c r="D294"/>
  <c r="E300" a="1"/>
  <c r="E300" s="1"/>
  <c r="D300"/>
  <c r="E321" a="1"/>
  <c r="E321" s="1"/>
  <c r="D321"/>
  <c r="E332" a="1"/>
  <c r="E332" s="1"/>
  <c r="D332"/>
  <c r="E340" a="1"/>
  <c r="E340" s="1"/>
  <c r="D340"/>
  <c r="E333" a="1"/>
  <c r="E333" s="1"/>
  <c r="D333"/>
  <c r="E341" a="1"/>
  <c r="E341" s="1"/>
  <c r="D341"/>
  <c r="E326" a="1"/>
  <c r="E326" s="1"/>
  <c r="D326"/>
  <c r="E323" a="1"/>
  <c r="E323" s="1"/>
  <c r="D323"/>
  <c r="E330" a="1"/>
  <c r="E330" s="1"/>
  <c r="D330"/>
  <c r="F14" i="6"/>
  <c r="F16" s="1"/>
  <c r="E338" i="4" a="1"/>
  <c r="E338" s="1"/>
  <c r="D338"/>
  <c r="E331" a="1"/>
  <c r="E331" s="1"/>
  <c r="D331"/>
  <c r="E339" a="1"/>
  <c r="E339" s="1"/>
  <c r="D339"/>
  <c r="E320" a="1"/>
  <c r="E320" s="1"/>
  <c r="D320"/>
  <c r="E293" a="1"/>
  <c r="E293" s="1"/>
  <c r="D293"/>
  <c r="E309" a="1"/>
  <c r="E309" s="1"/>
  <c r="D309"/>
  <c r="E297" a="1"/>
  <c r="E297" s="1"/>
  <c r="D297"/>
  <c r="E310" a="1"/>
  <c r="E310" s="1"/>
  <c r="D310"/>
  <c r="E291" a="1"/>
  <c r="E291" s="1"/>
  <c r="D291"/>
  <c r="E14" i="6"/>
  <c r="E16" s="1"/>
  <c r="E306" i="4" a="1"/>
  <c r="E306" s="1"/>
  <c r="D306"/>
  <c r="E296" a="1"/>
  <c r="E296" s="1"/>
  <c r="D296"/>
  <c r="E288" a="1"/>
  <c r="E288" s="1"/>
  <c r="D288"/>
  <c r="E287" a="1"/>
  <c r="E287" s="1"/>
  <c r="C312"/>
  <c r="D287"/>
  <c r="E308" a="1"/>
  <c r="E308" s="1"/>
  <c r="D308"/>
  <c r="E298" a="1"/>
  <c r="E298" s="1"/>
  <c r="D298"/>
  <c r="E290" a="1"/>
  <c r="E290" s="1"/>
  <c r="D290"/>
  <c r="C320" i="1"/>
  <c r="C341"/>
  <c r="C337"/>
  <c r="C333"/>
  <c r="C329"/>
  <c r="C325"/>
  <c r="C321"/>
  <c r="C342"/>
  <c r="C338"/>
  <c r="C334"/>
  <c r="C330"/>
  <c r="C326"/>
  <c r="C322"/>
  <c r="C339"/>
  <c r="C335"/>
  <c r="C331"/>
  <c r="C327"/>
  <c r="C323"/>
  <c r="C319"/>
  <c r="C340"/>
  <c r="C336"/>
  <c r="C332"/>
  <c r="C328"/>
  <c r="C324"/>
  <c r="C287"/>
  <c r="C296"/>
  <c r="C298"/>
  <c r="C309"/>
  <c r="C301"/>
  <c r="C293"/>
  <c r="C308"/>
  <c r="C300"/>
  <c r="C292"/>
  <c r="C310"/>
  <c r="C302"/>
  <c r="C294"/>
  <c r="C307"/>
  <c r="C303"/>
  <c r="C299"/>
  <c r="C295"/>
  <c r="C291"/>
  <c r="C304"/>
  <c r="C288"/>
  <c r="C306"/>
  <c r="C290"/>
  <c r="C305"/>
  <c r="C297"/>
  <c r="C289"/>
  <c r="H50"/>
  <c r="P50"/>
  <c r="X50"/>
  <c r="K50"/>
  <c r="S50"/>
  <c r="L66"/>
  <c r="T66"/>
  <c r="G66"/>
  <c r="O66"/>
  <c r="W66"/>
  <c r="H82"/>
  <c r="P82"/>
  <c r="X82"/>
  <c r="K82"/>
  <c r="S82"/>
  <c r="E115"/>
  <c r="I196" s="1"/>
  <c r="I115"/>
  <c r="M196" s="1"/>
  <c r="M115"/>
  <c r="Q196" s="1"/>
  <c r="Q115"/>
  <c r="U196" s="1"/>
  <c r="I210"/>
  <c r="M210"/>
  <c r="Q210"/>
  <c r="U210"/>
  <c r="Y210"/>
  <c r="J117"/>
  <c r="R117"/>
  <c r="S141"/>
  <c r="I129"/>
  <c r="Q129"/>
  <c r="C145"/>
  <c r="K145"/>
  <c r="C114"/>
  <c r="K114"/>
  <c r="S114"/>
  <c r="G130"/>
  <c r="O130"/>
  <c r="C146"/>
  <c r="K146"/>
  <c r="S146"/>
  <c r="E164" i="4"/>
  <c r="I164"/>
  <c r="M164"/>
  <c r="Q164"/>
  <c r="U164"/>
  <c r="U148"/>
  <c r="F162"/>
  <c r="J162"/>
  <c r="N162"/>
  <c r="R162"/>
  <c r="V162"/>
  <c r="F158"/>
  <c r="J158"/>
  <c r="N158"/>
  <c r="R158"/>
  <c r="V158"/>
  <c r="F154"/>
  <c r="J154"/>
  <c r="N154"/>
  <c r="R154"/>
  <c r="V154"/>
  <c r="F150"/>
  <c r="J150"/>
  <c r="N150"/>
  <c r="R150"/>
  <c r="V150"/>
  <c r="C147"/>
  <c r="G147"/>
  <c r="N147"/>
  <c r="V147"/>
  <c r="H119" i="1"/>
  <c r="D162"/>
  <c r="H162"/>
  <c r="L162"/>
  <c r="P162"/>
  <c r="T162"/>
  <c r="U115"/>
  <c r="Y196" s="1"/>
  <c r="F123"/>
  <c r="J123"/>
  <c r="N123"/>
  <c r="D131"/>
  <c r="H131"/>
  <c r="L131"/>
  <c r="P131"/>
  <c r="T131"/>
  <c r="C141"/>
  <c r="K141"/>
  <c r="J118"/>
  <c r="R118"/>
  <c r="C142"/>
  <c r="K142"/>
  <c r="N119"/>
  <c r="D129"/>
  <c r="R123"/>
  <c r="F139"/>
  <c r="J139"/>
  <c r="N139"/>
  <c r="R139"/>
  <c r="D147"/>
  <c r="H147"/>
  <c r="L147"/>
  <c r="P147"/>
  <c r="T147"/>
  <c r="F155"/>
  <c r="J155"/>
  <c r="N155"/>
  <c r="R155"/>
  <c r="D163"/>
  <c r="H163"/>
  <c r="L163"/>
  <c r="P163"/>
  <c r="T163"/>
  <c r="F112"/>
  <c r="J112"/>
  <c r="N112"/>
  <c r="R112"/>
  <c r="D128"/>
  <c r="H128"/>
  <c r="L128"/>
  <c r="P128"/>
  <c r="T128"/>
  <c r="D152"/>
  <c r="H152"/>
  <c r="L152"/>
  <c r="P152"/>
  <c r="T152"/>
  <c r="F160"/>
  <c r="J160"/>
  <c r="N160"/>
  <c r="R160"/>
  <c r="D109"/>
  <c r="H195" s="1"/>
  <c r="H109"/>
  <c r="L195" s="1"/>
  <c r="L109"/>
  <c r="P195" s="1"/>
  <c r="P109"/>
  <c r="T195" s="1"/>
  <c r="T109"/>
  <c r="X195" s="1"/>
  <c r="G117"/>
  <c r="O117"/>
  <c r="D125"/>
  <c r="H125"/>
  <c r="L125"/>
  <c r="P125"/>
  <c r="T125"/>
  <c r="F119"/>
  <c r="C119"/>
  <c r="G197" s="1"/>
  <c r="K119"/>
  <c r="O197" s="1"/>
  <c r="S119"/>
  <c r="W197" s="1"/>
  <c r="F135"/>
  <c r="J135"/>
  <c r="N135"/>
  <c r="R135"/>
  <c r="D151"/>
  <c r="H151"/>
  <c r="L151"/>
  <c r="P151"/>
  <c r="T151"/>
  <c r="F120"/>
  <c r="J120"/>
  <c r="N197" s="1"/>
  <c r="N120"/>
  <c r="R197" s="1"/>
  <c r="R120"/>
  <c r="D148"/>
  <c r="H148"/>
  <c r="L148"/>
  <c r="P148"/>
  <c r="T148"/>
  <c r="F164"/>
  <c r="J164"/>
  <c r="N164"/>
  <c r="R164"/>
  <c r="E129"/>
  <c r="M129"/>
  <c r="U129"/>
  <c r="G145"/>
  <c r="O145"/>
  <c r="L65"/>
  <c r="P65"/>
  <c r="L129" s="1"/>
  <c r="T65"/>
  <c r="X65"/>
  <c r="T129" s="1"/>
  <c r="G65"/>
  <c r="C129" s="1"/>
  <c r="K65"/>
  <c r="O65"/>
  <c r="S65"/>
  <c r="W65"/>
  <c r="J81"/>
  <c r="F145" s="1"/>
  <c r="N81"/>
  <c r="R81"/>
  <c r="N145" s="1"/>
  <c r="V81"/>
  <c r="Z81"/>
  <c r="I81"/>
  <c r="M81"/>
  <c r="Q81"/>
  <c r="W81"/>
  <c r="J97"/>
  <c r="R97"/>
  <c r="M161" s="1"/>
  <c r="Z97"/>
  <c r="U161" s="1"/>
  <c r="M97"/>
  <c r="I161" s="1"/>
  <c r="U97"/>
  <c r="Q161" s="1"/>
  <c r="S145"/>
  <c r="E161"/>
  <c r="U81"/>
  <c r="Y81"/>
  <c r="T145" s="1"/>
  <c r="H97"/>
  <c r="L97"/>
  <c r="P97"/>
  <c r="L161" s="1"/>
  <c r="T97"/>
  <c r="X97"/>
  <c r="T161" s="1"/>
  <c r="G97"/>
  <c r="K97"/>
  <c r="O97"/>
  <c r="J161" s="1"/>
  <c r="S97"/>
  <c r="N161" s="1"/>
  <c r="W97"/>
  <c r="D161"/>
  <c r="P161"/>
  <c r="M212"/>
  <c r="U212"/>
  <c r="G212"/>
  <c r="O212"/>
  <c r="W212"/>
  <c r="G211"/>
  <c r="K211"/>
  <c r="O211"/>
  <c r="S211"/>
  <c r="W211"/>
  <c r="K202"/>
  <c r="S202"/>
  <c r="K212"/>
  <c r="S212"/>
  <c r="I211"/>
  <c r="M211"/>
  <c r="Q211"/>
  <c r="U211"/>
  <c r="Y211"/>
  <c r="I193"/>
  <c r="I194"/>
  <c r="M193"/>
  <c r="M194"/>
  <c r="Q193"/>
  <c r="Q194"/>
  <c r="U193"/>
  <c r="U194"/>
  <c r="Y193"/>
  <c r="Y194"/>
  <c r="V160"/>
  <c r="V134"/>
  <c r="G194"/>
  <c r="G193"/>
  <c r="K194"/>
  <c r="K193"/>
  <c r="O194"/>
  <c r="O193"/>
  <c r="S194"/>
  <c r="S193"/>
  <c r="W194"/>
  <c r="W193"/>
  <c r="V148"/>
  <c r="F133"/>
  <c r="J133"/>
  <c r="N133"/>
  <c r="R133"/>
  <c r="H141"/>
  <c r="P141"/>
  <c r="F149"/>
  <c r="J149"/>
  <c r="N149"/>
  <c r="R149"/>
  <c r="D157"/>
  <c r="H157"/>
  <c r="L157"/>
  <c r="P157"/>
  <c r="T157"/>
  <c r="F165"/>
  <c r="J165"/>
  <c r="N165"/>
  <c r="R165"/>
  <c r="D110"/>
  <c r="H110"/>
  <c r="L110"/>
  <c r="P110"/>
  <c r="T110"/>
  <c r="G118"/>
  <c r="O118"/>
  <c r="D126"/>
  <c r="H126"/>
  <c r="L126"/>
  <c r="P126"/>
  <c r="T126"/>
  <c r="F134"/>
  <c r="J134"/>
  <c r="N134"/>
  <c r="R134"/>
  <c r="H142"/>
  <c r="P142"/>
  <c r="T142"/>
  <c r="F150"/>
  <c r="J150"/>
  <c r="N150"/>
  <c r="R150"/>
  <c r="D158"/>
  <c r="H158"/>
  <c r="L158"/>
  <c r="P158"/>
  <c r="T158"/>
  <c r="F107"/>
  <c r="J107"/>
  <c r="N107"/>
  <c r="R107"/>
  <c r="F144"/>
  <c r="J144"/>
  <c r="N144"/>
  <c r="R144"/>
  <c r="F136"/>
  <c r="J136"/>
  <c r="N136"/>
  <c r="R136"/>
  <c r="V144"/>
  <c r="V118"/>
  <c r="V150"/>
  <c r="T119"/>
  <c r="D119"/>
  <c r="L119"/>
  <c r="E119"/>
  <c r="I197" s="1"/>
  <c r="I119"/>
  <c r="M197" s="1"/>
  <c r="M119"/>
  <c r="Q197" s="1"/>
  <c r="Q119"/>
  <c r="U197" s="1"/>
  <c r="U119"/>
  <c r="Y197" s="1"/>
  <c r="R119"/>
  <c r="D135"/>
  <c r="H135"/>
  <c r="L135"/>
  <c r="P135"/>
  <c r="T135"/>
  <c r="F151"/>
  <c r="J151"/>
  <c r="N151"/>
  <c r="R151"/>
  <c r="D120"/>
  <c r="H120"/>
  <c r="L197" s="1"/>
  <c r="L120"/>
  <c r="P197" s="1"/>
  <c r="P120"/>
  <c r="T120"/>
  <c r="X197" s="1"/>
  <c r="F148"/>
  <c r="J148"/>
  <c r="N148"/>
  <c r="R148"/>
  <c r="D164"/>
  <c r="H164"/>
  <c r="L164"/>
  <c r="P164"/>
  <c r="T164"/>
  <c r="F129"/>
  <c r="J129"/>
  <c r="N129"/>
  <c r="R129"/>
  <c r="D145"/>
  <c r="H145"/>
  <c r="L145"/>
  <c r="P145"/>
  <c r="F161"/>
  <c r="R161"/>
  <c r="G114"/>
  <c r="O114"/>
  <c r="C130"/>
  <c r="K130"/>
  <c r="S130"/>
  <c r="G146"/>
  <c r="O146"/>
  <c r="F162"/>
  <c r="J162"/>
  <c r="N162"/>
  <c r="R162"/>
  <c r="T114"/>
  <c r="T130"/>
  <c r="T146"/>
  <c r="C115"/>
  <c r="G196" s="1"/>
  <c r="G115"/>
  <c r="K196" s="1"/>
  <c r="K115"/>
  <c r="O196" s="1"/>
  <c r="O115"/>
  <c r="S196" s="1"/>
  <c r="S115"/>
  <c r="W196" s="1"/>
  <c r="D115"/>
  <c r="H196" s="1"/>
  <c r="H115"/>
  <c r="L196" s="1"/>
  <c r="L115"/>
  <c r="P196" s="1"/>
  <c r="P115"/>
  <c r="T196" s="1"/>
  <c r="T115"/>
  <c r="X196" s="1"/>
  <c r="D123"/>
  <c r="H123"/>
  <c r="L123"/>
  <c r="P123"/>
  <c r="T123"/>
  <c r="F131"/>
  <c r="J131"/>
  <c r="N131"/>
  <c r="R131"/>
  <c r="D139"/>
  <c r="H139"/>
  <c r="L139"/>
  <c r="P139"/>
  <c r="T139"/>
  <c r="F147"/>
  <c r="J147"/>
  <c r="N147"/>
  <c r="R147"/>
  <c r="D155"/>
  <c r="H155"/>
  <c r="L155"/>
  <c r="P155"/>
  <c r="T155"/>
  <c r="F163"/>
  <c r="J163"/>
  <c r="N163"/>
  <c r="R163"/>
  <c r="D112"/>
  <c r="H112"/>
  <c r="L112"/>
  <c r="P112"/>
  <c r="T112"/>
  <c r="F128"/>
  <c r="J128"/>
  <c r="N128"/>
  <c r="R128"/>
  <c r="F152"/>
  <c r="J152"/>
  <c r="N210" s="1"/>
  <c r="N152"/>
  <c r="R152"/>
  <c r="V210" s="1"/>
  <c r="D160"/>
  <c r="H160"/>
  <c r="L160"/>
  <c r="P160"/>
  <c r="T160"/>
  <c r="F109"/>
  <c r="J195" s="1"/>
  <c r="J109"/>
  <c r="N195" s="1"/>
  <c r="N109"/>
  <c r="R195" s="1"/>
  <c r="R109"/>
  <c r="V195" s="1"/>
  <c r="D117"/>
  <c r="L117"/>
  <c r="T117"/>
  <c r="E117"/>
  <c r="I117"/>
  <c r="M117"/>
  <c r="Q117"/>
  <c r="U117"/>
  <c r="F125"/>
  <c r="J125"/>
  <c r="N125"/>
  <c r="R125"/>
  <c r="D133"/>
  <c r="H133"/>
  <c r="L133"/>
  <c r="P133"/>
  <c r="T133"/>
  <c r="E141"/>
  <c r="I212" s="1"/>
  <c r="M141"/>
  <c r="Q212" s="1"/>
  <c r="U141"/>
  <c r="Y212" s="1"/>
  <c r="F141"/>
  <c r="J212" s="1"/>
  <c r="J141"/>
  <c r="N212" s="1"/>
  <c r="N141"/>
  <c r="R212" s="1"/>
  <c r="R141"/>
  <c r="V212" s="1"/>
  <c r="D149"/>
  <c r="H149"/>
  <c r="L149"/>
  <c r="P149"/>
  <c r="T149"/>
  <c r="F157"/>
  <c r="J157"/>
  <c r="N157"/>
  <c r="R157"/>
  <c r="D165"/>
  <c r="H165"/>
  <c r="L165"/>
  <c r="P165"/>
  <c r="T165"/>
  <c r="F110"/>
  <c r="J110"/>
  <c r="N110"/>
  <c r="R110"/>
  <c r="D118"/>
  <c r="L118"/>
  <c r="T118"/>
  <c r="E118"/>
  <c r="I118"/>
  <c r="M118"/>
  <c r="Q118"/>
  <c r="U118"/>
  <c r="F126"/>
  <c r="J126"/>
  <c r="N126"/>
  <c r="R126"/>
  <c r="D134"/>
  <c r="H134"/>
  <c r="L134"/>
  <c r="P134"/>
  <c r="T134"/>
  <c r="E142"/>
  <c r="M142"/>
  <c r="F142"/>
  <c r="J142"/>
  <c r="N142"/>
  <c r="R142"/>
  <c r="D150"/>
  <c r="H150"/>
  <c r="L211" s="1"/>
  <c r="L150"/>
  <c r="P150"/>
  <c r="T211" s="1"/>
  <c r="T150"/>
  <c r="F158"/>
  <c r="J158"/>
  <c r="N158"/>
  <c r="R158"/>
  <c r="D107"/>
  <c r="H107"/>
  <c r="L107"/>
  <c r="P107"/>
  <c r="T107"/>
  <c r="D144"/>
  <c r="H144"/>
  <c r="L144"/>
  <c r="P144"/>
  <c r="T144"/>
  <c r="D136"/>
  <c r="H136"/>
  <c r="L136"/>
  <c r="P136"/>
  <c r="T136"/>
  <c r="V151"/>
  <c r="V145"/>
  <c r="V116"/>
  <c r="V123"/>
  <c r="V139"/>
  <c r="V155"/>
  <c r="V128"/>
  <c r="V152"/>
  <c r="V117"/>
  <c r="V133"/>
  <c r="V149"/>
  <c r="V165"/>
  <c r="V110"/>
  <c r="V126"/>
  <c r="V142"/>
  <c r="V158"/>
  <c r="V107"/>
  <c r="V135"/>
  <c r="V120"/>
  <c r="V164"/>
  <c r="V162"/>
  <c r="G119"/>
  <c r="K197" s="1"/>
  <c r="O119"/>
  <c r="S197" s="1"/>
  <c r="P119"/>
  <c r="F115"/>
  <c r="J196" s="1"/>
  <c r="J115"/>
  <c r="N196" s="1"/>
  <c r="N115"/>
  <c r="R196" s="1"/>
  <c r="R115"/>
  <c r="V196" s="1"/>
  <c r="C117"/>
  <c r="K117"/>
  <c r="S117"/>
  <c r="D141"/>
  <c r="L141"/>
  <c r="T141"/>
  <c r="C118"/>
  <c r="K118"/>
  <c r="S118"/>
  <c r="D142"/>
  <c r="L142"/>
  <c r="V136"/>
  <c r="V129"/>
  <c r="V161"/>
  <c r="V115"/>
  <c r="Z196" s="1"/>
  <c r="V131"/>
  <c r="V147"/>
  <c r="V163"/>
  <c r="V112"/>
  <c r="V109"/>
  <c r="Z195" s="1"/>
  <c r="V125"/>
  <c r="V141"/>
  <c r="Z212" s="1"/>
  <c r="V157"/>
  <c r="V119"/>
  <c r="F144" i="4"/>
  <c r="J144"/>
  <c r="N144"/>
  <c r="R144"/>
  <c r="V144"/>
  <c r="F140"/>
  <c r="J140"/>
  <c r="N140"/>
  <c r="R140"/>
  <c r="V140"/>
  <c r="F136"/>
  <c r="J136"/>
  <c r="N136"/>
  <c r="R136"/>
  <c r="V136"/>
  <c r="F132"/>
  <c r="J132"/>
  <c r="N132"/>
  <c r="R132"/>
  <c r="V132"/>
  <c r="F128"/>
  <c r="J128"/>
  <c r="N128"/>
  <c r="R128"/>
  <c r="V128"/>
  <c r="F124"/>
  <c r="J124"/>
  <c r="N124"/>
  <c r="R124"/>
  <c r="V124"/>
  <c r="V120"/>
  <c r="F120"/>
  <c r="J120"/>
  <c r="N120"/>
  <c r="R120"/>
  <c r="F116"/>
  <c r="J116"/>
  <c r="N116"/>
  <c r="R116"/>
  <c r="V116"/>
  <c r="F112"/>
  <c r="J112"/>
  <c r="N112"/>
  <c r="R112"/>
  <c r="V112"/>
  <c r="F163"/>
  <c r="J163"/>
  <c r="N163"/>
  <c r="R163"/>
  <c r="V163"/>
  <c r="F159"/>
  <c r="J159"/>
  <c r="N159"/>
  <c r="R159"/>
  <c r="V159"/>
  <c r="F155"/>
  <c r="J155"/>
  <c r="N155"/>
  <c r="R155"/>
  <c r="V155"/>
  <c r="F151"/>
  <c r="J151"/>
  <c r="N151"/>
  <c r="R151"/>
  <c r="V151"/>
  <c r="D164"/>
  <c r="H164"/>
  <c r="L164"/>
  <c r="P164"/>
  <c r="T164"/>
  <c r="D160"/>
  <c r="H160"/>
  <c r="L160"/>
  <c r="P160"/>
  <c r="T160"/>
  <c r="D156"/>
  <c r="H156"/>
  <c r="L156"/>
  <c r="P156"/>
  <c r="T156"/>
  <c r="D152"/>
  <c r="H152"/>
  <c r="L152"/>
  <c r="P152"/>
  <c r="T152"/>
  <c r="H148"/>
  <c r="E148"/>
  <c r="L148"/>
  <c r="P148"/>
  <c r="T148"/>
  <c r="F145"/>
  <c r="J145"/>
  <c r="N145"/>
  <c r="R145"/>
  <c r="V145"/>
  <c r="F141"/>
  <c r="J141"/>
  <c r="N141"/>
  <c r="R141"/>
  <c r="V141"/>
  <c r="F137"/>
  <c r="J137"/>
  <c r="N137"/>
  <c r="R137"/>
  <c r="V137"/>
  <c r="F133"/>
  <c r="J133"/>
  <c r="N133"/>
  <c r="R133"/>
  <c r="V133"/>
  <c r="F129"/>
  <c r="J129"/>
  <c r="N129"/>
  <c r="R129"/>
  <c r="V129"/>
  <c r="F125"/>
  <c r="J125"/>
  <c r="N125"/>
  <c r="R125"/>
  <c r="V125"/>
  <c r="F121"/>
  <c r="J121"/>
  <c r="N121"/>
  <c r="R121"/>
  <c r="V121"/>
  <c r="F117"/>
  <c r="J117"/>
  <c r="N117"/>
  <c r="R117"/>
  <c r="V117"/>
  <c r="F113"/>
  <c r="J113"/>
  <c r="N113"/>
  <c r="R113"/>
  <c r="V113"/>
  <c r="F109"/>
  <c r="J109"/>
  <c r="N109"/>
  <c r="R109"/>
  <c r="V109"/>
  <c r="D146"/>
  <c r="H146"/>
  <c r="L146"/>
  <c r="P146"/>
  <c r="T146"/>
  <c r="D142"/>
  <c r="H142"/>
  <c r="L142"/>
  <c r="P142"/>
  <c r="T142"/>
  <c r="D138"/>
  <c r="H138"/>
  <c r="L138"/>
  <c r="P138"/>
  <c r="T138"/>
  <c r="D134"/>
  <c r="H134"/>
  <c r="L134"/>
  <c r="P134"/>
  <c r="T134"/>
  <c r="D130"/>
  <c r="H130"/>
  <c r="L130"/>
  <c r="P130"/>
  <c r="T130"/>
  <c r="D126"/>
  <c r="H126"/>
  <c r="L126"/>
  <c r="P126"/>
  <c r="T126"/>
  <c r="D122"/>
  <c r="H122"/>
  <c r="L122"/>
  <c r="P122"/>
  <c r="T122"/>
  <c r="D118"/>
  <c r="H118"/>
  <c r="L118"/>
  <c r="P118"/>
  <c r="T118"/>
  <c r="D114"/>
  <c r="H114"/>
  <c r="L114"/>
  <c r="P114"/>
  <c r="T114"/>
  <c r="D110"/>
  <c r="H110"/>
  <c r="L110"/>
  <c r="P110"/>
  <c r="T110"/>
  <c r="D106"/>
  <c r="H106"/>
  <c r="L106"/>
  <c r="P106"/>
  <c r="T106"/>
  <c r="F108"/>
  <c r="J108"/>
  <c r="N108"/>
  <c r="R108"/>
  <c r="V108"/>
  <c r="D163"/>
  <c r="H163"/>
  <c r="L163"/>
  <c r="P163"/>
  <c r="T163"/>
  <c r="E163"/>
  <c r="I163"/>
  <c r="M163"/>
  <c r="Q163"/>
  <c r="U163"/>
  <c r="D159"/>
  <c r="H159"/>
  <c r="L159"/>
  <c r="P159"/>
  <c r="T159"/>
  <c r="E159"/>
  <c r="I159"/>
  <c r="M159"/>
  <c r="Q159"/>
  <c r="U159"/>
  <c r="D155"/>
  <c r="H155"/>
  <c r="L155"/>
  <c r="P155"/>
  <c r="T155"/>
  <c r="E155"/>
  <c r="I155"/>
  <c r="M155"/>
  <c r="Q155"/>
  <c r="U155"/>
  <c r="D151"/>
  <c r="H151"/>
  <c r="L151"/>
  <c r="P151"/>
  <c r="T151"/>
  <c r="E151"/>
  <c r="I151"/>
  <c r="M151"/>
  <c r="Q151"/>
  <c r="U151"/>
  <c r="F164"/>
  <c r="J164"/>
  <c r="N164"/>
  <c r="R164"/>
  <c r="V164"/>
  <c r="F160"/>
  <c r="J160"/>
  <c r="N160"/>
  <c r="R160"/>
  <c r="V160"/>
  <c r="F156"/>
  <c r="J156"/>
  <c r="N156"/>
  <c r="R156"/>
  <c r="V156"/>
  <c r="F152"/>
  <c r="J152"/>
  <c r="N152"/>
  <c r="R152"/>
  <c r="V152"/>
  <c r="J148"/>
  <c r="C148"/>
  <c r="G148"/>
  <c r="K148"/>
  <c r="N148"/>
  <c r="R148"/>
  <c r="V148"/>
  <c r="D145"/>
  <c r="H145"/>
  <c r="L145"/>
  <c r="P145"/>
  <c r="T145"/>
  <c r="E145"/>
  <c r="I145"/>
  <c r="M145"/>
  <c r="Q145"/>
  <c r="U145"/>
  <c r="D141"/>
  <c r="H141"/>
  <c r="L141"/>
  <c r="P141"/>
  <c r="T141"/>
  <c r="E141"/>
  <c r="I141"/>
  <c r="M141"/>
  <c r="Q141"/>
  <c r="U141"/>
  <c r="D137"/>
  <c r="H137"/>
  <c r="L137"/>
  <c r="P137"/>
  <c r="T137"/>
  <c r="E137"/>
  <c r="I137"/>
  <c r="M137"/>
  <c r="Q137"/>
  <c r="U137"/>
  <c r="D133"/>
  <c r="H133"/>
  <c r="L133"/>
  <c r="P133"/>
  <c r="T133"/>
  <c r="E133"/>
  <c r="I133"/>
  <c r="M133"/>
  <c r="Q133"/>
  <c r="U133"/>
  <c r="D129"/>
  <c r="H129"/>
  <c r="L129"/>
  <c r="P129"/>
  <c r="T129"/>
  <c r="E129"/>
  <c r="I129"/>
  <c r="M129"/>
  <c r="Q129"/>
  <c r="U129"/>
  <c r="D125"/>
  <c r="H125"/>
  <c r="L125"/>
  <c r="P125"/>
  <c r="T125"/>
  <c r="E125"/>
  <c r="I125"/>
  <c r="M125"/>
  <c r="Q125"/>
  <c r="U125"/>
  <c r="D121"/>
  <c r="H121"/>
  <c r="L121"/>
  <c r="P121"/>
  <c r="T121"/>
  <c r="E121"/>
  <c r="I121"/>
  <c r="M121"/>
  <c r="Q121"/>
  <c r="U121"/>
  <c r="D117"/>
  <c r="H117"/>
  <c r="L117"/>
  <c r="P117"/>
  <c r="T117"/>
  <c r="E117"/>
  <c r="I117"/>
  <c r="M117"/>
  <c r="Q117"/>
  <c r="U117"/>
  <c r="D113"/>
  <c r="H113"/>
  <c r="L113"/>
  <c r="P113"/>
  <c r="T113"/>
  <c r="E113"/>
  <c r="I113"/>
  <c r="M113"/>
  <c r="Q113"/>
  <c r="U113"/>
  <c r="D109"/>
  <c r="H109"/>
  <c r="L109"/>
  <c r="P109"/>
  <c r="T109"/>
  <c r="E109"/>
  <c r="I109"/>
  <c r="M109"/>
  <c r="Q109"/>
  <c r="U109"/>
  <c r="F146"/>
  <c r="J146"/>
  <c r="N146"/>
  <c r="R146"/>
  <c r="V146"/>
  <c r="F142"/>
  <c r="J142"/>
  <c r="N142"/>
  <c r="R142"/>
  <c r="V142"/>
  <c r="F138"/>
  <c r="J138"/>
  <c r="N138"/>
  <c r="R138"/>
  <c r="V138"/>
  <c r="F134"/>
  <c r="J134"/>
  <c r="N134"/>
  <c r="R134"/>
  <c r="V134"/>
  <c r="F130"/>
  <c r="J130"/>
  <c r="N130"/>
  <c r="R130"/>
  <c r="V130"/>
  <c r="F126"/>
  <c r="J126"/>
  <c r="N126"/>
  <c r="R126"/>
  <c r="V126"/>
  <c r="F122"/>
  <c r="J122"/>
  <c r="N122"/>
  <c r="R122"/>
  <c r="V122"/>
  <c r="F118"/>
  <c r="J118"/>
  <c r="N118"/>
  <c r="R118"/>
  <c r="V118"/>
  <c r="F114"/>
  <c r="J114"/>
  <c r="N114"/>
  <c r="R114"/>
  <c r="V114"/>
  <c r="F110"/>
  <c r="J110"/>
  <c r="N110"/>
  <c r="R110"/>
  <c r="V110"/>
  <c r="F106"/>
  <c r="J106"/>
  <c r="N106"/>
  <c r="R106"/>
  <c r="V106"/>
  <c r="F165"/>
  <c r="J165"/>
  <c r="N165"/>
  <c r="R165"/>
  <c r="V165"/>
  <c r="C165"/>
  <c r="G165"/>
  <c r="K165"/>
  <c r="O165"/>
  <c r="S165"/>
  <c r="F161"/>
  <c r="J161"/>
  <c r="N161"/>
  <c r="R161"/>
  <c r="V161"/>
  <c r="C161"/>
  <c r="G161"/>
  <c r="K161"/>
  <c r="O161"/>
  <c r="S161"/>
  <c r="F157"/>
  <c r="J157"/>
  <c r="N157"/>
  <c r="R157"/>
  <c r="V157"/>
  <c r="C157"/>
  <c r="G157"/>
  <c r="K157"/>
  <c r="O157"/>
  <c r="S157"/>
  <c r="F153"/>
  <c r="J153"/>
  <c r="N153"/>
  <c r="R153"/>
  <c r="V153"/>
  <c r="C153"/>
  <c r="G153"/>
  <c r="K153"/>
  <c r="O153"/>
  <c r="S153"/>
  <c r="F149"/>
  <c r="J149"/>
  <c r="N149"/>
  <c r="R149"/>
  <c r="V149"/>
  <c r="C149"/>
  <c r="G149"/>
  <c r="K149"/>
  <c r="O149"/>
  <c r="S149"/>
  <c r="D162"/>
  <c r="H162"/>
  <c r="L162"/>
  <c r="P162"/>
  <c r="T162"/>
  <c r="D158"/>
  <c r="H158"/>
  <c r="L158"/>
  <c r="P158"/>
  <c r="T158"/>
  <c r="D154"/>
  <c r="H154"/>
  <c r="L154"/>
  <c r="P154"/>
  <c r="T154"/>
  <c r="D150"/>
  <c r="H150"/>
  <c r="L150"/>
  <c r="P150"/>
  <c r="T150"/>
  <c r="E147"/>
  <c r="K147"/>
  <c r="S147"/>
  <c r="H147"/>
  <c r="L147"/>
  <c r="P147"/>
  <c r="T147"/>
  <c r="F143"/>
  <c r="J143"/>
  <c r="N143"/>
  <c r="R143"/>
  <c r="V143"/>
  <c r="C143"/>
  <c r="G143"/>
  <c r="K143"/>
  <c r="O143"/>
  <c r="S143"/>
  <c r="F139"/>
  <c r="J139"/>
  <c r="N139"/>
  <c r="R139"/>
  <c r="V139"/>
  <c r="C139"/>
  <c r="G139"/>
  <c r="K139"/>
  <c r="O139"/>
  <c r="S139"/>
  <c r="F135"/>
  <c r="J135"/>
  <c r="N135"/>
  <c r="R135"/>
  <c r="V135"/>
  <c r="C135"/>
  <c r="G135"/>
  <c r="K135"/>
  <c r="O135"/>
  <c r="S135"/>
  <c r="F131"/>
  <c r="J131"/>
  <c r="N131"/>
  <c r="R131"/>
  <c r="V131"/>
  <c r="C131"/>
  <c r="G131"/>
  <c r="K131"/>
  <c r="O131"/>
  <c r="S131"/>
  <c r="F127"/>
  <c r="J127"/>
  <c r="N127"/>
  <c r="R127"/>
  <c r="V127"/>
  <c r="C127"/>
  <c r="G127"/>
  <c r="K127"/>
  <c r="O127"/>
  <c r="S127"/>
  <c r="F123"/>
  <c r="J123"/>
  <c r="N123"/>
  <c r="R123"/>
  <c r="V123"/>
  <c r="C123"/>
  <c r="G123"/>
  <c r="K123"/>
  <c r="O123"/>
  <c r="S123"/>
  <c r="F119"/>
  <c r="J119"/>
  <c r="N119"/>
  <c r="R119"/>
  <c r="V119"/>
  <c r="C119"/>
  <c r="G119"/>
  <c r="K119"/>
  <c r="O119"/>
  <c r="S119"/>
  <c r="F115"/>
  <c r="J115"/>
  <c r="N115"/>
  <c r="R115"/>
  <c r="V115"/>
  <c r="C115"/>
  <c r="G115"/>
  <c r="K115"/>
  <c r="O115"/>
  <c r="S115"/>
  <c r="F111"/>
  <c r="J111"/>
  <c r="N111"/>
  <c r="R111"/>
  <c r="V111"/>
  <c r="C111"/>
  <c r="G111"/>
  <c r="K111"/>
  <c r="O111"/>
  <c r="S111"/>
  <c r="F107"/>
  <c r="J107"/>
  <c r="N107"/>
  <c r="R107"/>
  <c r="V107"/>
  <c r="C107"/>
  <c r="G107"/>
  <c r="K107"/>
  <c r="O107"/>
  <c r="S107"/>
  <c r="D144"/>
  <c r="H144"/>
  <c r="L144"/>
  <c r="P144"/>
  <c r="T144"/>
  <c r="D140"/>
  <c r="H140"/>
  <c r="L140"/>
  <c r="P140"/>
  <c r="T140"/>
  <c r="D136"/>
  <c r="H136"/>
  <c r="L136"/>
  <c r="P136"/>
  <c r="T136"/>
  <c r="D132"/>
  <c r="H132"/>
  <c r="L132"/>
  <c r="P132"/>
  <c r="T132"/>
  <c r="D128"/>
  <c r="H128"/>
  <c r="L128"/>
  <c r="P128"/>
  <c r="T128"/>
  <c r="D124"/>
  <c r="H124"/>
  <c r="L124"/>
  <c r="P124"/>
  <c r="T124"/>
  <c r="D120"/>
  <c r="H120"/>
  <c r="L120"/>
  <c r="P120"/>
  <c r="T120"/>
  <c r="D116"/>
  <c r="H116"/>
  <c r="L116"/>
  <c r="P116"/>
  <c r="T116"/>
  <c r="D112"/>
  <c r="H112"/>
  <c r="L112"/>
  <c r="P112"/>
  <c r="T112"/>
  <c r="D108"/>
  <c r="H108"/>
  <c r="L108"/>
  <c r="P108"/>
  <c r="T108"/>
  <c r="C163"/>
  <c r="G163"/>
  <c r="K163"/>
  <c r="O163"/>
  <c r="S163"/>
  <c r="C159"/>
  <c r="G159"/>
  <c r="K159"/>
  <c r="O159"/>
  <c r="S159"/>
  <c r="C155"/>
  <c r="G155"/>
  <c r="K155"/>
  <c r="O155"/>
  <c r="S155"/>
  <c r="C151"/>
  <c r="G151"/>
  <c r="K151"/>
  <c r="O151"/>
  <c r="S151"/>
  <c r="I148"/>
  <c r="C145"/>
  <c r="G145"/>
  <c r="K145"/>
  <c r="O145"/>
  <c r="S145"/>
  <c r="C141"/>
  <c r="G141"/>
  <c r="K141"/>
  <c r="O141"/>
  <c r="S141"/>
  <c r="C137"/>
  <c r="G137"/>
  <c r="K137"/>
  <c r="O137"/>
  <c r="S137"/>
  <c r="C133"/>
  <c r="G133"/>
  <c r="K133"/>
  <c r="O133"/>
  <c r="S133"/>
  <c r="C129"/>
  <c r="G129"/>
  <c r="K129"/>
  <c r="O129"/>
  <c r="S129"/>
  <c r="C125"/>
  <c r="G125"/>
  <c r="K125"/>
  <c r="O125"/>
  <c r="S125"/>
  <c r="C121"/>
  <c r="G121"/>
  <c r="K121"/>
  <c r="O121"/>
  <c r="S121"/>
  <c r="C117"/>
  <c r="G117"/>
  <c r="K117"/>
  <c r="O117"/>
  <c r="S117"/>
  <c r="C113"/>
  <c r="G113"/>
  <c r="K113"/>
  <c r="O113"/>
  <c r="S113"/>
  <c r="C109"/>
  <c r="G109"/>
  <c r="K109"/>
  <c r="O109"/>
  <c r="S109"/>
  <c r="E165"/>
  <c r="I165"/>
  <c r="M165"/>
  <c r="Q165"/>
  <c r="U165"/>
  <c r="E161"/>
  <c r="I161"/>
  <c r="M161"/>
  <c r="Q161"/>
  <c r="U161"/>
  <c r="E157"/>
  <c r="I157"/>
  <c r="M157"/>
  <c r="Q157"/>
  <c r="U157"/>
  <c r="E153"/>
  <c r="I153"/>
  <c r="M153"/>
  <c r="Q153"/>
  <c r="U153"/>
  <c r="E149"/>
  <c r="I149"/>
  <c r="M149"/>
  <c r="Q149"/>
  <c r="U149"/>
  <c r="J147"/>
  <c r="R147"/>
  <c r="E143"/>
  <c r="I143"/>
  <c r="M143"/>
  <c r="Q143"/>
  <c r="U143"/>
  <c r="E139"/>
  <c r="I139"/>
  <c r="M139"/>
  <c r="Q139"/>
  <c r="U139"/>
  <c r="E135"/>
  <c r="I135"/>
  <c r="M135"/>
  <c r="Q135"/>
  <c r="U135"/>
  <c r="E131"/>
  <c r="I131"/>
  <c r="M131"/>
  <c r="Q131"/>
  <c r="U131"/>
  <c r="E127"/>
  <c r="I127"/>
  <c r="M127"/>
  <c r="Q127"/>
  <c r="U127"/>
  <c r="E123"/>
  <c r="I123"/>
  <c r="M123"/>
  <c r="Q123"/>
  <c r="U123"/>
  <c r="E119"/>
  <c r="I119"/>
  <c r="M119"/>
  <c r="Q119"/>
  <c r="U119"/>
  <c r="E115"/>
  <c r="I115"/>
  <c r="M115"/>
  <c r="Q115"/>
  <c r="U115"/>
  <c r="E111"/>
  <c r="I111"/>
  <c r="M111"/>
  <c r="Q111"/>
  <c r="U111"/>
  <c r="E107"/>
  <c r="I107"/>
  <c r="M107"/>
  <c r="Q107"/>
  <c r="U107"/>
  <c r="J50" i="1"/>
  <c r="N50"/>
  <c r="R50"/>
  <c r="V50"/>
  <c r="Z50"/>
  <c r="U114" s="1"/>
  <c r="I50"/>
  <c r="D114" s="1"/>
  <c r="M50"/>
  <c r="H114" s="1"/>
  <c r="Q50"/>
  <c r="L114" s="1"/>
  <c r="U50"/>
  <c r="P114" s="1"/>
  <c r="J66"/>
  <c r="N66"/>
  <c r="R66"/>
  <c r="V66"/>
  <c r="Z66"/>
  <c r="U130" s="1"/>
  <c r="I66"/>
  <c r="D130" s="1"/>
  <c r="M66"/>
  <c r="H130" s="1"/>
  <c r="Q66"/>
  <c r="L130" s="1"/>
  <c r="U66"/>
  <c r="P130" s="1"/>
  <c r="J82"/>
  <c r="N82"/>
  <c r="R82"/>
  <c r="V82"/>
  <c r="Z82"/>
  <c r="U146" s="1"/>
  <c r="I82"/>
  <c r="D146" s="1"/>
  <c r="M82"/>
  <c r="H146" s="1"/>
  <c r="Q82"/>
  <c r="L146" s="1"/>
  <c r="U82"/>
  <c r="P146" s="1"/>
  <c r="H76"/>
  <c r="L76"/>
  <c r="R76"/>
  <c r="Z76"/>
  <c r="U140" s="1"/>
  <c r="I76"/>
  <c r="D140" s="1"/>
  <c r="M76"/>
  <c r="H140" s="1"/>
  <c r="T76"/>
  <c r="O76"/>
  <c r="S76"/>
  <c r="N140" s="1"/>
  <c r="W76"/>
  <c r="H60"/>
  <c r="L60"/>
  <c r="P60"/>
  <c r="T60"/>
  <c r="X60"/>
  <c r="G60"/>
  <c r="K60"/>
  <c r="O60"/>
  <c r="S60"/>
  <c r="W60"/>
  <c r="J47"/>
  <c r="N47"/>
  <c r="R47"/>
  <c r="V47"/>
  <c r="Z47"/>
  <c r="U111" s="1"/>
  <c r="Y191" s="1"/>
  <c r="G47"/>
  <c r="K47"/>
  <c r="F111" s="1"/>
  <c r="J191" s="1"/>
  <c r="O47"/>
  <c r="J111" s="1"/>
  <c r="N191" s="1"/>
  <c r="S47"/>
  <c r="N111" s="1"/>
  <c r="R191" s="1"/>
  <c r="W47"/>
  <c r="R111" s="1"/>
  <c r="V191" s="1"/>
  <c r="H63"/>
  <c r="L63"/>
  <c r="P63"/>
  <c r="T63"/>
  <c r="X63"/>
  <c r="G63"/>
  <c r="K63"/>
  <c r="O63"/>
  <c r="S63"/>
  <c r="W63"/>
  <c r="H79"/>
  <c r="L79"/>
  <c r="P79"/>
  <c r="T79"/>
  <c r="X79"/>
  <c r="G79"/>
  <c r="K79"/>
  <c r="O79"/>
  <c r="S79"/>
  <c r="W79"/>
  <c r="H95"/>
  <c r="L95"/>
  <c r="P95"/>
  <c r="T95"/>
  <c r="X95"/>
  <c r="G95"/>
  <c r="K95"/>
  <c r="O95"/>
  <c r="S95"/>
  <c r="W95"/>
  <c r="H44"/>
  <c r="L44"/>
  <c r="P44"/>
  <c r="T44"/>
  <c r="X44"/>
  <c r="G44"/>
  <c r="K44"/>
  <c r="O44"/>
  <c r="S44"/>
  <c r="W44"/>
  <c r="H92"/>
  <c r="L92"/>
  <c r="P92"/>
  <c r="T92"/>
  <c r="X92"/>
  <c r="G92"/>
  <c r="K92"/>
  <c r="O92"/>
  <c r="S92"/>
  <c r="W92"/>
  <c r="J49"/>
  <c r="N49"/>
  <c r="R49"/>
  <c r="V49"/>
  <c r="Z49"/>
  <c r="U113" s="1"/>
  <c r="G49"/>
  <c r="K49"/>
  <c r="F113" s="1"/>
  <c r="O49"/>
  <c r="J113" s="1"/>
  <c r="S49"/>
  <c r="N113" s="1"/>
  <c r="W49"/>
  <c r="R113" s="1"/>
  <c r="H57"/>
  <c r="L57"/>
  <c r="P57"/>
  <c r="T57"/>
  <c r="X57"/>
  <c r="G57"/>
  <c r="K57"/>
  <c r="O57"/>
  <c r="S57"/>
  <c r="W57"/>
  <c r="H73"/>
  <c r="L73"/>
  <c r="P73"/>
  <c r="T73"/>
  <c r="X73"/>
  <c r="G73"/>
  <c r="K73"/>
  <c r="O73"/>
  <c r="S73"/>
  <c r="W73"/>
  <c r="H89"/>
  <c r="L89"/>
  <c r="P89"/>
  <c r="T89"/>
  <c r="X89"/>
  <c r="G89"/>
  <c r="K89"/>
  <c r="O89"/>
  <c r="S89"/>
  <c r="W89"/>
  <c r="H42"/>
  <c r="L42"/>
  <c r="P42"/>
  <c r="T42"/>
  <c r="X42"/>
  <c r="G42"/>
  <c r="K42"/>
  <c r="O42"/>
  <c r="S42"/>
  <c r="W42"/>
  <c r="H58"/>
  <c r="L58"/>
  <c r="P58"/>
  <c r="T58"/>
  <c r="X58"/>
  <c r="G58"/>
  <c r="K58"/>
  <c r="O58"/>
  <c r="S58"/>
  <c r="W58"/>
  <c r="H74"/>
  <c r="L74"/>
  <c r="P74"/>
  <c r="T74"/>
  <c r="X74"/>
  <c r="G74"/>
  <c r="K74"/>
  <c r="O74"/>
  <c r="S74"/>
  <c r="W74"/>
  <c r="H90"/>
  <c r="L90"/>
  <c r="P90"/>
  <c r="T90"/>
  <c r="X90"/>
  <c r="G90"/>
  <c r="K90"/>
  <c r="O90"/>
  <c r="S90"/>
  <c r="W90"/>
  <c r="G52"/>
  <c r="O52"/>
  <c r="W52"/>
  <c r="M52"/>
  <c r="U52"/>
  <c r="H52"/>
  <c r="L52"/>
  <c r="P52"/>
  <c r="K116" s="1"/>
  <c r="O214" s="1"/>
  <c r="T52"/>
  <c r="X52"/>
  <c r="H68"/>
  <c r="L68"/>
  <c r="P68"/>
  <c r="T68"/>
  <c r="X68"/>
  <c r="G68"/>
  <c r="K68"/>
  <c r="O68"/>
  <c r="S68"/>
  <c r="W68"/>
  <c r="J76"/>
  <c r="E140" s="1"/>
  <c r="N76"/>
  <c r="I140" s="1"/>
  <c r="V76"/>
  <c r="G76"/>
  <c r="K76"/>
  <c r="F140" s="1"/>
  <c r="P76"/>
  <c r="K140" s="1"/>
  <c r="X76"/>
  <c r="S140" s="1"/>
  <c r="Q76"/>
  <c r="L140" s="1"/>
  <c r="U76"/>
  <c r="P140" s="1"/>
  <c r="J60"/>
  <c r="N60"/>
  <c r="R60"/>
  <c r="V60"/>
  <c r="Z60"/>
  <c r="U124" s="1"/>
  <c r="Y199" s="1"/>
  <c r="I60"/>
  <c r="D124" s="1"/>
  <c r="M60"/>
  <c r="H124" s="1"/>
  <c r="Q60"/>
  <c r="L124" s="1"/>
  <c r="U60"/>
  <c r="P124" s="1"/>
  <c r="H47"/>
  <c r="C111" s="1"/>
  <c r="G191" s="1"/>
  <c r="L47"/>
  <c r="P47"/>
  <c r="K111" s="1"/>
  <c r="O191" s="1"/>
  <c r="T47"/>
  <c r="X47"/>
  <c r="S111" s="1"/>
  <c r="W191" s="1"/>
  <c r="I47"/>
  <c r="M47"/>
  <c r="Q47"/>
  <c r="U47"/>
  <c r="J63"/>
  <c r="N63"/>
  <c r="R63"/>
  <c r="V63"/>
  <c r="Z63"/>
  <c r="U127" s="1"/>
  <c r="Y213" s="1"/>
  <c r="I63"/>
  <c r="D127" s="1"/>
  <c r="H213" s="1"/>
  <c r="M63"/>
  <c r="H127" s="1"/>
  <c r="L213" s="1"/>
  <c r="Q63"/>
  <c r="L127" s="1"/>
  <c r="P213" s="1"/>
  <c r="U63"/>
  <c r="P127" s="1"/>
  <c r="T213" s="1"/>
  <c r="J79"/>
  <c r="N79"/>
  <c r="R79"/>
  <c r="V79"/>
  <c r="Z79"/>
  <c r="U143" s="1"/>
  <c r="Y209" s="1"/>
  <c r="I79"/>
  <c r="M79"/>
  <c r="H143" s="1"/>
  <c r="Q79"/>
  <c r="U79"/>
  <c r="P143" s="1"/>
  <c r="J95"/>
  <c r="N95"/>
  <c r="R95"/>
  <c r="V95"/>
  <c r="Z95"/>
  <c r="U159" s="1"/>
  <c r="I95"/>
  <c r="D159" s="1"/>
  <c r="M95"/>
  <c r="H159" s="1"/>
  <c r="Q95"/>
  <c r="L159" s="1"/>
  <c r="U95"/>
  <c r="P159" s="1"/>
  <c r="J44"/>
  <c r="N44"/>
  <c r="R44"/>
  <c r="V44"/>
  <c r="Z44"/>
  <c r="U108" s="1"/>
  <c r="Y192" s="1"/>
  <c r="I44"/>
  <c r="M44"/>
  <c r="H108" s="1"/>
  <c r="L192" s="1"/>
  <c r="Q44"/>
  <c r="U44"/>
  <c r="P108" s="1"/>
  <c r="T192" s="1"/>
  <c r="J92"/>
  <c r="N92"/>
  <c r="R92"/>
  <c r="V92"/>
  <c r="Z92"/>
  <c r="U156" s="1"/>
  <c r="I92"/>
  <c r="D156" s="1"/>
  <c r="M92"/>
  <c r="H156" s="1"/>
  <c r="Q92"/>
  <c r="L156" s="1"/>
  <c r="U92"/>
  <c r="P156" s="1"/>
  <c r="H49"/>
  <c r="C113" s="1"/>
  <c r="L49"/>
  <c r="P49"/>
  <c r="K113" s="1"/>
  <c r="T49"/>
  <c r="X49"/>
  <c r="S113" s="1"/>
  <c r="I49"/>
  <c r="M49"/>
  <c r="Q49"/>
  <c r="U49"/>
  <c r="J57"/>
  <c r="N57"/>
  <c r="R57"/>
  <c r="V57"/>
  <c r="Z57"/>
  <c r="U121" s="1"/>
  <c r="I57"/>
  <c r="D121" s="1"/>
  <c r="M57"/>
  <c r="H121" s="1"/>
  <c r="Q57"/>
  <c r="L121" s="1"/>
  <c r="U57"/>
  <c r="P121" s="1"/>
  <c r="J73"/>
  <c r="N73"/>
  <c r="R73"/>
  <c r="V73"/>
  <c r="Z73"/>
  <c r="U137" s="1"/>
  <c r="I73"/>
  <c r="M73"/>
  <c r="H137" s="1"/>
  <c r="Q73"/>
  <c r="U73"/>
  <c r="P137" s="1"/>
  <c r="J89"/>
  <c r="N89"/>
  <c r="R89"/>
  <c r="V89"/>
  <c r="Z89"/>
  <c r="U153" s="1"/>
  <c r="I89"/>
  <c r="D153" s="1"/>
  <c r="M89"/>
  <c r="H153" s="1"/>
  <c r="Q89"/>
  <c r="L153" s="1"/>
  <c r="U89"/>
  <c r="P153" s="1"/>
  <c r="J42"/>
  <c r="N42"/>
  <c r="R42"/>
  <c r="V42"/>
  <c r="Z42"/>
  <c r="U106" s="1"/>
  <c r="I42"/>
  <c r="M42"/>
  <c r="H106" s="1"/>
  <c r="Q42"/>
  <c r="U42"/>
  <c r="P106" s="1"/>
  <c r="J58"/>
  <c r="N58"/>
  <c r="R58"/>
  <c r="V58"/>
  <c r="Z58"/>
  <c r="U122" s="1"/>
  <c r="Y198" s="1"/>
  <c r="I58"/>
  <c r="D122" s="1"/>
  <c r="M58"/>
  <c r="H122" s="1"/>
  <c r="Q58"/>
  <c r="L122" s="1"/>
  <c r="U58"/>
  <c r="P122" s="1"/>
  <c r="J74"/>
  <c r="N74"/>
  <c r="R74"/>
  <c r="V74"/>
  <c r="Z74"/>
  <c r="U138" s="1"/>
  <c r="I74"/>
  <c r="M74"/>
  <c r="H138" s="1"/>
  <c r="Q74"/>
  <c r="U74"/>
  <c r="P138" s="1"/>
  <c r="J90"/>
  <c r="N90"/>
  <c r="R90"/>
  <c r="V90"/>
  <c r="Z90"/>
  <c r="U154" s="1"/>
  <c r="I90"/>
  <c r="D154" s="1"/>
  <c r="M90"/>
  <c r="H154" s="1"/>
  <c r="Q90"/>
  <c r="L154" s="1"/>
  <c r="U90"/>
  <c r="P154" s="1"/>
  <c r="K52"/>
  <c r="S52"/>
  <c r="I52"/>
  <c r="D116" s="1"/>
  <c r="H214" s="1"/>
  <c r="Q52"/>
  <c r="L116" s="1"/>
  <c r="P214" s="1"/>
  <c r="Y52"/>
  <c r="T116" s="1"/>
  <c r="X214" s="1"/>
  <c r="J52"/>
  <c r="N52"/>
  <c r="I116" s="1"/>
  <c r="M214" s="1"/>
  <c r="R52"/>
  <c r="M116" s="1"/>
  <c r="Q214" s="1"/>
  <c r="V52"/>
  <c r="Q116" s="1"/>
  <c r="U214" s="1"/>
  <c r="J68"/>
  <c r="N68"/>
  <c r="R68"/>
  <c r="V68"/>
  <c r="Z68"/>
  <c r="U132" s="1"/>
  <c r="Y204" s="1"/>
  <c r="I68"/>
  <c r="D132" s="1"/>
  <c r="M68"/>
  <c r="H132" s="1"/>
  <c r="Q68"/>
  <c r="L132" s="1"/>
  <c r="U68"/>
  <c r="P132" s="1"/>
  <c r="Z290" i="4" l="1"/>
  <c r="V290"/>
  <c r="R290"/>
  <c r="N290"/>
  <c r="J290"/>
  <c r="F290"/>
  <c r="W290"/>
  <c r="S290"/>
  <c r="O290"/>
  <c r="K290"/>
  <c r="G290"/>
  <c r="X290"/>
  <c r="T290"/>
  <c r="P290"/>
  <c r="L290"/>
  <c r="H290"/>
  <c r="Y290"/>
  <c r="U290"/>
  <c r="Q290"/>
  <c r="M290"/>
  <c r="I290"/>
  <c r="X298"/>
  <c r="T298"/>
  <c r="P298"/>
  <c r="L298"/>
  <c r="H298"/>
  <c r="Y298"/>
  <c r="U298"/>
  <c r="Q298"/>
  <c r="M298"/>
  <c r="I298"/>
  <c r="Z298"/>
  <c r="V298"/>
  <c r="R298"/>
  <c r="N298"/>
  <c r="J298"/>
  <c r="F298"/>
  <c r="W298"/>
  <c r="S298"/>
  <c r="O298"/>
  <c r="K298"/>
  <c r="G298"/>
  <c r="Z308"/>
  <c r="V308"/>
  <c r="R308"/>
  <c r="N308"/>
  <c r="J308"/>
  <c r="F308"/>
  <c r="W308"/>
  <c r="S308"/>
  <c r="O308"/>
  <c r="K308"/>
  <c r="G308"/>
  <c r="X308"/>
  <c r="T308"/>
  <c r="P308"/>
  <c r="L308"/>
  <c r="H308"/>
  <c r="Y308"/>
  <c r="U308"/>
  <c r="Q308"/>
  <c r="M308"/>
  <c r="I308"/>
  <c r="W287"/>
  <c r="S287"/>
  <c r="O287"/>
  <c r="K287"/>
  <c r="G287"/>
  <c r="X287"/>
  <c r="T287"/>
  <c r="P287"/>
  <c r="L287"/>
  <c r="H287"/>
  <c r="Y287"/>
  <c r="U287"/>
  <c r="Q287"/>
  <c r="M287"/>
  <c r="I287"/>
  <c r="Z287"/>
  <c r="V287"/>
  <c r="R287"/>
  <c r="N287"/>
  <c r="J287"/>
  <c r="F287"/>
  <c r="Y291"/>
  <c r="U291"/>
  <c r="Q291"/>
  <c r="M291"/>
  <c r="I291"/>
  <c r="Z291"/>
  <c r="V291"/>
  <c r="R291"/>
  <c r="N291"/>
  <c r="J291"/>
  <c r="F291"/>
  <c r="W291"/>
  <c r="S291"/>
  <c r="O291"/>
  <c r="K291"/>
  <c r="G291"/>
  <c r="X291"/>
  <c r="T291"/>
  <c r="P291"/>
  <c r="L291"/>
  <c r="H291"/>
  <c r="X310"/>
  <c r="T310"/>
  <c r="P310"/>
  <c r="L310"/>
  <c r="H310"/>
  <c r="Y310"/>
  <c r="U310"/>
  <c r="Q310"/>
  <c r="M310"/>
  <c r="I310"/>
  <c r="Z310"/>
  <c r="J310"/>
  <c r="O310"/>
  <c r="V310"/>
  <c r="N310"/>
  <c r="F310"/>
  <c r="S310"/>
  <c r="K310"/>
  <c r="R310"/>
  <c r="W310"/>
  <c r="G310"/>
  <c r="W297"/>
  <c r="S297"/>
  <c r="O297"/>
  <c r="K297"/>
  <c r="G297"/>
  <c r="X297"/>
  <c r="T297"/>
  <c r="P297"/>
  <c r="L297"/>
  <c r="H297"/>
  <c r="Y297"/>
  <c r="V297"/>
  <c r="F297"/>
  <c r="U297"/>
  <c r="M297"/>
  <c r="Z297"/>
  <c r="R297"/>
  <c r="J297"/>
  <c r="Q297"/>
  <c r="I297"/>
  <c r="N297"/>
  <c r="Y309"/>
  <c r="U309"/>
  <c r="Q309"/>
  <c r="M309"/>
  <c r="I309"/>
  <c r="Z309"/>
  <c r="V309"/>
  <c r="R309"/>
  <c r="N309"/>
  <c r="J309"/>
  <c r="F309"/>
  <c r="W309"/>
  <c r="T309"/>
  <c r="S309"/>
  <c r="K309"/>
  <c r="X309"/>
  <c r="P309"/>
  <c r="H309"/>
  <c r="O309"/>
  <c r="G309"/>
  <c r="L309"/>
  <c r="Y293"/>
  <c r="U293"/>
  <c r="Q293"/>
  <c r="M293"/>
  <c r="I293"/>
  <c r="Z293"/>
  <c r="V293"/>
  <c r="R293"/>
  <c r="N293"/>
  <c r="J293"/>
  <c r="F293"/>
  <c r="S293"/>
  <c r="K293"/>
  <c r="X293"/>
  <c r="P293"/>
  <c r="H293"/>
  <c r="W293"/>
  <c r="O293"/>
  <c r="G293"/>
  <c r="T293"/>
  <c r="L293"/>
  <c r="Z320"/>
  <c r="V320"/>
  <c r="R320"/>
  <c r="N320"/>
  <c r="J320"/>
  <c r="F320"/>
  <c r="W320"/>
  <c r="S320"/>
  <c r="O320"/>
  <c r="K320"/>
  <c r="G320"/>
  <c r="X320"/>
  <c r="T320"/>
  <c r="P320"/>
  <c r="L320"/>
  <c r="H320"/>
  <c r="Y320"/>
  <c r="U320"/>
  <c r="Q320"/>
  <c r="M320"/>
  <c r="I320"/>
  <c r="W339"/>
  <c r="S339"/>
  <c r="O339"/>
  <c r="K339"/>
  <c r="G339"/>
  <c r="X339"/>
  <c r="T339"/>
  <c r="P339"/>
  <c r="L339"/>
  <c r="H339"/>
  <c r="Y339"/>
  <c r="U339"/>
  <c r="Q339"/>
  <c r="M339"/>
  <c r="I339"/>
  <c r="Z339"/>
  <c r="V339"/>
  <c r="R339"/>
  <c r="N339"/>
  <c r="J339"/>
  <c r="F339"/>
  <c r="W331"/>
  <c r="S331"/>
  <c r="O331"/>
  <c r="K331"/>
  <c r="G331"/>
  <c r="X331"/>
  <c r="T331"/>
  <c r="P331"/>
  <c r="L331"/>
  <c r="H331"/>
  <c r="Y331"/>
  <c r="U331"/>
  <c r="Q331"/>
  <c r="M331"/>
  <c r="I331"/>
  <c r="Z331"/>
  <c r="V331"/>
  <c r="R331"/>
  <c r="N331"/>
  <c r="J331"/>
  <c r="F331"/>
  <c r="Z338"/>
  <c r="V338"/>
  <c r="R338"/>
  <c r="N338"/>
  <c r="J338"/>
  <c r="F338"/>
  <c r="W338"/>
  <c r="S338"/>
  <c r="O338"/>
  <c r="K338"/>
  <c r="G338"/>
  <c r="X338"/>
  <c r="T338"/>
  <c r="P338"/>
  <c r="L338"/>
  <c r="H338"/>
  <c r="Y338"/>
  <c r="U338"/>
  <c r="Q338"/>
  <c r="M338"/>
  <c r="I338"/>
  <c r="Z327"/>
  <c r="V327"/>
  <c r="R327"/>
  <c r="N327"/>
  <c r="J327"/>
  <c r="F327"/>
  <c r="U327"/>
  <c r="M327"/>
  <c r="W327"/>
  <c r="O327"/>
  <c r="G327"/>
  <c r="X327"/>
  <c r="T327"/>
  <c r="P327"/>
  <c r="L327"/>
  <c r="H327"/>
  <c r="Y327"/>
  <c r="Q327"/>
  <c r="I327"/>
  <c r="S327"/>
  <c r="K327"/>
  <c r="Z322"/>
  <c r="V322"/>
  <c r="R322"/>
  <c r="N322"/>
  <c r="J322"/>
  <c r="F322"/>
  <c r="W322"/>
  <c r="S322"/>
  <c r="O322"/>
  <c r="K322"/>
  <c r="G322"/>
  <c r="X322"/>
  <c r="P322"/>
  <c r="H322"/>
  <c r="U322"/>
  <c r="M322"/>
  <c r="T322"/>
  <c r="L322"/>
  <c r="Y322"/>
  <c r="Q322"/>
  <c r="I322"/>
  <c r="Y337"/>
  <c r="U337"/>
  <c r="Q337"/>
  <c r="M337"/>
  <c r="I337"/>
  <c r="Z337"/>
  <c r="V337"/>
  <c r="R337"/>
  <c r="N337"/>
  <c r="J337"/>
  <c r="F337"/>
  <c r="W337"/>
  <c r="S337"/>
  <c r="O337"/>
  <c r="K337"/>
  <c r="G337"/>
  <c r="X337"/>
  <c r="T337"/>
  <c r="P337"/>
  <c r="L337"/>
  <c r="H337"/>
  <c r="W329"/>
  <c r="S329"/>
  <c r="O329"/>
  <c r="K329"/>
  <c r="G329"/>
  <c r="X329"/>
  <c r="T329"/>
  <c r="P329"/>
  <c r="L329"/>
  <c r="H329"/>
  <c r="Y329"/>
  <c r="U329"/>
  <c r="Q329"/>
  <c r="M329"/>
  <c r="I329"/>
  <c r="Z329"/>
  <c r="V329"/>
  <c r="R329"/>
  <c r="N329"/>
  <c r="J329"/>
  <c r="F329"/>
  <c r="X336"/>
  <c r="T336"/>
  <c r="P336"/>
  <c r="L336"/>
  <c r="H336"/>
  <c r="Y336"/>
  <c r="U336"/>
  <c r="Q336"/>
  <c r="M336"/>
  <c r="I336"/>
  <c r="V336"/>
  <c r="N336"/>
  <c r="F336"/>
  <c r="S336"/>
  <c r="K336"/>
  <c r="Z336"/>
  <c r="R336"/>
  <c r="J336"/>
  <c r="W336"/>
  <c r="O336"/>
  <c r="G336"/>
  <c r="Z328"/>
  <c r="V328"/>
  <c r="R328"/>
  <c r="N328"/>
  <c r="J328"/>
  <c r="F328"/>
  <c r="W328"/>
  <c r="S328"/>
  <c r="O328"/>
  <c r="K328"/>
  <c r="G328"/>
  <c r="X328"/>
  <c r="P328"/>
  <c r="H328"/>
  <c r="U328"/>
  <c r="M328"/>
  <c r="T328"/>
  <c r="L328"/>
  <c r="Y328"/>
  <c r="Q328"/>
  <c r="I328"/>
  <c r="Y325"/>
  <c r="U325"/>
  <c r="Q325"/>
  <c r="M325"/>
  <c r="I325"/>
  <c r="Z325"/>
  <c r="V325"/>
  <c r="R325"/>
  <c r="N325"/>
  <c r="J325"/>
  <c r="F325"/>
  <c r="W325"/>
  <c r="S325"/>
  <c r="O325"/>
  <c r="K325"/>
  <c r="G325"/>
  <c r="X325"/>
  <c r="T325"/>
  <c r="P325"/>
  <c r="L325"/>
  <c r="H325"/>
  <c r="X288"/>
  <c r="T288"/>
  <c r="P288"/>
  <c r="L288"/>
  <c r="H288"/>
  <c r="Y288"/>
  <c r="U288"/>
  <c r="Q288"/>
  <c r="M288"/>
  <c r="I288"/>
  <c r="V288"/>
  <c r="N288"/>
  <c r="F288"/>
  <c r="S288"/>
  <c r="K288"/>
  <c r="Z288"/>
  <c r="R288"/>
  <c r="J288"/>
  <c r="W288"/>
  <c r="O288"/>
  <c r="G288"/>
  <c r="Z296"/>
  <c r="X296"/>
  <c r="T296"/>
  <c r="P296"/>
  <c r="L296"/>
  <c r="H296"/>
  <c r="Y296"/>
  <c r="U296"/>
  <c r="Q296"/>
  <c r="M296"/>
  <c r="I296"/>
  <c r="V296"/>
  <c r="R296"/>
  <c r="N296"/>
  <c r="J296"/>
  <c r="F296"/>
  <c r="W296"/>
  <c r="S296"/>
  <c r="O296"/>
  <c r="K296"/>
  <c r="G296"/>
  <c r="Z306"/>
  <c r="V306"/>
  <c r="R306"/>
  <c r="N306"/>
  <c r="J306"/>
  <c r="F306"/>
  <c r="W306"/>
  <c r="S306"/>
  <c r="O306"/>
  <c r="K306"/>
  <c r="G306"/>
  <c r="X306"/>
  <c r="T306"/>
  <c r="P306"/>
  <c r="L306"/>
  <c r="Y306"/>
  <c r="Q306"/>
  <c r="I306"/>
  <c r="H306"/>
  <c r="U306"/>
  <c r="M306"/>
  <c r="X330"/>
  <c r="T330"/>
  <c r="P330"/>
  <c r="L330"/>
  <c r="H330"/>
  <c r="Y330"/>
  <c r="U330"/>
  <c r="Q330"/>
  <c r="M330"/>
  <c r="I330"/>
  <c r="Z330"/>
  <c r="V330"/>
  <c r="R330"/>
  <c r="N330"/>
  <c r="J330"/>
  <c r="F330"/>
  <c r="W330"/>
  <c r="S330"/>
  <c r="O330"/>
  <c r="K330"/>
  <c r="G330"/>
  <c r="W323"/>
  <c r="S323"/>
  <c r="O323"/>
  <c r="K323"/>
  <c r="G323"/>
  <c r="X323"/>
  <c r="T323"/>
  <c r="P323"/>
  <c r="L323"/>
  <c r="H323"/>
  <c r="Y323"/>
  <c r="U323"/>
  <c r="Q323"/>
  <c r="M323"/>
  <c r="I323"/>
  <c r="Z323"/>
  <c r="V323"/>
  <c r="R323"/>
  <c r="N323"/>
  <c r="J323"/>
  <c r="F323"/>
  <c r="Y326"/>
  <c r="U326"/>
  <c r="T326"/>
  <c r="P326"/>
  <c r="L326"/>
  <c r="H326"/>
  <c r="Z326"/>
  <c r="S326"/>
  <c r="O326"/>
  <c r="K326"/>
  <c r="G326"/>
  <c r="W326"/>
  <c r="X326"/>
  <c r="R326"/>
  <c r="N326"/>
  <c r="J326"/>
  <c r="F326"/>
  <c r="V326"/>
  <c r="Q326"/>
  <c r="M326"/>
  <c r="I326"/>
  <c r="W341"/>
  <c r="S341"/>
  <c r="O341"/>
  <c r="K341"/>
  <c r="G341"/>
  <c r="X341"/>
  <c r="T341"/>
  <c r="P341"/>
  <c r="L341"/>
  <c r="H341"/>
  <c r="Y341"/>
  <c r="Q341"/>
  <c r="I341"/>
  <c r="V341"/>
  <c r="N341"/>
  <c r="F341"/>
  <c r="U341"/>
  <c r="M341"/>
  <c r="Z341"/>
  <c r="R341"/>
  <c r="J341"/>
  <c r="Y333"/>
  <c r="U333"/>
  <c r="Q333"/>
  <c r="M333"/>
  <c r="I333"/>
  <c r="Z333"/>
  <c r="V333"/>
  <c r="R333"/>
  <c r="N333"/>
  <c r="J333"/>
  <c r="F333"/>
  <c r="S333"/>
  <c r="K333"/>
  <c r="X333"/>
  <c r="P333"/>
  <c r="H333"/>
  <c r="W333"/>
  <c r="O333"/>
  <c r="G333"/>
  <c r="T333"/>
  <c r="L333"/>
  <c r="Z340"/>
  <c r="V340"/>
  <c r="R340"/>
  <c r="N340"/>
  <c r="J340"/>
  <c r="F340"/>
  <c r="W340"/>
  <c r="S340"/>
  <c r="O340"/>
  <c r="K340"/>
  <c r="G340"/>
  <c r="X340"/>
  <c r="T340"/>
  <c r="P340"/>
  <c r="L340"/>
  <c r="H340"/>
  <c r="Y340"/>
  <c r="U340"/>
  <c r="Q340"/>
  <c r="M340"/>
  <c r="I340"/>
  <c r="X332"/>
  <c r="T332"/>
  <c r="P332"/>
  <c r="L332"/>
  <c r="H332"/>
  <c r="Y332"/>
  <c r="U332"/>
  <c r="Q332"/>
  <c r="M332"/>
  <c r="I332"/>
  <c r="Z332"/>
  <c r="V332"/>
  <c r="R332"/>
  <c r="N332"/>
  <c r="J332"/>
  <c r="F332"/>
  <c r="W332"/>
  <c r="S332"/>
  <c r="O332"/>
  <c r="K332"/>
  <c r="G332"/>
  <c r="W321"/>
  <c r="S321"/>
  <c r="O321"/>
  <c r="K321"/>
  <c r="G321"/>
  <c r="X321"/>
  <c r="T321"/>
  <c r="P321"/>
  <c r="L321"/>
  <c r="H321"/>
  <c r="Y321"/>
  <c r="Q321"/>
  <c r="I321"/>
  <c r="V321"/>
  <c r="N321"/>
  <c r="F321"/>
  <c r="U321"/>
  <c r="M321"/>
  <c r="Z321"/>
  <c r="R321"/>
  <c r="J321"/>
  <c r="Z300"/>
  <c r="V300"/>
  <c r="R300"/>
  <c r="N300"/>
  <c r="J300"/>
  <c r="F300"/>
  <c r="W300"/>
  <c r="S300"/>
  <c r="O300"/>
  <c r="K300"/>
  <c r="G300"/>
  <c r="X300"/>
  <c r="T300"/>
  <c r="P300"/>
  <c r="L300"/>
  <c r="H300"/>
  <c r="Y300"/>
  <c r="U300"/>
  <c r="Q300"/>
  <c r="M300"/>
  <c r="I300"/>
  <c r="X294"/>
  <c r="T294"/>
  <c r="P294"/>
  <c r="L294"/>
  <c r="H294"/>
  <c r="Y294"/>
  <c r="U294"/>
  <c r="Q294"/>
  <c r="M294"/>
  <c r="I294"/>
  <c r="Z294"/>
  <c r="V294"/>
  <c r="R294"/>
  <c r="N294"/>
  <c r="J294"/>
  <c r="F294"/>
  <c r="W294"/>
  <c r="S294"/>
  <c r="O294"/>
  <c r="K294"/>
  <c r="G294"/>
  <c r="W307"/>
  <c r="S307"/>
  <c r="O307"/>
  <c r="K307"/>
  <c r="G307"/>
  <c r="X307"/>
  <c r="T307"/>
  <c r="P307"/>
  <c r="L307"/>
  <c r="H307"/>
  <c r="Y307"/>
  <c r="U307"/>
  <c r="Q307"/>
  <c r="M307"/>
  <c r="I307"/>
  <c r="Z307"/>
  <c r="V307"/>
  <c r="R307"/>
  <c r="N307"/>
  <c r="J307"/>
  <c r="F307"/>
  <c r="Z304"/>
  <c r="V304"/>
  <c r="R304"/>
  <c r="N304"/>
  <c r="J304"/>
  <c r="F304"/>
  <c r="W304"/>
  <c r="S304"/>
  <c r="O304"/>
  <c r="K304"/>
  <c r="G304"/>
  <c r="X304"/>
  <c r="T304"/>
  <c r="P304"/>
  <c r="L304"/>
  <c r="H304"/>
  <c r="Y304"/>
  <c r="U304"/>
  <c r="Q304"/>
  <c r="M304"/>
  <c r="I304"/>
  <c r="W295"/>
  <c r="S295"/>
  <c r="O295"/>
  <c r="K295"/>
  <c r="G295"/>
  <c r="X295"/>
  <c r="T295"/>
  <c r="P295"/>
  <c r="L295"/>
  <c r="H295"/>
  <c r="Y295"/>
  <c r="U295"/>
  <c r="Q295"/>
  <c r="M295"/>
  <c r="I295"/>
  <c r="Z295"/>
  <c r="V295"/>
  <c r="R295"/>
  <c r="N295"/>
  <c r="J295"/>
  <c r="F295"/>
  <c r="Z292"/>
  <c r="V292"/>
  <c r="R292"/>
  <c r="N292"/>
  <c r="J292"/>
  <c r="F292"/>
  <c r="W292"/>
  <c r="S292"/>
  <c r="O292"/>
  <c r="K292"/>
  <c r="G292"/>
  <c r="X292"/>
  <c r="T292"/>
  <c r="P292"/>
  <c r="L292"/>
  <c r="H292"/>
  <c r="Y292"/>
  <c r="U292"/>
  <c r="Q292"/>
  <c r="M292"/>
  <c r="I292"/>
  <c r="W303"/>
  <c r="S303"/>
  <c r="O303"/>
  <c r="K303"/>
  <c r="G303"/>
  <c r="X303"/>
  <c r="T303"/>
  <c r="P303"/>
  <c r="L303"/>
  <c r="H303"/>
  <c r="Y303"/>
  <c r="U303"/>
  <c r="Q303"/>
  <c r="M303"/>
  <c r="I303"/>
  <c r="Z303"/>
  <c r="V303"/>
  <c r="R303"/>
  <c r="N303"/>
  <c r="J303"/>
  <c r="F303"/>
  <c r="W302"/>
  <c r="S302"/>
  <c r="O302"/>
  <c r="K302"/>
  <c r="G302"/>
  <c r="T302"/>
  <c r="L302"/>
  <c r="Z302"/>
  <c r="R302"/>
  <c r="J302"/>
  <c r="U302"/>
  <c r="M302"/>
  <c r="X302"/>
  <c r="H302"/>
  <c r="N302"/>
  <c r="Y302"/>
  <c r="Q302"/>
  <c r="I302"/>
  <c r="P302"/>
  <c r="V302"/>
  <c r="F302"/>
  <c r="W299"/>
  <c r="S299"/>
  <c r="O299"/>
  <c r="K299"/>
  <c r="G299"/>
  <c r="X299"/>
  <c r="T299"/>
  <c r="P299"/>
  <c r="L299"/>
  <c r="H299"/>
  <c r="Y299"/>
  <c r="U299"/>
  <c r="Q299"/>
  <c r="M299"/>
  <c r="I299"/>
  <c r="Z299"/>
  <c r="V299"/>
  <c r="R299"/>
  <c r="N299"/>
  <c r="J299"/>
  <c r="F299"/>
  <c r="W305"/>
  <c r="S305"/>
  <c r="O305"/>
  <c r="K305"/>
  <c r="G305"/>
  <c r="X305"/>
  <c r="T305"/>
  <c r="P305"/>
  <c r="L305"/>
  <c r="H305"/>
  <c r="U305"/>
  <c r="R305"/>
  <c r="Y305"/>
  <c r="Q305"/>
  <c r="I305"/>
  <c r="V305"/>
  <c r="N305"/>
  <c r="F305"/>
  <c r="M305"/>
  <c r="Z305"/>
  <c r="J305"/>
  <c r="W289"/>
  <c r="S289"/>
  <c r="O289"/>
  <c r="K289"/>
  <c r="G289"/>
  <c r="X289"/>
  <c r="T289"/>
  <c r="P289"/>
  <c r="L289"/>
  <c r="H289"/>
  <c r="Y289"/>
  <c r="U289"/>
  <c r="Q289"/>
  <c r="M289"/>
  <c r="I289"/>
  <c r="Z289"/>
  <c r="V289"/>
  <c r="J289"/>
  <c r="N289"/>
  <c r="F289"/>
  <c r="R289"/>
  <c r="Z301"/>
  <c r="V301"/>
  <c r="R301"/>
  <c r="N301"/>
  <c r="J301"/>
  <c r="F301"/>
  <c r="S301"/>
  <c r="K301"/>
  <c r="Y301"/>
  <c r="Q301"/>
  <c r="I301"/>
  <c r="L301"/>
  <c r="G301"/>
  <c r="X301"/>
  <c r="P301"/>
  <c r="H301"/>
  <c r="O301"/>
  <c r="U301"/>
  <c r="T301"/>
  <c r="W301"/>
  <c r="M301"/>
  <c r="Z324"/>
  <c r="V324"/>
  <c r="R324"/>
  <c r="N324"/>
  <c r="J324"/>
  <c r="F324"/>
  <c r="W324"/>
  <c r="S324"/>
  <c r="O324"/>
  <c r="K324"/>
  <c r="G324"/>
  <c r="X324"/>
  <c r="T324"/>
  <c r="P324"/>
  <c r="L324"/>
  <c r="H324"/>
  <c r="Y324"/>
  <c r="U324"/>
  <c r="Q324"/>
  <c r="M324"/>
  <c r="I324"/>
  <c r="Y335"/>
  <c r="U335"/>
  <c r="Q335"/>
  <c r="M335"/>
  <c r="I335"/>
  <c r="Z335"/>
  <c r="V335"/>
  <c r="R335"/>
  <c r="N335"/>
  <c r="J335"/>
  <c r="F335"/>
  <c r="S335"/>
  <c r="K335"/>
  <c r="X335"/>
  <c r="P335"/>
  <c r="H335"/>
  <c r="W335"/>
  <c r="O335"/>
  <c r="G335"/>
  <c r="T335"/>
  <c r="L335"/>
  <c r="Z342"/>
  <c r="V342"/>
  <c r="R342"/>
  <c r="N342"/>
  <c r="J342"/>
  <c r="F342"/>
  <c r="W342"/>
  <c r="S342"/>
  <c r="O342"/>
  <c r="K342"/>
  <c r="G342"/>
  <c r="X342"/>
  <c r="T342"/>
  <c r="P342"/>
  <c r="L342"/>
  <c r="H342"/>
  <c r="Y342"/>
  <c r="U342"/>
  <c r="Q342"/>
  <c r="M342"/>
  <c r="I342"/>
  <c r="X334"/>
  <c r="T334"/>
  <c r="P334"/>
  <c r="L334"/>
  <c r="H334"/>
  <c r="Y334"/>
  <c r="U334"/>
  <c r="Q334"/>
  <c r="M334"/>
  <c r="I334"/>
  <c r="Z334"/>
  <c r="V334"/>
  <c r="R334"/>
  <c r="N334"/>
  <c r="J334"/>
  <c r="F334"/>
  <c r="W334"/>
  <c r="S334"/>
  <c r="O334"/>
  <c r="K334"/>
  <c r="G334"/>
  <c r="Y319"/>
  <c r="U319"/>
  <c r="Q319"/>
  <c r="M319"/>
  <c r="I319"/>
  <c r="Z319"/>
  <c r="V319"/>
  <c r="R319"/>
  <c r="N319"/>
  <c r="J319"/>
  <c r="F319"/>
  <c r="W319"/>
  <c r="S319"/>
  <c r="O319"/>
  <c r="K319"/>
  <c r="G319"/>
  <c r="X319"/>
  <c r="T319"/>
  <c r="P319"/>
  <c r="L319"/>
  <c r="H319"/>
  <c r="F13" i="6"/>
  <c r="E13"/>
  <c r="F15" s="1"/>
  <c r="L138" i="1"/>
  <c r="D138"/>
  <c r="L106"/>
  <c r="D106"/>
  <c r="L137"/>
  <c r="D137"/>
  <c r="O113"/>
  <c r="G113"/>
  <c r="L108"/>
  <c r="P192" s="1"/>
  <c r="D108"/>
  <c r="H192" s="1"/>
  <c r="L143"/>
  <c r="D143"/>
  <c r="O111"/>
  <c r="S191" s="1"/>
  <c r="G111"/>
  <c r="K191" s="1"/>
  <c r="P212"/>
  <c r="X212"/>
  <c r="H212"/>
  <c r="R210"/>
  <c r="J210"/>
  <c r="Q154"/>
  <c r="I154"/>
  <c r="P113"/>
  <c r="P111"/>
  <c r="T191" s="1"/>
  <c r="Q132"/>
  <c r="U203" s="1"/>
  <c r="I132"/>
  <c r="M203" s="1"/>
  <c r="F116"/>
  <c r="J214" s="1"/>
  <c r="M138"/>
  <c r="E138"/>
  <c r="Q122"/>
  <c r="I122"/>
  <c r="M106"/>
  <c r="E106"/>
  <c r="Q153"/>
  <c r="I153"/>
  <c r="M137"/>
  <c r="E137"/>
  <c r="Q121"/>
  <c r="I121"/>
  <c r="Q156"/>
  <c r="I156"/>
  <c r="M108"/>
  <c r="Q192" s="1"/>
  <c r="E108"/>
  <c r="I192" s="1"/>
  <c r="Q159"/>
  <c r="I159"/>
  <c r="M143"/>
  <c r="Q209" s="1"/>
  <c r="E143"/>
  <c r="I209" s="1"/>
  <c r="Q127"/>
  <c r="U213" s="1"/>
  <c r="I127"/>
  <c r="M213" s="1"/>
  <c r="Q124"/>
  <c r="U199" s="1"/>
  <c r="I124"/>
  <c r="M199" s="1"/>
  <c r="S154"/>
  <c r="K154"/>
  <c r="C154"/>
  <c r="S153"/>
  <c r="K153"/>
  <c r="H197"/>
  <c r="H161"/>
  <c r="U145"/>
  <c r="H113"/>
  <c r="H111"/>
  <c r="L191" s="1"/>
  <c r="AD195"/>
  <c r="AD196"/>
  <c r="P201"/>
  <c r="H201"/>
  <c r="Z210"/>
  <c r="T197"/>
  <c r="R211"/>
  <c r="J211"/>
  <c r="P199"/>
  <c r="H199"/>
  <c r="Y208"/>
  <c r="U208"/>
  <c r="M208"/>
  <c r="V197"/>
  <c r="T201"/>
  <c r="L201"/>
  <c r="Y201"/>
  <c r="Z197"/>
  <c r="V211"/>
  <c r="N211"/>
  <c r="T199"/>
  <c r="L199"/>
  <c r="Y207"/>
  <c r="U207"/>
  <c r="M207"/>
  <c r="J197"/>
  <c r="AD197" s="1"/>
  <c r="R145"/>
  <c r="I145"/>
  <c r="O129"/>
  <c r="G129"/>
  <c r="Q145"/>
  <c r="J145"/>
  <c r="P129"/>
  <c r="H129"/>
  <c r="M145"/>
  <c r="E145"/>
  <c r="S129"/>
  <c r="K129"/>
  <c r="S132"/>
  <c r="K132"/>
  <c r="C132"/>
  <c r="S138"/>
  <c r="K138"/>
  <c r="C138"/>
  <c r="S122"/>
  <c r="K122"/>
  <c r="C122"/>
  <c r="S106"/>
  <c r="K106"/>
  <c r="C153"/>
  <c r="S161"/>
  <c r="K161"/>
  <c r="C161"/>
  <c r="O161"/>
  <c r="G161"/>
  <c r="Z214"/>
  <c r="P209"/>
  <c r="H209"/>
  <c r="X211"/>
  <c r="P211"/>
  <c r="H211"/>
  <c r="T204"/>
  <c r="L204"/>
  <c r="P198"/>
  <c r="H198"/>
  <c r="L212"/>
  <c r="W205"/>
  <c r="W206"/>
  <c r="O205"/>
  <c r="O206"/>
  <c r="G205"/>
  <c r="G206"/>
  <c r="Y203"/>
  <c r="U205"/>
  <c r="U206"/>
  <c r="M205"/>
  <c r="M206"/>
  <c r="U204"/>
  <c r="M204"/>
  <c r="W202"/>
  <c r="O202"/>
  <c r="G202"/>
  <c r="W204"/>
  <c r="O204"/>
  <c r="G204"/>
  <c r="T210"/>
  <c r="L210"/>
  <c r="X202"/>
  <c r="P202"/>
  <c r="H202"/>
  <c r="T200"/>
  <c r="L200"/>
  <c r="Y200"/>
  <c r="T209"/>
  <c r="L209"/>
  <c r="P204"/>
  <c r="H204"/>
  <c r="AA195"/>
  <c r="AB195" s="1"/>
  <c r="AC195" s="1"/>
  <c r="T198"/>
  <c r="L198"/>
  <c r="Z211"/>
  <c r="T212"/>
  <c r="Y205"/>
  <c r="Y206"/>
  <c r="X210"/>
  <c r="P210"/>
  <c r="H210"/>
  <c r="T202"/>
  <c r="L202"/>
  <c r="Y202"/>
  <c r="P200"/>
  <c r="H200"/>
  <c r="U200"/>
  <c r="M200"/>
  <c r="T193"/>
  <c r="T194"/>
  <c r="L193"/>
  <c r="L194"/>
  <c r="T205"/>
  <c r="T206"/>
  <c r="T203"/>
  <c r="T207"/>
  <c r="T208"/>
  <c r="L205"/>
  <c r="L206"/>
  <c r="L203"/>
  <c r="L207"/>
  <c r="L208"/>
  <c r="V194"/>
  <c r="V193"/>
  <c r="N194"/>
  <c r="N193"/>
  <c r="C106"/>
  <c r="S137"/>
  <c r="K137"/>
  <c r="C137"/>
  <c r="S121"/>
  <c r="K121"/>
  <c r="C121"/>
  <c r="S156"/>
  <c r="K156"/>
  <c r="C156"/>
  <c r="S108"/>
  <c r="W192" s="1"/>
  <c r="K108"/>
  <c r="O192" s="1"/>
  <c r="C108"/>
  <c r="G192" s="1"/>
  <c r="S159"/>
  <c r="K159"/>
  <c r="C159"/>
  <c r="S143"/>
  <c r="W209" s="1"/>
  <c r="K143"/>
  <c r="O209" s="1"/>
  <c r="C143"/>
  <c r="G209" s="1"/>
  <c r="S127"/>
  <c r="W201" s="1"/>
  <c r="K127"/>
  <c r="O201" s="1"/>
  <c r="C127"/>
  <c r="G201" s="1"/>
  <c r="S124"/>
  <c r="W199" s="1"/>
  <c r="K124"/>
  <c r="O199" s="1"/>
  <c r="C124"/>
  <c r="G199" s="1"/>
  <c r="Q146"/>
  <c r="I146"/>
  <c r="M130"/>
  <c r="E130"/>
  <c r="Q114"/>
  <c r="I114"/>
  <c r="AA196"/>
  <c r="AB196" s="1"/>
  <c r="AC196" s="1"/>
  <c r="Z194"/>
  <c r="Z193"/>
  <c r="X193"/>
  <c r="X194"/>
  <c r="P193"/>
  <c r="P194"/>
  <c r="H193"/>
  <c r="H194"/>
  <c r="P206"/>
  <c r="P203"/>
  <c r="P207"/>
  <c r="P205"/>
  <c r="P208"/>
  <c r="H206"/>
  <c r="H203"/>
  <c r="H207"/>
  <c r="H205"/>
  <c r="H208"/>
  <c r="R194"/>
  <c r="R193"/>
  <c r="J194"/>
  <c r="J193"/>
  <c r="M132"/>
  <c r="E132"/>
  <c r="E116"/>
  <c r="I214" s="1"/>
  <c r="N116"/>
  <c r="R214" s="1"/>
  <c r="M154"/>
  <c r="E154"/>
  <c r="Q138"/>
  <c r="I138"/>
  <c r="M122"/>
  <c r="E122"/>
  <c r="Q106"/>
  <c r="I106"/>
  <c r="M153"/>
  <c r="E153"/>
  <c r="Q137"/>
  <c r="I137"/>
  <c r="M121"/>
  <c r="E121"/>
  <c r="L113"/>
  <c r="D113"/>
  <c r="M156"/>
  <c r="E156"/>
  <c r="Q108"/>
  <c r="U192" s="1"/>
  <c r="I108"/>
  <c r="M192" s="1"/>
  <c r="M159"/>
  <c r="E159"/>
  <c r="Q143"/>
  <c r="U209" s="1"/>
  <c r="I143"/>
  <c r="M209" s="1"/>
  <c r="M127"/>
  <c r="E127"/>
  <c r="L111"/>
  <c r="P191" s="1"/>
  <c r="D111"/>
  <c r="H191" s="1"/>
  <c r="M124"/>
  <c r="Q199" s="1"/>
  <c r="E124"/>
  <c r="I199" s="1"/>
  <c r="R132"/>
  <c r="V203" s="1"/>
  <c r="J132"/>
  <c r="N204" s="1"/>
  <c r="O132"/>
  <c r="G132"/>
  <c r="S116"/>
  <c r="W214" s="1"/>
  <c r="C116"/>
  <c r="G214" s="1"/>
  <c r="H116"/>
  <c r="L214" s="1"/>
  <c r="J116"/>
  <c r="N214" s="1"/>
  <c r="R154"/>
  <c r="J154"/>
  <c r="O154"/>
  <c r="G154"/>
  <c r="R138"/>
  <c r="J138"/>
  <c r="O138"/>
  <c r="G138"/>
  <c r="R122"/>
  <c r="J122"/>
  <c r="O122"/>
  <c r="G122"/>
  <c r="R106"/>
  <c r="J106"/>
  <c r="O106"/>
  <c r="G106"/>
  <c r="R153"/>
  <c r="J153"/>
  <c r="O153"/>
  <c r="G153"/>
  <c r="R137"/>
  <c r="J137"/>
  <c r="O137"/>
  <c r="G137"/>
  <c r="R121"/>
  <c r="J121"/>
  <c r="O121"/>
  <c r="G121"/>
  <c r="Q113"/>
  <c r="I113"/>
  <c r="R156"/>
  <c r="J156"/>
  <c r="O156"/>
  <c r="G156"/>
  <c r="R108"/>
  <c r="V192" s="1"/>
  <c r="J108"/>
  <c r="N192" s="1"/>
  <c r="O108"/>
  <c r="S192" s="1"/>
  <c r="G108"/>
  <c r="K192" s="1"/>
  <c r="R159"/>
  <c r="J159"/>
  <c r="O159"/>
  <c r="G159"/>
  <c r="R143"/>
  <c r="V209" s="1"/>
  <c r="J143"/>
  <c r="N209" s="1"/>
  <c r="O143"/>
  <c r="S209" s="1"/>
  <c r="G143"/>
  <c r="K209" s="1"/>
  <c r="R127"/>
  <c r="V213" s="1"/>
  <c r="J127"/>
  <c r="N213" s="1"/>
  <c r="O127"/>
  <c r="S201" s="1"/>
  <c r="G127"/>
  <c r="K201" s="1"/>
  <c r="Q111"/>
  <c r="U191" s="1"/>
  <c r="I111"/>
  <c r="M191" s="1"/>
  <c r="R124"/>
  <c r="V199" s="1"/>
  <c r="J124"/>
  <c r="N199" s="1"/>
  <c r="O124"/>
  <c r="S199" s="1"/>
  <c r="G124"/>
  <c r="K199" s="1"/>
  <c r="R140"/>
  <c r="J140"/>
  <c r="G140"/>
  <c r="M146"/>
  <c r="E146"/>
  <c r="Q130"/>
  <c r="I130"/>
  <c r="M114"/>
  <c r="E114"/>
  <c r="V146"/>
  <c r="V137"/>
  <c r="V154"/>
  <c r="T154"/>
  <c r="T122"/>
  <c r="T132"/>
  <c r="X206" s="1"/>
  <c r="T113"/>
  <c r="F146"/>
  <c r="J130"/>
  <c r="N201" s="1"/>
  <c r="F114"/>
  <c r="V106"/>
  <c r="V153"/>
  <c r="V124"/>
  <c r="Z199" s="1"/>
  <c r="V156"/>
  <c r="V111"/>
  <c r="Z191" s="1"/>
  <c r="T159"/>
  <c r="T127"/>
  <c r="X201" s="1"/>
  <c r="T156"/>
  <c r="T124"/>
  <c r="X199" s="1"/>
  <c r="T153"/>
  <c r="T121"/>
  <c r="J146"/>
  <c r="F130"/>
  <c r="R114"/>
  <c r="Q140"/>
  <c r="N132"/>
  <c r="R206" s="1"/>
  <c r="F132"/>
  <c r="J204" s="1"/>
  <c r="O116"/>
  <c r="S214" s="1"/>
  <c r="G116"/>
  <c r="K214" s="1"/>
  <c r="P116"/>
  <c r="T214" s="1"/>
  <c r="R116"/>
  <c r="V214" s="1"/>
  <c r="N154"/>
  <c r="F154"/>
  <c r="N138"/>
  <c r="F138"/>
  <c r="N122"/>
  <c r="F122"/>
  <c r="N106"/>
  <c r="F106"/>
  <c r="N153"/>
  <c r="F153"/>
  <c r="N137"/>
  <c r="F137"/>
  <c r="N121"/>
  <c r="F121"/>
  <c r="M113"/>
  <c r="E113"/>
  <c r="N156"/>
  <c r="F156"/>
  <c r="N108"/>
  <c r="R192" s="1"/>
  <c r="F108"/>
  <c r="J192" s="1"/>
  <c r="N159"/>
  <c r="F159"/>
  <c r="N143"/>
  <c r="R209" s="1"/>
  <c r="F143"/>
  <c r="J209" s="1"/>
  <c r="N127"/>
  <c r="R213" s="1"/>
  <c r="F127"/>
  <c r="J213" s="1"/>
  <c r="M111"/>
  <c r="Q191" s="1"/>
  <c r="E111"/>
  <c r="I191" s="1"/>
  <c r="N124"/>
  <c r="R199" s="1"/>
  <c r="F124"/>
  <c r="J199" s="1"/>
  <c r="O140"/>
  <c r="M140"/>
  <c r="C140"/>
  <c r="V132"/>
  <c r="Z206" s="1"/>
  <c r="V122"/>
  <c r="V143"/>
  <c r="Z209" s="1"/>
  <c r="V140"/>
  <c r="V114"/>
  <c r="V127"/>
  <c r="Z213" s="1"/>
  <c r="T138"/>
  <c r="T106"/>
  <c r="U116"/>
  <c r="Y214" s="1"/>
  <c r="N146"/>
  <c r="R130"/>
  <c r="V201" s="1"/>
  <c r="N114"/>
  <c r="V138"/>
  <c r="V121"/>
  <c r="V159"/>
  <c r="V130"/>
  <c r="Z201" s="1"/>
  <c r="V113"/>
  <c r="V108"/>
  <c r="Z192" s="1"/>
  <c r="T143"/>
  <c r="X209" s="1"/>
  <c r="T111"/>
  <c r="X191" s="1"/>
  <c r="T140"/>
  <c r="T108"/>
  <c r="X192" s="1"/>
  <c r="T137"/>
  <c r="R146"/>
  <c r="N130"/>
  <c r="J114"/>
  <c r="AD342" i="4" l="1"/>
  <c r="AA342"/>
  <c r="AB342" s="1"/>
  <c r="AC342" s="1"/>
  <c r="AA335"/>
  <c r="AB335" s="1"/>
  <c r="AC335" s="1"/>
  <c r="AD335"/>
  <c r="AD324"/>
  <c r="AA324"/>
  <c r="AB324" s="1"/>
  <c r="AC324" s="1"/>
  <c r="AA289"/>
  <c r="AB289" s="1"/>
  <c r="AC289" s="1"/>
  <c r="AD289"/>
  <c r="AD302"/>
  <c r="AA302"/>
  <c r="AB302" s="1"/>
  <c r="AC302" s="1"/>
  <c r="AD300"/>
  <c r="AA300"/>
  <c r="AB300" s="1"/>
  <c r="AC300" s="1"/>
  <c r="AD332"/>
  <c r="AA332"/>
  <c r="AB332" s="1"/>
  <c r="AC332" s="1"/>
  <c r="AA323"/>
  <c r="AB323" s="1"/>
  <c r="AC323" s="1"/>
  <c r="AD323"/>
  <c r="AD330"/>
  <c r="AA330"/>
  <c r="AB330" s="1"/>
  <c r="AC330" s="1"/>
  <c r="AD296"/>
  <c r="AA296"/>
  <c r="AB296" s="1"/>
  <c r="AC296" s="1"/>
  <c r="AD288"/>
  <c r="AA288"/>
  <c r="AB288" s="1"/>
  <c r="AC288" s="1"/>
  <c r="AA329"/>
  <c r="AB329" s="1"/>
  <c r="AC329" s="1"/>
  <c r="AD329"/>
  <c r="AD327"/>
  <c r="AA327"/>
  <c r="AB327" s="1"/>
  <c r="AC327" s="1"/>
  <c r="AA339"/>
  <c r="AB339" s="1"/>
  <c r="AC339" s="1"/>
  <c r="AD339"/>
  <c r="AD320"/>
  <c r="AA320"/>
  <c r="AB320" s="1"/>
  <c r="AC320" s="1"/>
  <c r="AA293"/>
  <c r="AB293" s="1"/>
  <c r="AC293" s="1"/>
  <c r="AD293"/>
  <c r="AA297"/>
  <c r="AB297" s="1"/>
  <c r="AC297" s="1"/>
  <c r="AD297"/>
  <c r="AD310"/>
  <c r="AA310"/>
  <c r="AB310" s="1"/>
  <c r="AC310" s="1"/>
  <c r="AA291"/>
  <c r="AB291" s="1"/>
  <c r="AC291" s="1"/>
  <c r="AD291"/>
  <c r="AD298"/>
  <c r="AA298"/>
  <c r="AB298" s="1"/>
  <c r="AC298" s="1"/>
  <c r="AA319"/>
  <c r="AB319" s="1"/>
  <c r="AD319"/>
  <c r="AD334"/>
  <c r="AA334"/>
  <c r="AB334" s="1"/>
  <c r="AC334" s="1"/>
  <c r="AD301"/>
  <c r="AA301"/>
  <c r="AB301" s="1"/>
  <c r="AC301" s="1"/>
  <c r="AA305"/>
  <c r="AB305" s="1"/>
  <c r="AC305" s="1"/>
  <c r="AD305"/>
  <c r="AA299"/>
  <c r="AB299" s="1"/>
  <c r="AC299" s="1"/>
  <c r="AD299"/>
  <c r="AA303"/>
  <c r="AB303" s="1"/>
  <c r="AC303" s="1"/>
  <c r="AD303"/>
  <c r="AD292"/>
  <c r="AA292"/>
  <c r="AB292" s="1"/>
  <c r="AC292" s="1"/>
  <c r="AA295"/>
  <c r="AB295" s="1"/>
  <c r="AC295" s="1"/>
  <c r="AD295"/>
  <c r="AD304"/>
  <c r="AA304"/>
  <c r="AB304" s="1"/>
  <c r="AC304" s="1"/>
  <c r="AA307"/>
  <c r="AB307" s="1"/>
  <c r="AC307" s="1"/>
  <c r="AD307"/>
  <c r="AD294"/>
  <c r="AA294"/>
  <c r="AB294" s="1"/>
  <c r="AC294" s="1"/>
  <c r="AA321"/>
  <c r="AB321" s="1"/>
  <c r="AC321" s="1"/>
  <c r="AD321"/>
  <c r="AD340"/>
  <c r="AA340"/>
  <c r="AB340" s="1"/>
  <c r="AC340" s="1"/>
  <c r="AA333"/>
  <c r="AB333" s="1"/>
  <c r="AC333" s="1"/>
  <c r="AD333"/>
  <c r="AA341"/>
  <c r="AB341" s="1"/>
  <c r="AC341" s="1"/>
  <c r="AD341"/>
  <c r="AA326"/>
  <c r="AB326" s="1"/>
  <c r="AC326" s="1"/>
  <c r="AD326"/>
  <c r="AD306"/>
  <c r="AA306"/>
  <c r="AB306" s="1"/>
  <c r="AC306" s="1"/>
  <c r="AA325"/>
  <c r="AB325" s="1"/>
  <c r="AC325" s="1"/>
  <c r="AD325"/>
  <c r="AD328"/>
  <c r="AA328"/>
  <c r="AB328" s="1"/>
  <c r="AC328" s="1"/>
  <c r="AD336"/>
  <c r="AA336"/>
  <c r="AB336" s="1"/>
  <c r="AC336" s="1"/>
  <c r="AA337"/>
  <c r="AB337" s="1"/>
  <c r="AC337" s="1"/>
  <c r="AD337"/>
  <c r="AD322"/>
  <c r="AA322"/>
  <c r="AB322" s="1"/>
  <c r="AC322" s="1"/>
  <c r="AD338"/>
  <c r="AA338"/>
  <c r="AB338" s="1"/>
  <c r="AC338" s="1"/>
  <c r="AA331"/>
  <c r="AB331" s="1"/>
  <c r="AC331" s="1"/>
  <c r="AD331"/>
  <c r="AA309"/>
  <c r="AB309" s="1"/>
  <c r="AC309" s="1"/>
  <c r="AD309"/>
  <c r="AA287"/>
  <c r="AB287" s="1"/>
  <c r="AD287"/>
  <c r="AD308"/>
  <c r="AA308"/>
  <c r="AB308" s="1"/>
  <c r="AC308" s="1"/>
  <c r="AD290"/>
  <c r="AA290"/>
  <c r="AB290" s="1"/>
  <c r="AC290" s="1"/>
  <c r="M198" i="1"/>
  <c r="U198"/>
  <c r="AA197"/>
  <c r="AB197" s="1"/>
  <c r="AC197" s="1"/>
  <c r="AD191"/>
  <c r="AD194"/>
  <c r="AD211"/>
  <c r="AD193"/>
  <c r="AD212"/>
  <c r="AD199"/>
  <c r="AD209"/>
  <c r="AD192"/>
  <c r="AD210"/>
  <c r="AD214"/>
  <c r="R201"/>
  <c r="AA199"/>
  <c r="AB199" s="1"/>
  <c r="AC199" s="1"/>
  <c r="K207"/>
  <c r="K208"/>
  <c r="I207"/>
  <c r="I208"/>
  <c r="O203"/>
  <c r="O207"/>
  <c r="O208"/>
  <c r="J198"/>
  <c r="J201"/>
  <c r="X198"/>
  <c r="K198"/>
  <c r="N198"/>
  <c r="I198"/>
  <c r="J208"/>
  <c r="R208"/>
  <c r="X208"/>
  <c r="Z208"/>
  <c r="N208"/>
  <c r="V208"/>
  <c r="O198"/>
  <c r="S207"/>
  <c r="S208"/>
  <c r="Q207"/>
  <c r="Q208"/>
  <c r="G203"/>
  <c r="G207"/>
  <c r="G208"/>
  <c r="W203"/>
  <c r="W207"/>
  <c r="W208"/>
  <c r="Z198"/>
  <c r="R198"/>
  <c r="S198"/>
  <c r="V198"/>
  <c r="Q198"/>
  <c r="J207"/>
  <c r="R207"/>
  <c r="X207"/>
  <c r="Z207"/>
  <c r="N207"/>
  <c r="V207"/>
  <c r="G198"/>
  <c r="W198"/>
  <c r="AA210"/>
  <c r="AB210" s="1"/>
  <c r="AC210" s="1"/>
  <c r="AA193"/>
  <c r="AB193" s="1"/>
  <c r="AC193" s="1"/>
  <c r="AA212"/>
  <c r="AB212" s="1"/>
  <c r="AC212" s="1"/>
  <c r="M201"/>
  <c r="M202"/>
  <c r="S213"/>
  <c r="S200"/>
  <c r="S204"/>
  <c r="S206"/>
  <c r="S205"/>
  <c r="S203"/>
  <c r="Q213"/>
  <c r="Q200"/>
  <c r="Q204"/>
  <c r="Q206"/>
  <c r="Q205"/>
  <c r="Q203"/>
  <c r="Q201"/>
  <c r="Q202"/>
  <c r="G213"/>
  <c r="G200"/>
  <c r="W213"/>
  <c r="W200"/>
  <c r="J206"/>
  <c r="R203"/>
  <c r="R205"/>
  <c r="X205"/>
  <c r="X203"/>
  <c r="AA194"/>
  <c r="AB194" s="1"/>
  <c r="AC194" s="1"/>
  <c r="Z203"/>
  <c r="Z205"/>
  <c r="N205"/>
  <c r="N203"/>
  <c r="V206"/>
  <c r="V204"/>
  <c r="R200"/>
  <c r="R202"/>
  <c r="X204"/>
  <c r="R204"/>
  <c r="V200"/>
  <c r="N202"/>
  <c r="AA209"/>
  <c r="AB209" s="1"/>
  <c r="AC209" s="1"/>
  <c r="Z204"/>
  <c r="Z200"/>
  <c r="X213"/>
  <c r="X200"/>
  <c r="U201"/>
  <c r="U202"/>
  <c r="K213"/>
  <c r="K200"/>
  <c r="K204"/>
  <c r="K206"/>
  <c r="K205"/>
  <c r="K203"/>
  <c r="I213"/>
  <c r="I200"/>
  <c r="I204"/>
  <c r="I206"/>
  <c r="I205"/>
  <c r="I203"/>
  <c r="I201"/>
  <c r="I202"/>
  <c r="O213"/>
  <c r="O200"/>
  <c r="AA191"/>
  <c r="AB191" s="1"/>
  <c r="AC191" s="1"/>
  <c r="J203"/>
  <c r="J205"/>
  <c r="N206"/>
  <c r="V205"/>
  <c r="J200"/>
  <c r="J202"/>
  <c r="Z202"/>
  <c r="N200"/>
  <c r="V202"/>
  <c r="AA211"/>
  <c r="AB211" s="1"/>
  <c r="AC211" s="1"/>
  <c r="AA214"/>
  <c r="AB214" s="1"/>
  <c r="AC214" s="1"/>
  <c r="AA192"/>
  <c r="AB192" s="1"/>
  <c r="AC192" s="1"/>
  <c r="AB312" i="4" l="1"/>
  <c r="AC287"/>
  <c r="AC312" s="1"/>
  <c r="B313" s="1"/>
  <c r="E26" i="6" s="1"/>
  <c r="AB344" i="4"/>
  <c r="AC319"/>
  <c r="AC344" s="1"/>
  <c r="B345" s="1"/>
  <c r="F26" i="6" s="1"/>
  <c r="AD201" i="1"/>
  <c r="AD208"/>
  <c r="AD205"/>
  <c r="AD204"/>
  <c r="AD202"/>
  <c r="AD206"/>
  <c r="AD200"/>
  <c r="AD198"/>
  <c r="AD207"/>
  <c r="AD213"/>
  <c r="AD203"/>
  <c r="AA207"/>
  <c r="AB207" s="1"/>
  <c r="AC207" s="1"/>
  <c r="AA198"/>
  <c r="AB198" s="1"/>
  <c r="AC198" s="1"/>
  <c r="AA208"/>
  <c r="AB208" s="1"/>
  <c r="AC208" s="1"/>
  <c r="AA213"/>
  <c r="AB213" s="1"/>
  <c r="AC213" s="1"/>
  <c r="AA201"/>
  <c r="AB201" s="1"/>
  <c r="AC201" s="1"/>
  <c r="AA204"/>
  <c r="AB204" s="1"/>
  <c r="AC204" s="1"/>
  <c r="AA203"/>
  <c r="AB203" s="1"/>
  <c r="AC203" s="1"/>
  <c r="AA200"/>
  <c r="AB200" s="1"/>
  <c r="AC200" s="1"/>
  <c r="AA206"/>
  <c r="AB206" s="1"/>
  <c r="AC206" s="1"/>
  <c r="AA202"/>
  <c r="AB202" s="1"/>
  <c r="AC202" s="1"/>
  <c r="AA205"/>
  <c r="AB205" s="1"/>
  <c r="AC205" s="1"/>
  <c r="AC216" l="1"/>
  <c r="B217" s="1"/>
  <c r="AB216"/>
  <c r="B25" i="6" l="1"/>
  <c r="B27" s="1"/>
  <c r="B29" l="1"/>
  <c r="B28"/>
  <c r="B30" s="1"/>
  <c r="B248" i="1"/>
  <c r="B31" i="6" l="1"/>
  <c r="C245" i="1" l="1"/>
  <c r="D245" s="1" a="1"/>
  <c r="C241" l="1"/>
  <c r="C233"/>
  <c r="D233" s="1" a="1"/>
  <c r="C228"/>
  <c r="D228" s="1" a="1"/>
  <c r="C226"/>
  <c r="D226" s="1" a="1"/>
  <c r="C223"/>
  <c r="D223" s="1" a="1"/>
  <c r="C235"/>
  <c r="D235" s="1" a="1"/>
  <c r="C234"/>
  <c r="D234" s="1" a="1"/>
  <c r="C243"/>
  <c r="D243" s="1" a="1"/>
  <c r="C225"/>
  <c r="D225" s="1" a="1"/>
  <c r="C236"/>
  <c r="D236" s="1" a="1"/>
  <c r="C246"/>
  <c r="D246" s="1" a="1"/>
  <c r="C227"/>
  <c r="D227" s="1" a="1"/>
  <c r="C238"/>
  <c r="D238" s="1" a="1"/>
  <c r="C230"/>
  <c r="D230" s="1" a="1"/>
  <c r="C242"/>
  <c r="C13" i="6" s="1"/>
  <c r="D15" s="1"/>
  <c r="C237" i="1"/>
  <c r="D237" s="1" a="1"/>
  <c r="C229"/>
  <c r="D229" s="1" a="1"/>
  <c r="C244"/>
  <c r="D244" s="1" a="1"/>
  <c r="C240"/>
  <c r="D240" s="1" a="1"/>
  <c r="C232"/>
  <c r="D232" s="1" a="1"/>
  <c r="C224"/>
  <c r="D224" s="1" a="1"/>
  <c r="C239"/>
  <c r="D239" s="1" a="1"/>
  <c r="C231"/>
  <c r="D231" s="1" a="1"/>
  <c r="E226" a="1"/>
  <c r="E226" s="1"/>
  <c r="E228" a="1"/>
  <c r="E228" s="1"/>
  <c r="E245" a="1"/>
  <c r="E245" s="1"/>
  <c r="D245"/>
  <c r="D238"/>
  <c r="D230"/>
  <c r="E230" a="1"/>
  <c r="E230" s="1"/>
  <c r="D242"/>
  <c r="D237"/>
  <c r="E237" a="1"/>
  <c r="E237" s="1"/>
  <c r="D229"/>
  <c r="D244"/>
  <c r="E244" a="1"/>
  <c r="E244" s="1"/>
  <c r="D240"/>
  <c r="D232"/>
  <c r="E232" a="1"/>
  <c r="E232" s="1"/>
  <c r="D224"/>
  <c r="D239"/>
  <c r="E239" a="1"/>
  <c r="E239" s="1"/>
  <c r="E231" a="1"/>
  <c r="E231" s="1"/>
  <c r="D241"/>
  <c r="E241" a="1"/>
  <c r="E241" s="1"/>
  <c r="D227" l="1"/>
  <c r="E233" a="1"/>
  <c r="E233" s="1"/>
  <c r="D235"/>
  <c r="D236"/>
  <c r="E243" a="1"/>
  <c r="E243" s="1"/>
  <c r="D241" a="1"/>
  <c r="D242" a="1"/>
  <c r="E234" a="1"/>
  <c r="E234" s="1"/>
  <c r="D290" a="1"/>
  <c r="D290" s="1"/>
  <c r="E290" a="1"/>
  <c r="E290" s="1"/>
  <c r="D266" a="1"/>
  <c r="D266" s="1"/>
  <c r="E266" a="1"/>
  <c r="E266" s="1"/>
  <c r="D276" a="1"/>
  <c r="D276" s="1"/>
  <c r="E276" a="1"/>
  <c r="E276" s="1"/>
  <c r="D294" a="1"/>
  <c r="D294" s="1"/>
  <c r="E294" a="1"/>
  <c r="E294" s="1"/>
  <c r="D300" a="1"/>
  <c r="D300" s="1"/>
  <c r="E300" a="1"/>
  <c r="E300" s="1"/>
  <c r="D302" a="1"/>
  <c r="D302" s="1"/>
  <c r="E302" a="1"/>
  <c r="E302" s="1"/>
  <c r="D272" a="1"/>
  <c r="D272" s="1"/>
  <c r="E272" a="1"/>
  <c r="E272" s="1"/>
  <c r="D268" a="1"/>
  <c r="D268" s="1"/>
  <c r="E268" a="1"/>
  <c r="E268" s="1"/>
  <c r="D278" a="1"/>
  <c r="D278" s="1"/>
  <c r="E278" a="1"/>
  <c r="E278" s="1"/>
  <c r="D296" a="1"/>
  <c r="D296" s="1"/>
  <c r="E296" a="1"/>
  <c r="E296" s="1"/>
  <c r="D298" a="1"/>
  <c r="D298" s="1"/>
  <c r="E298" a="1"/>
  <c r="E298" s="1"/>
  <c r="E336" a="1"/>
  <c r="E336" s="1"/>
  <c r="D336" a="1"/>
  <c r="D336" s="1"/>
  <c r="D320" a="1"/>
  <c r="D320" s="1"/>
  <c r="E320" a="1"/>
  <c r="E320" s="1"/>
  <c r="D334" a="1"/>
  <c r="D334" s="1"/>
  <c r="E334" a="1"/>
  <c r="E334" s="1"/>
  <c r="D258" a="1"/>
  <c r="D258" s="1"/>
  <c r="E258" a="1"/>
  <c r="E258" s="1"/>
  <c r="E332" a="1"/>
  <c r="E332" s="1"/>
  <c r="D332" a="1"/>
  <c r="D332" s="1"/>
  <c r="D256" a="1"/>
  <c r="D256" s="1"/>
  <c r="E256" a="1"/>
  <c r="E256" s="1"/>
  <c r="D330" a="1"/>
  <c r="D330" s="1"/>
  <c r="E330" a="1"/>
  <c r="E330" s="1"/>
  <c r="E255" a="1"/>
  <c r="E255" s="1"/>
  <c r="D255" a="1"/>
  <c r="D255" s="1"/>
  <c r="C280"/>
  <c r="D263" a="1"/>
  <c r="D263" s="1"/>
  <c r="E263" a="1"/>
  <c r="E263" s="1"/>
  <c r="D271" a="1"/>
  <c r="D271" s="1"/>
  <c r="E271" a="1"/>
  <c r="E271" s="1"/>
  <c r="E289" a="1"/>
  <c r="E289" s="1"/>
  <c r="D289" a="1"/>
  <c r="D289" s="1"/>
  <c r="E297" a="1"/>
  <c r="E297" s="1"/>
  <c r="D297" a="1"/>
  <c r="D297" s="1"/>
  <c r="E305" a="1"/>
  <c r="E305" s="1"/>
  <c r="D305" a="1"/>
  <c r="D305" s="1"/>
  <c r="E319" a="1"/>
  <c r="E319" s="1"/>
  <c r="C344"/>
  <c r="D319" a="1"/>
  <c r="D319" s="1"/>
  <c r="E327" a="1"/>
  <c r="E327" s="1"/>
  <c r="D327" a="1"/>
  <c r="D327" s="1"/>
  <c r="E335" a="1"/>
  <c r="E335" s="1"/>
  <c r="D335" a="1"/>
  <c r="D335" s="1"/>
  <c r="E257" a="1"/>
  <c r="E257" s="1"/>
  <c r="D257" a="1"/>
  <c r="D257" s="1"/>
  <c r="D265" a="1"/>
  <c r="D265" s="1"/>
  <c r="E265" a="1"/>
  <c r="E265" s="1"/>
  <c r="D273" a="1"/>
  <c r="D273" s="1"/>
  <c r="E273" a="1"/>
  <c r="E273" s="1"/>
  <c r="E287" a="1"/>
  <c r="E287" s="1"/>
  <c r="C312"/>
  <c r="D287" a="1"/>
  <c r="D287" s="1"/>
  <c r="D295" a="1"/>
  <c r="D295" s="1"/>
  <c r="E295" a="1"/>
  <c r="E295" s="1"/>
  <c r="E303" a="1"/>
  <c r="E303" s="1"/>
  <c r="D303" a="1"/>
  <c r="D303" s="1"/>
  <c r="D321" a="1"/>
  <c r="D321" s="1"/>
  <c r="E321" a="1"/>
  <c r="E321" s="1"/>
  <c r="E329" a="1"/>
  <c r="E329" s="1"/>
  <c r="D329" a="1"/>
  <c r="D329" s="1"/>
  <c r="E337" a="1"/>
  <c r="E337" s="1"/>
  <c r="D337" a="1"/>
  <c r="D337" s="1"/>
  <c r="D262" a="1"/>
  <c r="D262" s="1"/>
  <c r="E262" a="1"/>
  <c r="E262" s="1"/>
  <c r="D270" a="1"/>
  <c r="D270" s="1"/>
  <c r="E270" a="1"/>
  <c r="E270" s="1"/>
  <c r="E288" a="1"/>
  <c r="E288" s="1"/>
  <c r="D288" a="1"/>
  <c r="D288" s="1"/>
  <c r="D260" a="1"/>
  <c r="D260" s="1"/>
  <c r="E260" a="1"/>
  <c r="E260" s="1"/>
  <c r="D310" a="1"/>
  <c r="D310" s="1"/>
  <c r="E310" a="1"/>
  <c r="E310" s="1"/>
  <c r="D308" a="1"/>
  <c r="D308" s="1"/>
  <c r="E308" a="1"/>
  <c r="E308" s="1"/>
  <c r="D264" a="1"/>
  <c r="D264" s="1"/>
  <c r="E264" a="1"/>
  <c r="E264" s="1"/>
  <c r="D274" a="1"/>
  <c r="D274" s="1"/>
  <c r="E274" a="1"/>
  <c r="E274" s="1"/>
  <c r="E292" a="1"/>
  <c r="E292" s="1"/>
  <c r="D292" a="1"/>
  <c r="D292" s="1"/>
  <c r="D304" a="1"/>
  <c r="D304" s="1"/>
  <c r="E304" a="1"/>
  <c r="E304" s="1"/>
  <c r="D306" a="1"/>
  <c r="D306" s="1"/>
  <c r="E306" a="1"/>
  <c r="E306" s="1"/>
  <c r="E328" a="1"/>
  <c r="E328" s="1"/>
  <c r="D328" a="1"/>
  <c r="D328" s="1"/>
  <c r="D342" a="1"/>
  <c r="D342" s="1"/>
  <c r="E342" a="1"/>
  <c r="E342" s="1"/>
  <c r="D326" a="1"/>
  <c r="D326" s="1"/>
  <c r="E326" a="1"/>
  <c r="E326" s="1"/>
  <c r="E340" a="1"/>
  <c r="E340" s="1"/>
  <c r="D340" a="1"/>
  <c r="D340" s="1"/>
  <c r="D324" a="1"/>
  <c r="D324" s="1"/>
  <c r="E324" a="1"/>
  <c r="E324" s="1"/>
  <c r="D338" a="1"/>
  <c r="D338" s="1"/>
  <c r="E338" a="1"/>
  <c r="E338" s="1"/>
  <c r="D322" a="1"/>
  <c r="D322" s="1"/>
  <c r="E322" a="1"/>
  <c r="E322" s="1"/>
  <c r="E259" a="1"/>
  <c r="E259" s="1"/>
  <c r="D259" a="1"/>
  <c r="D259" s="1"/>
  <c r="D267" a="1"/>
  <c r="D267" s="1"/>
  <c r="E267" a="1"/>
  <c r="E267" s="1"/>
  <c r="D275" a="1"/>
  <c r="D275" s="1"/>
  <c r="E275" a="1"/>
  <c r="E275" s="1"/>
  <c r="E293" a="1"/>
  <c r="E293" s="1"/>
  <c r="D293" a="1"/>
  <c r="D293" s="1"/>
  <c r="E301" a="1"/>
  <c r="E301" s="1"/>
  <c r="D301" a="1"/>
  <c r="D301" s="1"/>
  <c r="E309" a="1"/>
  <c r="E309" s="1"/>
  <c r="D309" a="1"/>
  <c r="D309" s="1"/>
  <c r="D323" a="1"/>
  <c r="D323" s="1"/>
  <c r="E323" a="1"/>
  <c r="E323" s="1"/>
  <c r="E331" a="1"/>
  <c r="E331" s="1"/>
  <c r="D331" a="1"/>
  <c r="D331" s="1"/>
  <c r="E339" a="1"/>
  <c r="E339" s="1"/>
  <c r="D339" a="1"/>
  <c r="D339" s="1"/>
  <c r="E261" a="1"/>
  <c r="E261" s="1"/>
  <c r="D261" a="1"/>
  <c r="D261" s="1"/>
  <c r="D269" a="1"/>
  <c r="D269" s="1"/>
  <c r="E269" a="1"/>
  <c r="E269" s="1"/>
  <c r="D277" a="1"/>
  <c r="D277" s="1"/>
  <c r="E277" a="1"/>
  <c r="E277" s="1"/>
  <c r="D291" a="1"/>
  <c r="D291" s="1"/>
  <c r="E291" a="1"/>
  <c r="E291" s="1"/>
  <c r="E299" a="1"/>
  <c r="E299" s="1"/>
  <c r="D299" a="1"/>
  <c r="D299" s="1"/>
  <c r="E307" a="1"/>
  <c r="E307" s="1"/>
  <c r="D307" a="1"/>
  <c r="D307" s="1"/>
  <c r="D325" a="1"/>
  <c r="D325" s="1"/>
  <c r="E325" a="1"/>
  <c r="E325" s="1"/>
  <c r="E333" a="1"/>
  <c r="E333" s="1"/>
  <c r="D333" a="1"/>
  <c r="D333" s="1"/>
  <c r="E341" a="1"/>
  <c r="E341" s="1"/>
  <c r="D341" a="1"/>
  <c r="D341" s="1"/>
  <c r="D231"/>
  <c r="E224" a="1"/>
  <c r="E224" s="1"/>
  <c r="E240" a="1"/>
  <c r="E240" s="1"/>
  <c r="E229" a="1"/>
  <c r="E229" s="1"/>
  <c r="E242" a="1"/>
  <c r="E242" s="1"/>
  <c r="E238" a="1"/>
  <c r="E238" s="1"/>
  <c r="E227" a="1"/>
  <c r="E227" s="1"/>
  <c r="E235" a="1"/>
  <c r="E235" s="1"/>
  <c r="E236" a="1"/>
  <c r="E236" s="1"/>
  <c r="C248"/>
  <c r="D233"/>
  <c r="D243"/>
  <c r="V243" s="1"/>
  <c r="D226"/>
  <c r="E246" a="1"/>
  <c r="E246" s="1"/>
  <c r="D223"/>
  <c r="D225"/>
  <c r="L225" s="1"/>
  <c r="D246"/>
  <c r="L246" s="1"/>
  <c r="D228"/>
  <c r="E223" a="1"/>
  <c r="E223" s="1"/>
  <c r="E225" a="1"/>
  <c r="E225" s="1"/>
  <c r="D234"/>
  <c r="R234" s="1"/>
  <c r="F241"/>
  <c r="S241"/>
  <c r="K241"/>
  <c r="X241"/>
  <c r="P241"/>
  <c r="H241"/>
  <c r="U241"/>
  <c r="M241"/>
  <c r="Z241"/>
  <c r="R241"/>
  <c r="J241"/>
  <c r="W241"/>
  <c r="O241"/>
  <c r="G241"/>
  <c r="T241"/>
  <c r="L241"/>
  <c r="Y241"/>
  <c r="Q241"/>
  <c r="I241"/>
  <c r="V241"/>
  <c r="N241"/>
  <c r="V239"/>
  <c r="N239"/>
  <c r="F239"/>
  <c r="S239"/>
  <c r="K239"/>
  <c r="X239"/>
  <c r="P239"/>
  <c r="H239"/>
  <c r="U239"/>
  <c r="M239"/>
  <c r="Z239"/>
  <c r="R239"/>
  <c r="J239"/>
  <c r="W239"/>
  <c r="O239"/>
  <c r="G239"/>
  <c r="T239"/>
  <c r="L239"/>
  <c r="Y239"/>
  <c r="Q239"/>
  <c r="I239"/>
  <c r="X224"/>
  <c r="H224"/>
  <c r="M224"/>
  <c r="R224"/>
  <c r="W224"/>
  <c r="G224"/>
  <c r="L224"/>
  <c r="Q224"/>
  <c r="V224"/>
  <c r="F224"/>
  <c r="K224"/>
  <c r="P224"/>
  <c r="U224"/>
  <c r="Z224"/>
  <c r="J224"/>
  <c r="O224"/>
  <c r="T224"/>
  <c r="Y224"/>
  <c r="I224"/>
  <c r="N224"/>
  <c r="S224"/>
  <c r="V232"/>
  <c r="N232"/>
  <c r="F232"/>
  <c r="S232"/>
  <c r="K232"/>
  <c r="X232"/>
  <c r="H232"/>
  <c r="M232"/>
  <c r="L232"/>
  <c r="Q232"/>
  <c r="Z232"/>
  <c r="R232"/>
  <c r="J232"/>
  <c r="W232"/>
  <c r="O232"/>
  <c r="G232"/>
  <c r="P232"/>
  <c r="U232"/>
  <c r="T232"/>
  <c r="Y232"/>
  <c r="I232"/>
  <c r="Z240"/>
  <c r="R240"/>
  <c r="J240"/>
  <c r="W240"/>
  <c r="O240"/>
  <c r="G240"/>
  <c r="T240"/>
  <c r="L240"/>
  <c r="Y240"/>
  <c r="Q240"/>
  <c r="I240"/>
  <c r="V240"/>
  <c r="N240"/>
  <c r="F240"/>
  <c r="S240"/>
  <c r="K240"/>
  <c r="X240"/>
  <c r="P240"/>
  <c r="H240"/>
  <c r="U240"/>
  <c r="M240"/>
  <c r="Z244"/>
  <c r="R244"/>
  <c r="J244"/>
  <c r="W244"/>
  <c r="O244"/>
  <c r="G244"/>
  <c r="T244"/>
  <c r="Y244"/>
  <c r="Q244"/>
  <c r="I244"/>
  <c r="V244"/>
  <c r="N244"/>
  <c r="F244"/>
  <c r="S244"/>
  <c r="K244"/>
  <c r="X244"/>
  <c r="P244"/>
  <c r="H244"/>
  <c r="U244"/>
  <c r="M244"/>
  <c r="L244"/>
  <c r="Y229"/>
  <c r="I229"/>
  <c r="N229"/>
  <c r="K229"/>
  <c r="W229"/>
  <c r="L229"/>
  <c r="U229"/>
  <c r="M229"/>
  <c r="Z229"/>
  <c r="R229"/>
  <c r="J229"/>
  <c r="S229"/>
  <c r="X229"/>
  <c r="H229"/>
  <c r="O229"/>
  <c r="T229"/>
  <c r="Q229"/>
  <c r="V229"/>
  <c r="F229"/>
  <c r="P229"/>
  <c r="G229"/>
  <c r="O237"/>
  <c r="L237"/>
  <c r="Z237"/>
  <c r="Q237"/>
  <c r="F237"/>
  <c r="S237"/>
  <c r="K237"/>
  <c r="X237"/>
  <c r="P237"/>
  <c r="H237"/>
  <c r="M237"/>
  <c r="R237"/>
  <c r="Y237"/>
  <c r="I237"/>
  <c r="N237"/>
  <c r="W237"/>
  <c r="G237"/>
  <c r="T237"/>
  <c r="U237"/>
  <c r="J237"/>
  <c r="V237"/>
  <c r="Y242"/>
  <c r="I242"/>
  <c r="F242"/>
  <c r="K242"/>
  <c r="P242"/>
  <c r="U242"/>
  <c r="M242"/>
  <c r="Z242"/>
  <c r="R242"/>
  <c r="J242"/>
  <c r="W242"/>
  <c r="O242"/>
  <c r="G242"/>
  <c r="T242"/>
  <c r="L242"/>
  <c r="Q242"/>
  <c r="V242"/>
  <c r="N242"/>
  <c r="S242"/>
  <c r="X242"/>
  <c r="H242"/>
  <c r="S230"/>
  <c r="X230"/>
  <c r="P230"/>
  <c r="M230"/>
  <c r="Y230"/>
  <c r="N230"/>
  <c r="W230"/>
  <c r="O230"/>
  <c r="G230"/>
  <c r="T230"/>
  <c r="L230"/>
  <c r="U230"/>
  <c r="Z230"/>
  <c r="J230"/>
  <c r="Q230"/>
  <c r="V230"/>
  <c r="F230"/>
  <c r="K230"/>
  <c r="H230"/>
  <c r="R230"/>
  <c r="I230"/>
  <c r="M238"/>
  <c r="R238"/>
  <c r="G238"/>
  <c r="K238"/>
  <c r="Y238"/>
  <c r="Q238"/>
  <c r="I238"/>
  <c r="V238"/>
  <c r="N238"/>
  <c r="F238"/>
  <c r="O238"/>
  <c r="T238"/>
  <c r="S238"/>
  <c r="X238"/>
  <c r="H238"/>
  <c r="U238"/>
  <c r="Z238"/>
  <c r="J238"/>
  <c r="W238"/>
  <c r="L238"/>
  <c r="P238"/>
  <c r="V245"/>
  <c r="N245"/>
  <c r="F245"/>
  <c r="S245"/>
  <c r="K245"/>
  <c r="X245"/>
  <c r="P245"/>
  <c r="H245"/>
  <c r="U245"/>
  <c r="M245"/>
  <c r="Z245"/>
  <c r="R245"/>
  <c r="J245"/>
  <c r="W245"/>
  <c r="O245"/>
  <c r="G245"/>
  <c r="T245"/>
  <c r="L245"/>
  <c r="Y245"/>
  <c r="Q245"/>
  <c r="I245"/>
  <c r="X227"/>
  <c r="P227"/>
  <c r="H227"/>
  <c r="U227"/>
  <c r="M227"/>
  <c r="V227"/>
  <c r="F227"/>
  <c r="K227"/>
  <c r="R227"/>
  <c r="W227"/>
  <c r="G227"/>
  <c r="T227"/>
  <c r="L227"/>
  <c r="Y227"/>
  <c r="Q227"/>
  <c r="I227"/>
  <c r="N227"/>
  <c r="S227"/>
  <c r="Z227"/>
  <c r="J227"/>
  <c r="O227"/>
  <c r="F235"/>
  <c r="S235"/>
  <c r="K235"/>
  <c r="X235"/>
  <c r="P235"/>
  <c r="H235"/>
  <c r="Q235"/>
  <c r="V235"/>
  <c r="U235"/>
  <c r="Z235"/>
  <c r="J235"/>
  <c r="W235"/>
  <c r="O235"/>
  <c r="G235"/>
  <c r="T235"/>
  <c r="L235"/>
  <c r="Y235"/>
  <c r="I235"/>
  <c r="N235"/>
  <c r="M235"/>
  <c r="R235"/>
  <c r="V223"/>
  <c r="N223"/>
  <c r="F223"/>
  <c r="S223"/>
  <c r="K223"/>
  <c r="X223"/>
  <c r="P223"/>
  <c r="H223"/>
  <c r="U223"/>
  <c r="M223"/>
  <c r="Z223"/>
  <c r="R223"/>
  <c r="J223"/>
  <c r="W223"/>
  <c r="O223"/>
  <c r="G223"/>
  <c r="T223"/>
  <c r="L223"/>
  <c r="Y223"/>
  <c r="Q223"/>
  <c r="I223"/>
  <c r="F225"/>
  <c r="R225"/>
  <c r="X225"/>
  <c r="T225"/>
  <c r="O225"/>
  <c r="Z225"/>
  <c r="Y225"/>
  <c r="I225"/>
  <c r="S225"/>
  <c r="H225"/>
  <c r="Z233"/>
  <c r="R233"/>
  <c r="J233"/>
  <c r="W233"/>
  <c r="O233"/>
  <c r="G233"/>
  <c r="L233"/>
  <c r="Q233"/>
  <c r="X233"/>
  <c r="H233"/>
  <c r="M233"/>
  <c r="V233"/>
  <c r="N233"/>
  <c r="F233"/>
  <c r="S233"/>
  <c r="K233"/>
  <c r="T233"/>
  <c r="Y233"/>
  <c r="I233"/>
  <c r="P233"/>
  <c r="U233"/>
  <c r="N243"/>
  <c r="S243"/>
  <c r="X243"/>
  <c r="H243"/>
  <c r="M243"/>
  <c r="R243"/>
  <c r="W243"/>
  <c r="G243"/>
  <c r="L243"/>
  <c r="Q243"/>
  <c r="V226"/>
  <c r="T226"/>
  <c r="Z226"/>
  <c r="W226"/>
  <c r="O226"/>
  <c r="G226"/>
  <c r="X226"/>
  <c r="H226"/>
  <c r="Y226"/>
  <c r="Q226"/>
  <c r="I226"/>
  <c r="F226"/>
  <c r="L226"/>
  <c r="J226"/>
  <c r="S226"/>
  <c r="K226"/>
  <c r="N226"/>
  <c r="P226"/>
  <c r="R226"/>
  <c r="U226"/>
  <c r="M226"/>
  <c r="V231"/>
  <c r="N231"/>
  <c r="F231"/>
  <c r="S231"/>
  <c r="K231"/>
  <c r="T231"/>
  <c r="Y231"/>
  <c r="I231"/>
  <c r="P231"/>
  <c r="U231"/>
  <c r="Z231"/>
  <c r="R231"/>
  <c r="J231"/>
  <c r="W231"/>
  <c r="O231"/>
  <c r="G231"/>
  <c r="L231"/>
  <c r="Q231"/>
  <c r="X231"/>
  <c r="H231"/>
  <c r="M231"/>
  <c r="T246"/>
  <c r="Y246"/>
  <c r="I246"/>
  <c r="N246"/>
  <c r="S246"/>
  <c r="X246"/>
  <c r="H246"/>
  <c r="M246"/>
  <c r="R246"/>
  <c r="W246"/>
  <c r="G246"/>
  <c r="X228"/>
  <c r="Z228"/>
  <c r="N228"/>
  <c r="F228"/>
  <c r="S228"/>
  <c r="K228"/>
  <c r="V228"/>
  <c r="L228"/>
  <c r="Y228"/>
  <c r="Q228"/>
  <c r="I228"/>
  <c r="T228"/>
  <c r="R228"/>
  <c r="J228"/>
  <c r="W228"/>
  <c r="O228"/>
  <c r="G228"/>
  <c r="P228"/>
  <c r="H228"/>
  <c r="U228"/>
  <c r="M228"/>
  <c r="U236"/>
  <c r="M236"/>
  <c r="Z236"/>
  <c r="R236"/>
  <c r="J236"/>
  <c r="S236"/>
  <c r="X236"/>
  <c r="H236"/>
  <c r="O236"/>
  <c r="T236"/>
  <c r="Y236"/>
  <c r="Q236"/>
  <c r="I236"/>
  <c r="V236"/>
  <c r="N236"/>
  <c r="F236"/>
  <c r="K236"/>
  <c r="P236"/>
  <c r="W236"/>
  <c r="G236"/>
  <c r="L236"/>
  <c r="W234"/>
  <c r="T234"/>
  <c r="V234"/>
  <c r="F234"/>
  <c r="K234"/>
  <c r="H234"/>
  <c r="L234"/>
  <c r="Z234"/>
  <c r="O234"/>
  <c r="U234"/>
  <c r="W325" l="1"/>
  <c r="S325"/>
  <c r="O325"/>
  <c r="K325"/>
  <c r="G325"/>
  <c r="X325"/>
  <c r="T325"/>
  <c r="P325"/>
  <c r="L325"/>
  <c r="H325"/>
  <c r="Y325"/>
  <c r="U325"/>
  <c r="Q325"/>
  <c r="M325"/>
  <c r="I325"/>
  <c r="Z325"/>
  <c r="V325"/>
  <c r="R325"/>
  <c r="N325"/>
  <c r="J325"/>
  <c r="F325"/>
  <c r="Y291"/>
  <c r="U291"/>
  <c r="Q291"/>
  <c r="M291"/>
  <c r="I291"/>
  <c r="X291"/>
  <c r="T291"/>
  <c r="P291"/>
  <c r="L291"/>
  <c r="H291"/>
  <c r="G291"/>
  <c r="W291"/>
  <c r="S291"/>
  <c r="O291"/>
  <c r="K291"/>
  <c r="Z291"/>
  <c r="V291"/>
  <c r="R291"/>
  <c r="N291"/>
  <c r="J291"/>
  <c r="F291"/>
  <c r="W277"/>
  <c r="S277"/>
  <c r="O277"/>
  <c r="K277"/>
  <c r="G277"/>
  <c r="X277"/>
  <c r="T277"/>
  <c r="P277"/>
  <c r="L277"/>
  <c r="H277"/>
  <c r="Y277"/>
  <c r="U277"/>
  <c r="Q277"/>
  <c r="M277"/>
  <c r="I277"/>
  <c r="Z277"/>
  <c r="V277"/>
  <c r="R277"/>
  <c r="N277"/>
  <c r="J277"/>
  <c r="F277"/>
  <c r="W269"/>
  <c r="S269"/>
  <c r="O269"/>
  <c r="K269"/>
  <c r="G269"/>
  <c r="X269"/>
  <c r="T269"/>
  <c r="P269"/>
  <c r="L269"/>
  <c r="H269"/>
  <c r="Y269"/>
  <c r="U269"/>
  <c r="Q269"/>
  <c r="M269"/>
  <c r="I269"/>
  <c r="Z269"/>
  <c r="V269"/>
  <c r="R269"/>
  <c r="N269"/>
  <c r="J269"/>
  <c r="F269"/>
  <c r="Y323"/>
  <c r="U323"/>
  <c r="Q323"/>
  <c r="M323"/>
  <c r="I323"/>
  <c r="Z323"/>
  <c r="V323"/>
  <c r="R323"/>
  <c r="N323"/>
  <c r="J323"/>
  <c r="F323"/>
  <c r="W323"/>
  <c r="S323"/>
  <c r="O323"/>
  <c r="K323"/>
  <c r="G323"/>
  <c r="X323"/>
  <c r="T323"/>
  <c r="P323"/>
  <c r="L323"/>
  <c r="H323"/>
  <c r="Y275"/>
  <c r="U275"/>
  <c r="Q275"/>
  <c r="M275"/>
  <c r="I275"/>
  <c r="Z275"/>
  <c r="V275"/>
  <c r="R275"/>
  <c r="N275"/>
  <c r="J275"/>
  <c r="F275"/>
  <c r="W275"/>
  <c r="S275"/>
  <c r="O275"/>
  <c r="K275"/>
  <c r="G275"/>
  <c r="X275"/>
  <c r="T275"/>
  <c r="P275"/>
  <c r="L275"/>
  <c r="H275"/>
  <c r="Y267"/>
  <c r="U267"/>
  <c r="Q267"/>
  <c r="M267"/>
  <c r="I267"/>
  <c r="Z267"/>
  <c r="V267"/>
  <c r="R267"/>
  <c r="N267"/>
  <c r="J267"/>
  <c r="F267"/>
  <c r="W267"/>
  <c r="S267"/>
  <c r="O267"/>
  <c r="K267"/>
  <c r="G267"/>
  <c r="X267"/>
  <c r="T267"/>
  <c r="P267"/>
  <c r="L267"/>
  <c r="H267"/>
  <c r="Z322"/>
  <c r="V322"/>
  <c r="R322"/>
  <c r="N322"/>
  <c r="J322"/>
  <c r="F322"/>
  <c r="W322"/>
  <c r="S322"/>
  <c r="O322"/>
  <c r="K322"/>
  <c r="G322"/>
  <c r="X322"/>
  <c r="T322"/>
  <c r="P322"/>
  <c r="L322"/>
  <c r="H322"/>
  <c r="Y322"/>
  <c r="U322"/>
  <c r="Q322"/>
  <c r="M322"/>
  <c r="I322"/>
  <c r="Z338"/>
  <c r="V338"/>
  <c r="R338"/>
  <c r="N338"/>
  <c r="J338"/>
  <c r="F338"/>
  <c r="W338"/>
  <c r="S338"/>
  <c r="O338"/>
  <c r="K338"/>
  <c r="G338"/>
  <c r="X338"/>
  <c r="T338"/>
  <c r="P338"/>
  <c r="L338"/>
  <c r="H338"/>
  <c r="Y338"/>
  <c r="U338"/>
  <c r="Q338"/>
  <c r="M338"/>
  <c r="I338"/>
  <c r="Z324"/>
  <c r="V324"/>
  <c r="R324"/>
  <c r="N324"/>
  <c r="J324"/>
  <c r="F324"/>
  <c r="W324"/>
  <c r="S324"/>
  <c r="O324"/>
  <c r="K324"/>
  <c r="G324"/>
  <c r="X324"/>
  <c r="T324"/>
  <c r="P324"/>
  <c r="L324"/>
  <c r="H324"/>
  <c r="Y324"/>
  <c r="U324"/>
  <c r="Q324"/>
  <c r="M324"/>
  <c r="I324"/>
  <c r="X326"/>
  <c r="T326"/>
  <c r="P326"/>
  <c r="L326"/>
  <c r="H326"/>
  <c r="Y326"/>
  <c r="U326"/>
  <c r="Q326"/>
  <c r="M326"/>
  <c r="I326"/>
  <c r="Z326"/>
  <c r="V326"/>
  <c r="R326"/>
  <c r="N326"/>
  <c r="J326"/>
  <c r="F326"/>
  <c r="W326"/>
  <c r="S326"/>
  <c r="O326"/>
  <c r="K326"/>
  <c r="G326"/>
  <c r="Z342"/>
  <c r="V342"/>
  <c r="R342"/>
  <c r="N342"/>
  <c r="J342"/>
  <c r="F342"/>
  <c r="W342"/>
  <c r="S342"/>
  <c r="O342"/>
  <c r="K342"/>
  <c r="G342"/>
  <c r="X342"/>
  <c r="T342"/>
  <c r="P342"/>
  <c r="L342"/>
  <c r="H342"/>
  <c r="Y342"/>
  <c r="U342"/>
  <c r="Q342"/>
  <c r="M342"/>
  <c r="I342"/>
  <c r="X306"/>
  <c r="T306"/>
  <c r="P306"/>
  <c r="L306"/>
  <c r="H306"/>
  <c r="Y306"/>
  <c r="U306"/>
  <c r="Q306"/>
  <c r="M306"/>
  <c r="I306"/>
  <c r="Z306"/>
  <c r="V306"/>
  <c r="R306"/>
  <c r="N306"/>
  <c r="J306"/>
  <c r="F306"/>
  <c r="W306"/>
  <c r="S306"/>
  <c r="O306"/>
  <c r="K306"/>
  <c r="G306"/>
  <c r="Z304"/>
  <c r="V304"/>
  <c r="R304"/>
  <c r="N304"/>
  <c r="J304"/>
  <c r="F304"/>
  <c r="W304"/>
  <c r="S304"/>
  <c r="O304"/>
  <c r="K304"/>
  <c r="G304"/>
  <c r="X304"/>
  <c r="T304"/>
  <c r="P304"/>
  <c r="L304"/>
  <c r="H304"/>
  <c r="Y304"/>
  <c r="U304"/>
  <c r="Q304"/>
  <c r="M304"/>
  <c r="I304"/>
  <c r="X274"/>
  <c r="T274"/>
  <c r="P274"/>
  <c r="L274"/>
  <c r="H274"/>
  <c r="Y274"/>
  <c r="U274"/>
  <c r="Q274"/>
  <c r="M274"/>
  <c r="I274"/>
  <c r="Z274"/>
  <c r="V274"/>
  <c r="R274"/>
  <c r="N274"/>
  <c r="J274"/>
  <c r="F274"/>
  <c r="W274"/>
  <c r="S274"/>
  <c r="O274"/>
  <c r="K274"/>
  <c r="G274"/>
  <c r="Z264"/>
  <c r="V264"/>
  <c r="R264"/>
  <c r="N264"/>
  <c r="J264"/>
  <c r="F264"/>
  <c r="W264"/>
  <c r="S264"/>
  <c r="O264"/>
  <c r="K264"/>
  <c r="G264"/>
  <c r="X264"/>
  <c r="T264"/>
  <c r="P264"/>
  <c r="L264"/>
  <c r="H264"/>
  <c r="Y264"/>
  <c r="U264"/>
  <c r="Q264"/>
  <c r="M264"/>
  <c r="I264"/>
  <c r="Z308"/>
  <c r="V308"/>
  <c r="R308"/>
  <c r="N308"/>
  <c r="J308"/>
  <c r="F308"/>
  <c r="W308"/>
  <c r="S308"/>
  <c r="O308"/>
  <c r="K308"/>
  <c r="G308"/>
  <c r="X308"/>
  <c r="T308"/>
  <c r="P308"/>
  <c r="L308"/>
  <c r="H308"/>
  <c r="Y308"/>
  <c r="U308"/>
  <c r="Q308"/>
  <c r="M308"/>
  <c r="I308"/>
  <c r="Z310"/>
  <c r="V310"/>
  <c r="R310"/>
  <c r="N310"/>
  <c r="J310"/>
  <c r="F310"/>
  <c r="W310"/>
  <c r="S310"/>
  <c r="O310"/>
  <c r="K310"/>
  <c r="G310"/>
  <c r="X310"/>
  <c r="T310"/>
  <c r="P310"/>
  <c r="L310"/>
  <c r="H310"/>
  <c r="Y310"/>
  <c r="U310"/>
  <c r="Q310"/>
  <c r="M310"/>
  <c r="I310"/>
  <c r="Z260"/>
  <c r="V260"/>
  <c r="R260"/>
  <c r="N260"/>
  <c r="J260"/>
  <c r="F260"/>
  <c r="W260"/>
  <c r="S260"/>
  <c r="O260"/>
  <c r="K260"/>
  <c r="G260"/>
  <c r="X260"/>
  <c r="T260"/>
  <c r="P260"/>
  <c r="L260"/>
  <c r="H260"/>
  <c r="Y260"/>
  <c r="U260"/>
  <c r="Q260"/>
  <c r="M260"/>
  <c r="I260"/>
  <c r="X270"/>
  <c r="T270"/>
  <c r="P270"/>
  <c r="L270"/>
  <c r="H270"/>
  <c r="Y270"/>
  <c r="U270"/>
  <c r="Q270"/>
  <c r="M270"/>
  <c r="I270"/>
  <c r="Z270"/>
  <c r="V270"/>
  <c r="R270"/>
  <c r="N270"/>
  <c r="J270"/>
  <c r="F270"/>
  <c r="W270"/>
  <c r="S270"/>
  <c r="O270"/>
  <c r="K270"/>
  <c r="G270"/>
  <c r="W262"/>
  <c r="S262"/>
  <c r="O262"/>
  <c r="K262"/>
  <c r="G262"/>
  <c r="T262"/>
  <c r="L262"/>
  <c r="Z262"/>
  <c r="R262"/>
  <c r="J262"/>
  <c r="Y262"/>
  <c r="U262"/>
  <c r="Q262"/>
  <c r="M262"/>
  <c r="I262"/>
  <c r="X262"/>
  <c r="P262"/>
  <c r="H262"/>
  <c r="V262"/>
  <c r="N262"/>
  <c r="F262"/>
  <c r="W321"/>
  <c r="S321"/>
  <c r="O321"/>
  <c r="K321"/>
  <c r="G321"/>
  <c r="X321"/>
  <c r="T321"/>
  <c r="P321"/>
  <c r="L321"/>
  <c r="H321"/>
  <c r="Y321"/>
  <c r="U321"/>
  <c r="Q321"/>
  <c r="M321"/>
  <c r="I321"/>
  <c r="Z321"/>
  <c r="V321"/>
  <c r="R321"/>
  <c r="N321"/>
  <c r="J321"/>
  <c r="F321"/>
  <c r="W295"/>
  <c r="S295"/>
  <c r="O295"/>
  <c r="K295"/>
  <c r="X295"/>
  <c r="T295"/>
  <c r="P295"/>
  <c r="L295"/>
  <c r="H295"/>
  <c r="I295"/>
  <c r="Y295"/>
  <c r="U295"/>
  <c r="Q295"/>
  <c r="M295"/>
  <c r="Z295"/>
  <c r="V295"/>
  <c r="R295"/>
  <c r="N295"/>
  <c r="J295"/>
  <c r="F295"/>
  <c r="G295"/>
  <c r="W287"/>
  <c r="S287"/>
  <c r="O287"/>
  <c r="K287"/>
  <c r="Z287"/>
  <c r="V287"/>
  <c r="R287"/>
  <c r="N287"/>
  <c r="J287"/>
  <c r="F287"/>
  <c r="Y287"/>
  <c r="U287"/>
  <c r="Q287"/>
  <c r="M287"/>
  <c r="G287"/>
  <c r="X287"/>
  <c r="T287"/>
  <c r="P287"/>
  <c r="L287"/>
  <c r="H287"/>
  <c r="I287"/>
  <c r="W273"/>
  <c r="S273"/>
  <c r="O273"/>
  <c r="K273"/>
  <c r="G273"/>
  <c r="X273"/>
  <c r="T273"/>
  <c r="P273"/>
  <c r="L273"/>
  <c r="H273"/>
  <c r="Y273"/>
  <c r="U273"/>
  <c r="Q273"/>
  <c r="M273"/>
  <c r="I273"/>
  <c r="Z273"/>
  <c r="V273"/>
  <c r="R273"/>
  <c r="N273"/>
  <c r="J273"/>
  <c r="F273"/>
  <c r="W265"/>
  <c r="S265"/>
  <c r="O265"/>
  <c r="K265"/>
  <c r="G265"/>
  <c r="X265"/>
  <c r="T265"/>
  <c r="P265"/>
  <c r="L265"/>
  <c r="H265"/>
  <c r="Y265"/>
  <c r="U265"/>
  <c r="Q265"/>
  <c r="M265"/>
  <c r="I265"/>
  <c r="Z265"/>
  <c r="V265"/>
  <c r="R265"/>
  <c r="N265"/>
  <c r="J265"/>
  <c r="F265"/>
  <c r="W319"/>
  <c r="S319"/>
  <c r="O319"/>
  <c r="K319"/>
  <c r="G319"/>
  <c r="X319"/>
  <c r="T319"/>
  <c r="P319"/>
  <c r="L319"/>
  <c r="H319"/>
  <c r="Y319"/>
  <c r="U319"/>
  <c r="Q319"/>
  <c r="M319"/>
  <c r="I319"/>
  <c r="Z319"/>
  <c r="V319"/>
  <c r="R319"/>
  <c r="N319"/>
  <c r="J319"/>
  <c r="F319"/>
  <c r="Y271"/>
  <c r="U271"/>
  <c r="Q271"/>
  <c r="M271"/>
  <c r="I271"/>
  <c r="Z271"/>
  <c r="V271"/>
  <c r="R271"/>
  <c r="N271"/>
  <c r="J271"/>
  <c r="F271"/>
  <c r="W271"/>
  <c r="S271"/>
  <c r="O271"/>
  <c r="K271"/>
  <c r="G271"/>
  <c r="X271"/>
  <c r="T271"/>
  <c r="P271"/>
  <c r="L271"/>
  <c r="H271"/>
  <c r="W263"/>
  <c r="S263"/>
  <c r="O263"/>
  <c r="K263"/>
  <c r="G263"/>
  <c r="X263"/>
  <c r="T263"/>
  <c r="P263"/>
  <c r="L263"/>
  <c r="H263"/>
  <c r="Y263"/>
  <c r="U263"/>
  <c r="Q263"/>
  <c r="M263"/>
  <c r="I263"/>
  <c r="Z263"/>
  <c r="V263"/>
  <c r="R263"/>
  <c r="N263"/>
  <c r="J263"/>
  <c r="F263"/>
  <c r="X330"/>
  <c r="T330"/>
  <c r="P330"/>
  <c r="L330"/>
  <c r="H330"/>
  <c r="Y330"/>
  <c r="U330"/>
  <c r="Q330"/>
  <c r="M330"/>
  <c r="I330"/>
  <c r="Z330"/>
  <c r="V330"/>
  <c r="R330"/>
  <c r="N330"/>
  <c r="J330"/>
  <c r="F330"/>
  <c r="W330"/>
  <c r="S330"/>
  <c r="O330"/>
  <c r="K330"/>
  <c r="G330"/>
  <c r="Z256"/>
  <c r="V256"/>
  <c r="R256"/>
  <c r="N256"/>
  <c r="J256"/>
  <c r="F256"/>
  <c r="W256"/>
  <c r="S256"/>
  <c r="O256"/>
  <c r="K256"/>
  <c r="G256"/>
  <c r="X256"/>
  <c r="T256"/>
  <c r="P256"/>
  <c r="L256"/>
  <c r="H256"/>
  <c r="Y256"/>
  <c r="U256"/>
  <c r="Q256"/>
  <c r="M256"/>
  <c r="I256"/>
  <c r="Z258"/>
  <c r="V258"/>
  <c r="R258"/>
  <c r="N258"/>
  <c r="J258"/>
  <c r="F258"/>
  <c r="W258"/>
  <c r="S258"/>
  <c r="O258"/>
  <c r="K258"/>
  <c r="G258"/>
  <c r="X258"/>
  <c r="T258"/>
  <c r="P258"/>
  <c r="L258"/>
  <c r="H258"/>
  <c r="Y258"/>
  <c r="U258"/>
  <c r="Q258"/>
  <c r="M258"/>
  <c r="I258"/>
  <c r="X334"/>
  <c r="T334"/>
  <c r="P334"/>
  <c r="L334"/>
  <c r="H334"/>
  <c r="Y334"/>
  <c r="U334"/>
  <c r="Q334"/>
  <c r="M334"/>
  <c r="I334"/>
  <c r="Z334"/>
  <c r="V334"/>
  <c r="R334"/>
  <c r="N334"/>
  <c r="J334"/>
  <c r="F334"/>
  <c r="W334"/>
  <c r="S334"/>
  <c r="O334"/>
  <c r="K334"/>
  <c r="G334"/>
  <c r="Z320"/>
  <c r="V320"/>
  <c r="R320"/>
  <c r="N320"/>
  <c r="J320"/>
  <c r="F320"/>
  <c r="W320"/>
  <c r="S320"/>
  <c r="O320"/>
  <c r="K320"/>
  <c r="G320"/>
  <c r="X320"/>
  <c r="T320"/>
  <c r="P320"/>
  <c r="L320"/>
  <c r="H320"/>
  <c r="Y320"/>
  <c r="U320"/>
  <c r="Q320"/>
  <c r="M320"/>
  <c r="I320"/>
  <c r="Z298"/>
  <c r="V298"/>
  <c r="R298"/>
  <c r="N298"/>
  <c r="J298"/>
  <c r="F298"/>
  <c r="W298"/>
  <c r="S298"/>
  <c r="O298"/>
  <c r="K298"/>
  <c r="G298"/>
  <c r="X298"/>
  <c r="T298"/>
  <c r="P298"/>
  <c r="L298"/>
  <c r="H298"/>
  <c r="Y298"/>
  <c r="U298"/>
  <c r="Q298"/>
  <c r="M298"/>
  <c r="I298"/>
  <c r="X296"/>
  <c r="T296"/>
  <c r="P296"/>
  <c r="L296"/>
  <c r="H296"/>
  <c r="Y296"/>
  <c r="U296"/>
  <c r="Q296"/>
  <c r="M296"/>
  <c r="I296"/>
  <c r="Z296"/>
  <c r="V296"/>
  <c r="R296"/>
  <c r="N296"/>
  <c r="J296"/>
  <c r="F296"/>
  <c r="W296"/>
  <c r="S296"/>
  <c r="O296"/>
  <c r="K296"/>
  <c r="G296"/>
  <c r="Z278"/>
  <c r="V278"/>
  <c r="R278"/>
  <c r="N278"/>
  <c r="J278"/>
  <c r="F278"/>
  <c r="W278"/>
  <c r="S278"/>
  <c r="O278"/>
  <c r="K278"/>
  <c r="G278"/>
  <c r="X278"/>
  <c r="T278"/>
  <c r="P278"/>
  <c r="L278"/>
  <c r="H278"/>
  <c r="Y278"/>
  <c r="U278"/>
  <c r="Q278"/>
  <c r="M278"/>
  <c r="I278"/>
  <c r="X268"/>
  <c r="T268"/>
  <c r="P268"/>
  <c r="L268"/>
  <c r="H268"/>
  <c r="Y268"/>
  <c r="U268"/>
  <c r="Q268"/>
  <c r="M268"/>
  <c r="I268"/>
  <c r="Z268"/>
  <c r="V268"/>
  <c r="R268"/>
  <c r="N268"/>
  <c r="J268"/>
  <c r="F268"/>
  <c r="W268"/>
  <c r="S268"/>
  <c r="O268"/>
  <c r="K268"/>
  <c r="G268"/>
  <c r="X272"/>
  <c r="T272"/>
  <c r="P272"/>
  <c r="L272"/>
  <c r="H272"/>
  <c r="Y272"/>
  <c r="U272"/>
  <c r="Q272"/>
  <c r="M272"/>
  <c r="I272"/>
  <c r="Z272"/>
  <c r="V272"/>
  <c r="R272"/>
  <c r="N272"/>
  <c r="J272"/>
  <c r="F272"/>
  <c r="W272"/>
  <c r="S272"/>
  <c r="O272"/>
  <c r="K272"/>
  <c r="G272"/>
  <c r="X302"/>
  <c r="T302"/>
  <c r="P302"/>
  <c r="L302"/>
  <c r="H302"/>
  <c r="Y302"/>
  <c r="U302"/>
  <c r="Q302"/>
  <c r="M302"/>
  <c r="I302"/>
  <c r="Z302"/>
  <c r="V302"/>
  <c r="R302"/>
  <c r="N302"/>
  <c r="J302"/>
  <c r="F302"/>
  <c r="W302"/>
  <c r="S302"/>
  <c r="O302"/>
  <c r="K302"/>
  <c r="G302"/>
  <c r="Z300"/>
  <c r="V300"/>
  <c r="R300"/>
  <c r="N300"/>
  <c r="J300"/>
  <c r="F300"/>
  <c r="W300"/>
  <c r="S300"/>
  <c r="O300"/>
  <c r="K300"/>
  <c r="G300"/>
  <c r="X300"/>
  <c r="T300"/>
  <c r="P300"/>
  <c r="L300"/>
  <c r="H300"/>
  <c r="Y300"/>
  <c r="U300"/>
  <c r="Q300"/>
  <c r="M300"/>
  <c r="I300"/>
  <c r="Y294"/>
  <c r="U294"/>
  <c r="Q294"/>
  <c r="M294"/>
  <c r="I294"/>
  <c r="X294"/>
  <c r="Z294"/>
  <c r="R294"/>
  <c r="J294"/>
  <c r="T294"/>
  <c r="H294"/>
  <c r="W294"/>
  <c r="S294"/>
  <c r="O294"/>
  <c r="K294"/>
  <c r="G294"/>
  <c r="L294"/>
  <c r="V294"/>
  <c r="N294"/>
  <c r="F294"/>
  <c r="P294"/>
  <c r="Z276"/>
  <c r="V276"/>
  <c r="R276"/>
  <c r="N276"/>
  <c r="J276"/>
  <c r="F276"/>
  <c r="W276"/>
  <c r="S276"/>
  <c r="O276"/>
  <c r="K276"/>
  <c r="G276"/>
  <c r="X276"/>
  <c r="T276"/>
  <c r="P276"/>
  <c r="L276"/>
  <c r="H276"/>
  <c r="Y276"/>
  <c r="U276"/>
  <c r="Q276"/>
  <c r="M276"/>
  <c r="I276"/>
  <c r="Z266"/>
  <c r="V266"/>
  <c r="R266"/>
  <c r="N266"/>
  <c r="J266"/>
  <c r="F266"/>
  <c r="W266"/>
  <c r="S266"/>
  <c r="O266"/>
  <c r="K266"/>
  <c r="G266"/>
  <c r="X266"/>
  <c r="T266"/>
  <c r="P266"/>
  <c r="L266"/>
  <c r="H266"/>
  <c r="Y266"/>
  <c r="U266"/>
  <c r="Q266"/>
  <c r="M266"/>
  <c r="I266"/>
  <c r="Z290"/>
  <c r="P290"/>
  <c r="H290"/>
  <c r="W290"/>
  <c r="S290"/>
  <c r="O290"/>
  <c r="K290"/>
  <c r="G290"/>
  <c r="V290"/>
  <c r="N290"/>
  <c r="F290"/>
  <c r="T290"/>
  <c r="L290"/>
  <c r="Y290"/>
  <c r="U290"/>
  <c r="Q290"/>
  <c r="M290"/>
  <c r="I290"/>
  <c r="X290"/>
  <c r="R290"/>
  <c r="J290"/>
  <c r="W341"/>
  <c r="S341"/>
  <c r="O341"/>
  <c r="K341"/>
  <c r="G341"/>
  <c r="X341"/>
  <c r="T341"/>
  <c r="P341"/>
  <c r="L341"/>
  <c r="H341"/>
  <c r="Y341"/>
  <c r="U341"/>
  <c r="Q341"/>
  <c r="M341"/>
  <c r="I341"/>
  <c r="Z341"/>
  <c r="V341"/>
  <c r="R341"/>
  <c r="N341"/>
  <c r="J341"/>
  <c r="F341"/>
  <c r="W333"/>
  <c r="S333"/>
  <c r="O333"/>
  <c r="K333"/>
  <c r="G333"/>
  <c r="X333"/>
  <c r="T333"/>
  <c r="P333"/>
  <c r="L333"/>
  <c r="H333"/>
  <c r="Y333"/>
  <c r="U333"/>
  <c r="Q333"/>
  <c r="M333"/>
  <c r="I333"/>
  <c r="Z333"/>
  <c r="V333"/>
  <c r="R333"/>
  <c r="N333"/>
  <c r="J333"/>
  <c r="F333"/>
  <c r="W307"/>
  <c r="S307"/>
  <c r="O307"/>
  <c r="K307"/>
  <c r="Y307"/>
  <c r="U307"/>
  <c r="Q307"/>
  <c r="M307"/>
  <c r="G307"/>
  <c r="X307"/>
  <c r="T307"/>
  <c r="P307"/>
  <c r="L307"/>
  <c r="H307"/>
  <c r="I307"/>
  <c r="Z307"/>
  <c r="V307"/>
  <c r="R307"/>
  <c r="N307"/>
  <c r="J307"/>
  <c r="F307"/>
  <c r="W299"/>
  <c r="S299"/>
  <c r="O299"/>
  <c r="K299"/>
  <c r="G299"/>
  <c r="X299"/>
  <c r="T299"/>
  <c r="P299"/>
  <c r="L299"/>
  <c r="H299"/>
  <c r="Y299"/>
  <c r="U299"/>
  <c r="Q299"/>
  <c r="M299"/>
  <c r="I299"/>
  <c r="Z299"/>
  <c r="V299"/>
  <c r="R299"/>
  <c r="N299"/>
  <c r="J299"/>
  <c r="F299"/>
  <c r="W261"/>
  <c r="S261"/>
  <c r="O261"/>
  <c r="K261"/>
  <c r="G261"/>
  <c r="X261"/>
  <c r="T261"/>
  <c r="P261"/>
  <c r="L261"/>
  <c r="H261"/>
  <c r="Y261"/>
  <c r="U261"/>
  <c r="Q261"/>
  <c r="M261"/>
  <c r="I261"/>
  <c r="Z261"/>
  <c r="V261"/>
  <c r="R261"/>
  <c r="N261"/>
  <c r="J261"/>
  <c r="F261"/>
  <c r="Y339"/>
  <c r="U339"/>
  <c r="Q339"/>
  <c r="M339"/>
  <c r="I339"/>
  <c r="Z339"/>
  <c r="V339"/>
  <c r="R339"/>
  <c r="N339"/>
  <c r="J339"/>
  <c r="F339"/>
  <c r="W339"/>
  <c r="S339"/>
  <c r="O339"/>
  <c r="K339"/>
  <c r="G339"/>
  <c r="X339"/>
  <c r="T339"/>
  <c r="P339"/>
  <c r="L339"/>
  <c r="H339"/>
  <c r="Y331"/>
  <c r="U331"/>
  <c r="Q331"/>
  <c r="M331"/>
  <c r="I331"/>
  <c r="Z331"/>
  <c r="V331"/>
  <c r="R331"/>
  <c r="N331"/>
  <c r="J331"/>
  <c r="F331"/>
  <c r="W331"/>
  <c r="S331"/>
  <c r="O331"/>
  <c r="K331"/>
  <c r="G331"/>
  <c r="X331"/>
  <c r="T331"/>
  <c r="P331"/>
  <c r="L331"/>
  <c r="H331"/>
  <c r="W309"/>
  <c r="S309"/>
  <c r="O309"/>
  <c r="K309"/>
  <c r="G309"/>
  <c r="X309"/>
  <c r="T309"/>
  <c r="P309"/>
  <c r="L309"/>
  <c r="H309"/>
  <c r="Y309"/>
  <c r="U309"/>
  <c r="Q309"/>
  <c r="M309"/>
  <c r="I309"/>
  <c r="Z309"/>
  <c r="V309"/>
  <c r="R309"/>
  <c r="N309"/>
  <c r="J309"/>
  <c r="F309"/>
  <c r="Y301"/>
  <c r="U301"/>
  <c r="Q301"/>
  <c r="M301"/>
  <c r="I301"/>
  <c r="Z301"/>
  <c r="V301"/>
  <c r="R301"/>
  <c r="N301"/>
  <c r="J301"/>
  <c r="F301"/>
  <c r="W301"/>
  <c r="S301"/>
  <c r="O301"/>
  <c r="K301"/>
  <c r="G301"/>
  <c r="X301"/>
  <c r="T301"/>
  <c r="P301"/>
  <c r="L301"/>
  <c r="H301"/>
  <c r="W293"/>
  <c r="S293"/>
  <c r="M293"/>
  <c r="Z293"/>
  <c r="V293"/>
  <c r="R293"/>
  <c r="N293"/>
  <c r="J293"/>
  <c r="F293"/>
  <c r="K293"/>
  <c r="Y293"/>
  <c r="U293"/>
  <c r="Q293"/>
  <c r="I293"/>
  <c r="X293"/>
  <c r="T293"/>
  <c r="P293"/>
  <c r="L293"/>
  <c r="H293"/>
  <c r="O293"/>
  <c r="G293"/>
  <c r="Y259"/>
  <c r="U259"/>
  <c r="Q259"/>
  <c r="M259"/>
  <c r="I259"/>
  <c r="Z259"/>
  <c r="V259"/>
  <c r="R259"/>
  <c r="N259"/>
  <c r="J259"/>
  <c r="F259"/>
  <c r="W259"/>
  <c r="S259"/>
  <c r="O259"/>
  <c r="K259"/>
  <c r="G259"/>
  <c r="X259"/>
  <c r="T259"/>
  <c r="P259"/>
  <c r="L259"/>
  <c r="H259"/>
  <c r="X340"/>
  <c r="T340"/>
  <c r="P340"/>
  <c r="L340"/>
  <c r="H340"/>
  <c r="Y340"/>
  <c r="U340"/>
  <c r="Q340"/>
  <c r="M340"/>
  <c r="I340"/>
  <c r="Z340"/>
  <c r="V340"/>
  <c r="R340"/>
  <c r="N340"/>
  <c r="J340"/>
  <c r="F340"/>
  <c r="W340"/>
  <c r="S340"/>
  <c r="O340"/>
  <c r="K340"/>
  <c r="G340"/>
  <c r="Z328"/>
  <c r="V328"/>
  <c r="R328"/>
  <c r="N328"/>
  <c r="J328"/>
  <c r="F328"/>
  <c r="W328"/>
  <c r="S328"/>
  <c r="O328"/>
  <c r="K328"/>
  <c r="G328"/>
  <c r="X328"/>
  <c r="T328"/>
  <c r="P328"/>
  <c r="L328"/>
  <c r="H328"/>
  <c r="Y328"/>
  <c r="U328"/>
  <c r="Q328"/>
  <c r="M328"/>
  <c r="I328"/>
  <c r="T292"/>
  <c r="L292"/>
  <c r="Y292"/>
  <c r="U292"/>
  <c r="Q292"/>
  <c r="M292"/>
  <c r="I292"/>
  <c r="Z292"/>
  <c r="R292"/>
  <c r="J292"/>
  <c r="X292"/>
  <c r="P292"/>
  <c r="F292"/>
  <c r="W292"/>
  <c r="S292"/>
  <c r="O292"/>
  <c r="K292"/>
  <c r="G292"/>
  <c r="V292"/>
  <c r="N292"/>
  <c r="H292"/>
  <c r="T288"/>
  <c r="L288"/>
  <c r="Y288"/>
  <c r="U288"/>
  <c r="Q288"/>
  <c r="M288"/>
  <c r="I288"/>
  <c r="Z288"/>
  <c r="R288"/>
  <c r="J288"/>
  <c r="X288"/>
  <c r="P288"/>
  <c r="F288"/>
  <c r="W288"/>
  <c r="S288"/>
  <c r="O288"/>
  <c r="K288"/>
  <c r="G288"/>
  <c r="V288"/>
  <c r="N288"/>
  <c r="H288"/>
  <c r="W337"/>
  <c r="S337"/>
  <c r="O337"/>
  <c r="K337"/>
  <c r="G337"/>
  <c r="X337"/>
  <c r="T337"/>
  <c r="P337"/>
  <c r="L337"/>
  <c r="H337"/>
  <c r="Y337"/>
  <c r="U337"/>
  <c r="Q337"/>
  <c r="M337"/>
  <c r="I337"/>
  <c r="Z337"/>
  <c r="V337"/>
  <c r="R337"/>
  <c r="N337"/>
  <c r="J337"/>
  <c r="F337"/>
  <c r="W329"/>
  <c r="S329"/>
  <c r="O329"/>
  <c r="K329"/>
  <c r="G329"/>
  <c r="X329"/>
  <c r="T329"/>
  <c r="P329"/>
  <c r="L329"/>
  <c r="H329"/>
  <c r="Y329"/>
  <c r="U329"/>
  <c r="Q329"/>
  <c r="M329"/>
  <c r="I329"/>
  <c r="Z329"/>
  <c r="V329"/>
  <c r="R329"/>
  <c r="N329"/>
  <c r="J329"/>
  <c r="F329"/>
  <c r="W303"/>
  <c r="S303"/>
  <c r="O303"/>
  <c r="K303"/>
  <c r="G303"/>
  <c r="X303"/>
  <c r="T303"/>
  <c r="P303"/>
  <c r="L303"/>
  <c r="H303"/>
  <c r="Y303"/>
  <c r="U303"/>
  <c r="Q303"/>
  <c r="M303"/>
  <c r="I303"/>
  <c r="Z303"/>
  <c r="V303"/>
  <c r="R303"/>
  <c r="N303"/>
  <c r="J303"/>
  <c r="F303"/>
  <c r="W257"/>
  <c r="S257"/>
  <c r="O257"/>
  <c r="K257"/>
  <c r="G257"/>
  <c r="X257"/>
  <c r="T257"/>
  <c r="P257"/>
  <c r="L257"/>
  <c r="H257"/>
  <c r="Y257"/>
  <c r="U257"/>
  <c r="Q257"/>
  <c r="M257"/>
  <c r="I257"/>
  <c r="Z257"/>
  <c r="V257"/>
  <c r="R257"/>
  <c r="N257"/>
  <c r="J257"/>
  <c r="F257"/>
  <c r="Y335"/>
  <c r="U335"/>
  <c r="Q335"/>
  <c r="M335"/>
  <c r="I335"/>
  <c r="Z335"/>
  <c r="V335"/>
  <c r="R335"/>
  <c r="N335"/>
  <c r="J335"/>
  <c r="F335"/>
  <c r="W335"/>
  <c r="S335"/>
  <c r="O335"/>
  <c r="K335"/>
  <c r="G335"/>
  <c r="X335"/>
  <c r="T335"/>
  <c r="P335"/>
  <c r="L335"/>
  <c r="H335"/>
  <c r="Y327"/>
  <c r="U327"/>
  <c r="Q327"/>
  <c r="M327"/>
  <c r="I327"/>
  <c r="Z327"/>
  <c r="V327"/>
  <c r="R327"/>
  <c r="N327"/>
  <c r="J327"/>
  <c r="F327"/>
  <c r="W327"/>
  <c r="S327"/>
  <c r="O327"/>
  <c r="K327"/>
  <c r="G327"/>
  <c r="X327"/>
  <c r="T327"/>
  <c r="P327"/>
  <c r="L327"/>
  <c r="H327"/>
  <c r="Y305"/>
  <c r="U305"/>
  <c r="Q305"/>
  <c r="M305"/>
  <c r="I305"/>
  <c r="Z305"/>
  <c r="V305"/>
  <c r="R305"/>
  <c r="N305"/>
  <c r="J305"/>
  <c r="F305"/>
  <c r="W305"/>
  <c r="S305"/>
  <c r="O305"/>
  <c r="K305"/>
  <c r="G305"/>
  <c r="X305"/>
  <c r="T305"/>
  <c r="P305"/>
  <c r="L305"/>
  <c r="H305"/>
  <c r="Y297"/>
  <c r="U297"/>
  <c r="Q297"/>
  <c r="M297"/>
  <c r="I297"/>
  <c r="Z297"/>
  <c r="V297"/>
  <c r="R297"/>
  <c r="N297"/>
  <c r="J297"/>
  <c r="F297"/>
  <c r="W297"/>
  <c r="S297"/>
  <c r="O297"/>
  <c r="K297"/>
  <c r="G297"/>
  <c r="X297"/>
  <c r="T297"/>
  <c r="P297"/>
  <c r="L297"/>
  <c r="H297"/>
  <c r="Y289"/>
  <c r="U289"/>
  <c r="Q289"/>
  <c r="M289"/>
  <c r="G289"/>
  <c r="X289"/>
  <c r="T289"/>
  <c r="P289"/>
  <c r="L289"/>
  <c r="H289"/>
  <c r="I289"/>
  <c r="W289"/>
  <c r="S289"/>
  <c r="O289"/>
  <c r="K289"/>
  <c r="Z289"/>
  <c r="V289"/>
  <c r="R289"/>
  <c r="N289"/>
  <c r="J289"/>
  <c r="F289"/>
  <c r="Y255"/>
  <c r="U255"/>
  <c r="Q255"/>
  <c r="M255"/>
  <c r="I255"/>
  <c r="Z255"/>
  <c r="V255"/>
  <c r="R255"/>
  <c r="N255"/>
  <c r="J255"/>
  <c r="F255"/>
  <c r="W255"/>
  <c r="S255"/>
  <c r="O255"/>
  <c r="K255"/>
  <c r="G255"/>
  <c r="X255"/>
  <c r="T255"/>
  <c r="P255"/>
  <c r="L255"/>
  <c r="H255"/>
  <c r="Z332"/>
  <c r="V332"/>
  <c r="R332"/>
  <c r="N332"/>
  <c r="J332"/>
  <c r="F332"/>
  <c r="W332"/>
  <c r="S332"/>
  <c r="O332"/>
  <c r="K332"/>
  <c r="G332"/>
  <c r="X332"/>
  <c r="T332"/>
  <c r="P332"/>
  <c r="L332"/>
  <c r="H332"/>
  <c r="Y332"/>
  <c r="U332"/>
  <c r="Q332"/>
  <c r="M332"/>
  <c r="I332"/>
  <c r="X336"/>
  <c r="T336"/>
  <c r="P336"/>
  <c r="L336"/>
  <c r="H336"/>
  <c r="Y336"/>
  <c r="U336"/>
  <c r="Q336"/>
  <c r="M336"/>
  <c r="I336"/>
  <c r="Z336"/>
  <c r="V336"/>
  <c r="R336"/>
  <c r="N336"/>
  <c r="J336"/>
  <c r="F336"/>
  <c r="W336"/>
  <c r="S336"/>
  <c r="O336"/>
  <c r="K336"/>
  <c r="G336"/>
  <c r="Y234"/>
  <c r="G234"/>
  <c r="J234"/>
  <c r="Q234"/>
  <c r="M234"/>
  <c r="X234"/>
  <c r="S234"/>
  <c r="N234"/>
  <c r="I234"/>
  <c r="P234"/>
  <c r="O246"/>
  <c r="J246"/>
  <c r="Z246"/>
  <c r="U246"/>
  <c r="P246"/>
  <c r="K246"/>
  <c r="F246"/>
  <c r="V246"/>
  <c r="Q246"/>
  <c r="I243"/>
  <c r="Y243"/>
  <c r="T243"/>
  <c r="O243"/>
  <c r="J243"/>
  <c r="Z243"/>
  <c r="U243"/>
  <c r="P243"/>
  <c r="K243"/>
  <c r="F243"/>
  <c r="M225"/>
  <c r="P225"/>
  <c r="N225"/>
  <c r="Q225"/>
  <c r="J225"/>
  <c r="G225"/>
  <c r="W225"/>
  <c r="V225"/>
  <c r="U225"/>
  <c r="K225"/>
  <c r="AD236"/>
  <c r="AD226"/>
  <c r="AD233"/>
  <c r="AD235"/>
  <c r="AD245"/>
  <c r="AD242"/>
  <c r="AD229"/>
  <c r="AD241"/>
  <c r="AD228"/>
  <c r="AD231"/>
  <c r="AD223"/>
  <c r="AD227"/>
  <c r="AD238"/>
  <c r="AD230"/>
  <c r="AD237"/>
  <c r="AD244"/>
  <c r="AD240"/>
  <c r="AD232"/>
  <c r="AD224"/>
  <c r="AD239"/>
  <c r="AA236"/>
  <c r="AB236" s="1"/>
  <c r="AC236" s="1"/>
  <c r="AA226"/>
  <c r="AB226" s="1"/>
  <c r="AC226" s="1"/>
  <c r="AA233"/>
  <c r="AB233" s="1"/>
  <c r="AC233" s="1"/>
  <c r="AA235"/>
  <c r="AB235" s="1"/>
  <c r="AC235" s="1"/>
  <c r="AA245"/>
  <c r="AB245" s="1"/>
  <c r="AC245" s="1"/>
  <c r="AA242"/>
  <c r="AB242" s="1"/>
  <c r="AC242" s="1"/>
  <c r="AA229"/>
  <c r="AB229" s="1"/>
  <c r="AC229" s="1"/>
  <c r="AA241"/>
  <c r="AB241" s="1"/>
  <c r="AC241" s="1"/>
  <c r="AA228"/>
  <c r="AB228" s="1"/>
  <c r="AC228" s="1"/>
  <c r="AA231"/>
  <c r="AB231" s="1"/>
  <c r="AC231" s="1"/>
  <c r="AA223"/>
  <c r="AB223" s="1"/>
  <c r="AA227"/>
  <c r="AB227" s="1"/>
  <c r="AC227" s="1"/>
  <c r="AA238"/>
  <c r="AB238" s="1"/>
  <c r="AC238" s="1"/>
  <c r="AA230"/>
  <c r="AB230" s="1"/>
  <c r="AC230" s="1"/>
  <c r="AA237"/>
  <c r="AB237" s="1"/>
  <c r="AC237" s="1"/>
  <c r="AA244"/>
  <c r="AB244" s="1"/>
  <c r="AC244" s="1"/>
  <c r="AA240"/>
  <c r="AB240" s="1"/>
  <c r="AC240" s="1"/>
  <c r="AA232"/>
  <c r="AB232" s="1"/>
  <c r="AC232" s="1"/>
  <c r="AA224"/>
  <c r="AB224" s="1"/>
  <c r="AC224" s="1"/>
  <c r="AA239"/>
  <c r="AB239" s="1"/>
  <c r="AC239" s="1"/>
  <c r="AC223"/>
  <c r="AA225" l="1"/>
  <c r="AB225" s="1"/>
  <c r="AC225" s="1"/>
  <c r="AA246"/>
  <c r="AB246" s="1"/>
  <c r="AC246" s="1"/>
  <c r="AA243"/>
  <c r="AB243" s="1"/>
  <c r="AC243" s="1"/>
  <c r="AD246"/>
  <c r="AD234"/>
  <c r="AA234"/>
  <c r="AB234" s="1"/>
  <c r="AC234" s="1"/>
  <c r="AA336"/>
  <c r="AB336" s="1"/>
  <c r="AC336" s="1"/>
  <c r="AD336"/>
  <c r="AA289"/>
  <c r="AB289" s="1"/>
  <c r="AC289" s="1"/>
  <c r="AD289"/>
  <c r="AD305"/>
  <c r="AA305"/>
  <c r="AB305" s="1"/>
  <c r="AC305" s="1"/>
  <c r="AD335"/>
  <c r="AA335"/>
  <c r="AB335" s="1"/>
  <c r="AC335" s="1"/>
  <c r="AD303"/>
  <c r="AA303"/>
  <c r="AB303" s="1"/>
  <c r="AC303" s="1"/>
  <c r="AD337"/>
  <c r="AA337"/>
  <c r="AB337" s="1"/>
  <c r="AC337" s="1"/>
  <c r="AD292"/>
  <c r="AA292"/>
  <c r="AB292" s="1"/>
  <c r="AC292" s="1"/>
  <c r="AA328"/>
  <c r="AB328" s="1"/>
  <c r="AC328" s="1"/>
  <c r="AD328"/>
  <c r="AA293"/>
  <c r="AB293" s="1"/>
  <c r="AC293" s="1"/>
  <c r="AD293"/>
  <c r="AD309"/>
  <c r="AA309"/>
  <c r="AB309" s="1"/>
  <c r="AC309" s="1"/>
  <c r="AD339"/>
  <c r="AA339"/>
  <c r="AB339" s="1"/>
  <c r="AC339" s="1"/>
  <c r="AD299"/>
  <c r="AA299"/>
  <c r="AB299" s="1"/>
  <c r="AC299" s="1"/>
  <c r="AD333"/>
  <c r="AA333"/>
  <c r="AB333" s="1"/>
  <c r="AC333" s="1"/>
  <c r="AD290"/>
  <c r="AA290"/>
  <c r="AB290" s="1"/>
  <c r="AC290" s="1"/>
  <c r="AA266"/>
  <c r="AB266" s="1"/>
  <c r="AC266" s="1"/>
  <c r="AD266"/>
  <c r="AD294"/>
  <c r="AA294"/>
  <c r="AB294" s="1"/>
  <c r="AC294" s="1"/>
  <c r="AA302"/>
  <c r="AB302" s="1"/>
  <c r="AC302" s="1"/>
  <c r="AD302"/>
  <c r="AA268"/>
  <c r="AB268" s="1"/>
  <c r="AC268" s="1"/>
  <c r="AD268"/>
  <c r="AA296"/>
  <c r="AB296" s="1"/>
  <c r="AC296" s="1"/>
  <c r="AD296"/>
  <c r="AA320"/>
  <c r="AB320" s="1"/>
  <c r="AC320" s="1"/>
  <c r="AD320"/>
  <c r="AA258"/>
  <c r="AB258" s="1"/>
  <c r="AC258" s="1"/>
  <c r="AD258"/>
  <c r="AA330"/>
  <c r="AB330" s="1"/>
  <c r="AC330" s="1"/>
  <c r="AD330"/>
  <c r="AD263"/>
  <c r="AA263"/>
  <c r="AB263" s="1"/>
  <c r="AC263" s="1"/>
  <c r="AD319"/>
  <c r="AA319"/>
  <c r="AB319" s="1"/>
  <c r="AD273"/>
  <c r="AA273"/>
  <c r="AB273" s="1"/>
  <c r="AC273" s="1"/>
  <c r="AA287"/>
  <c r="AB287" s="1"/>
  <c r="AD287"/>
  <c r="AD262"/>
  <c r="AA262"/>
  <c r="AB262" s="1"/>
  <c r="AC262" s="1"/>
  <c r="AA270"/>
  <c r="AB270" s="1"/>
  <c r="AC270" s="1"/>
  <c r="AD270"/>
  <c r="AA310"/>
  <c r="AB310" s="1"/>
  <c r="AC310" s="1"/>
  <c r="AD310"/>
  <c r="AA264"/>
  <c r="AB264" s="1"/>
  <c r="AC264" s="1"/>
  <c r="AD264"/>
  <c r="AA304"/>
  <c r="AB304" s="1"/>
  <c r="AC304" s="1"/>
  <c r="AD304"/>
  <c r="AA342"/>
  <c r="AB342" s="1"/>
  <c r="AC342" s="1"/>
  <c r="AD342"/>
  <c r="AA324"/>
  <c r="AB324" s="1"/>
  <c r="AC324" s="1"/>
  <c r="AD324"/>
  <c r="AA322"/>
  <c r="AB322" s="1"/>
  <c r="AC322" s="1"/>
  <c r="AD322"/>
  <c r="AD267"/>
  <c r="AA267"/>
  <c r="AB267" s="1"/>
  <c r="AC267" s="1"/>
  <c r="AD323"/>
  <c r="AA323"/>
  <c r="AB323" s="1"/>
  <c r="AC323" s="1"/>
  <c r="AD277"/>
  <c r="AA277"/>
  <c r="AB277" s="1"/>
  <c r="AC277" s="1"/>
  <c r="AD325"/>
  <c r="AA325"/>
  <c r="AB325" s="1"/>
  <c r="AC325" s="1"/>
  <c r="AA332"/>
  <c r="AB332" s="1"/>
  <c r="AC332" s="1"/>
  <c r="AD332"/>
  <c r="AD255"/>
  <c r="AA255"/>
  <c r="AB255" s="1"/>
  <c r="AD297"/>
  <c r="AA297"/>
  <c r="AB297" s="1"/>
  <c r="AC297" s="1"/>
  <c r="AD327"/>
  <c r="AA327"/>
  <c r="AB327" s="1"/>
  <c r="AC327" s="1"/>
  <c r="AD257"/>
  <c r="AA257"/>
  <c r="AB257" s="1"/>
  <c r="AC257" s="1"/>
  <c r="AD329"/>
  <c r="AA329"/>
  <c r="AB329" s="1"/>
  <c r="AC329" s="1"/>
  <c r="AD288"/>
  <c r="AA288"/>
  <c r="AB288" s="1"/>
  <c r="AC288" s="1"/>
  <c r="AA340"/>
  <c r="AB340" s="1"/>
  <c r="AC340" s="1"/>
  <c r="AD340"/>
  <c r="AD259"/>
  <c r="AA259"/>
  <c r="AB259" s="1"/>
  <c r="AC259" s="1"/>
  <c r="AD301"/>
  <c r="AA301"/>
  <c r="AB301" s="1"/>
  <c r="AC301" s="1"/>
  <c r="AD331"/>
  <c r="AA331"/>
  <c r="AB331" s="1"/>
  <c r="AC331" s="1"/>
  <c r="AD261"/>
  <c r="AA261"/>
  <c r="AB261" s="1"/>
  <c r="AC261" s="1"/>
  <c r="AD307"/>
  <c r="AA307"/>
  <c r="AB307" s="1"/>
  <c r="AC307" s="1"/>
  <c r="AD341"/>
  <c r="AA341"/>
  <c r="AB341" s="1"/>
  <c r="AC341" s="1"/>
  <c r="AA276"/>
  <c r="AB276" s="1"/>
  <c r="AC276" s="1"/>
  <c r="AD276"/>
  <c r="AA300"/>
  <c r="AB300" s="1"/>
  <c r="AC300" s="1"/>
  <c r="AD300"/>
  <c r="AA272"/>
  <c r="AB272" s="1"/>
  <c r="AC272" s="1"/>
  <c r="AD272"/>
  <c r="AA278"/>
  <c r="AB278" s="1"/>
  <c r="AC278" s="1"/>
  <c r="AD278"/>
  <c r="AA298"/>
  <c r="AB298" s="1"/>
  <c r="AC298" s="1"/>
  <c r="AD298"/>
  <c r="AA334"/>
  <c r="AB334" s="1"/>
  <c r="AC334" s="1"/>
  <c r="AD334"/>
  <c r="AA256"/>
  <c r="AB256" s="1"/>
  <c r="AC256" s="1"/>
  <c r="AD256"/>
  <c r="AD271"/>
  <c r="AA271"/>
  <c r="AB271" s="1"/>
  <c r="AC271" s="1"/>
  <c r="AD265"/>
  <c r="AA265"/>
  <c r="AB265" s="1"/>
  <c r="AC265" s="1"/>
  <c r="AD295"/>
  <c r="AA295"/>
  <c r="AB295" s="1"/>
  <c r="AC295" s="1"/>
  <c r="AD321"/>
  <c r="AA321"/>
  <c r="AB321" s="1"/>
  <c r="AC321" s="1"/>
  <c r="AA260"/>
  <c r="AB260" s="1"/>
  <c r="AC260" s="1"/>
  <c r="AD260"/>
  <c r="AA308"/>
  <c r="AB308" s="1"/>
  <c r="AC308" s="1"/>
  <c r="AD308"/>
  <c r="AA274"/>
  <c r="AB274" s="1"/>
  <c r="AC274" s="1"/>
  <c r="AD274"/>
  <c r="AA306"/>
  <c r="AB306" s="1"/>
  <c r="AC306" s="1"/>
  <c r="AD306"/>
  <c r="AA326"/>
  <c r="AB326" s="1"/>
  <c r="AC326" s="1"/>
  <c r="AD326"/>
  <c r="AA338"/>
  <c r="AB338" s="1"/>
  <c r="AC338" s="1"/>
  <c r="AD338"/>
  <c r="AD275"/>
  <c r="AA275"/>
  <c r="AB275" s="1"/>
  <c r="AC275" s="1"/>
  <c r="AD269"/>
  <c r="AA269"/>
  <c r="AB269" s="1"/>
  <c r="AC269" s="1"/>
  <c r="AA291"/>
  <c r="AB291" s="1"/>
  <c r="AC291" s="1"/>
  <c r="AD291"/>
  <c r="AD225"/>
  <c r="AD243"/>
  <c r="AB248" l="1"/>
  <c r="AC248"/>
  <c r="B249" s="1"/>
  <c r="AB312"/>
  <c r="AC287"/>
  <c r="AC312" s="1"/>
  <c r="B313" s="1"/>
  <c r="AB280"/>
  <c r="AC255"/>
  <c r="AC280" s="1"/>
  <c r="B281" s="1"/>
  <c r="AB344"/>
  <c r="AC319"/>
  <c r="AC344" s="1"/>
  <c r="B345" s="1"/>
  <c r="F25" i="6" l="1"/>
  <c r="F27" s="1"/>
  <c r="D25"/>
  <c r="E25"/>
  <c r="E27" s="1"/>
  <c r="C25"/>
  <c r="E28" l="1"/>
  <c r="E30" s="1"/>
  <c r="E29"/>
  <c r="F28"/>
  <c r="F30" s="1"/>
  <c r="F29"/>
  <c r="F31" l="1"/>
  <c r="E31"/>
  <c r="B220" i="4"/>
  <c r="C245" s="1"/>
  <c r="C242"/>
  <c r="E245" l="1" a="1"/>
  <c r="E245" s="1"/>
  <c r="D245"/>
  <c r="E242" a="1"/>
  <c r="E242" s="1"/>
  <c r="C14" i="6"/>
  <c r="C16" s="1"/>
  <c r="C229" i="4"/>
  <c r="C243"/>
  <c r="C232"/>
  <c r="C236"/>
  <c r="C226"/>
  <c r="C241"/>
  <c r="C246"/>
  <c r="C231"/>
  <c r="C233"/>
  <c r="C227"/>
  <c r="C225"/>
  <c r="C224"/>
  <c r="C223"/>
  <c r="C230"/>
  <c r="C237"/>
  <c r="C244"/>
  <c r="C239"/>
  <c r="C234"/>
  <c r="C238"/>
  <c r="C235"/>
  <c r="D242"/>
  <c r="C240"/>
  <c r="C228"/>
  <c r="Z242" l="1"/>
  <c r="J242"/>
  <c r="K242"/>
  <c r="P242"/>
  <c r="U242"/>
  <c r="V242"/>
  <c r="G242"/>
  <c r="Q242"/>
  <c r="O242"/>
  <c r="Y242"/>
  <c r="S242"/>
  <c r="H242"/>
  <c r="W242"/>
  <c r="N242"/>
  <c r="I242"/>
  <c r="R242"/>
  <c r="X242"/>
  <c r="M242"/>
  <c r="L242"/>
  <c r="T242"/>
  <c r="F242"/>
  <c r="E238" a="1"/>
  <c r="E238" s="1"/>
  <c r="D238"/>
  <c r="E239" a="1"/>
  <c r="E239" s="1"/>
  <c r="D239"/>
  <c r="E237" a="1"/>
  <c r="E237" s="1"/>
  <c r="D237"/>
  <c r="C248"/>
  <c r="E223" a="1"/>
  <c r="E223" s="1"/>
  <c r="D223"/>
  <c r="E225" a="1"/>
  <c r="E225" s="1"/>
  <c r="D225"/>
  <c r="E231" a="1"/>
  <c r="E231" s="1"/>
  <c r="D231"/>
  <c r="E241" a="1"/>
  <c r="E241" s="1"/>
  <c r="D241"/>
  <c r="E236" a="1"/>
  <c r="E236" s="1"/>
  <c r="D236"/>
  <c r="E243" a="1"/>
  <c r="E243" s="1"/>
  <c r="D243"/>
  <c r="E240" a="1"/>
  <c r="E240" s="1"/>
  <c r="D240"/>
  <c r="E235" a="1"/>
  <c r="E235" s="1"/>
  <c r="D235"/>
  <c r="E234" a="1"/>
  <c r="E234" s="1"/>
  <c r="D234"/>
  <c r="E244" a="1"/>
  <c r="E244" s="1"/>
  <c r="D244"/>
  <c r="E230" a="1"/>
  <c r="E230" s="1"/>
  <c r="D230"/>
  <c r="E224" a="1"/>
  <c r="E224" s="1"/>
  <c r="D224"/>
  <c r="E227" a="1"/>
  <c r="E227" s="1"/>
  <c r="D227"/>
  <c r="E233" a="1"/>
  <c r="E233" s="1"/>
  <c r="D233"/>
  <c r="E246" a="1"/>
  <c r="E246" s="1"/>
  <c r="D246"/>
  <c r="E226" a="1"/>
  <c r="E226" s="1"/>
  <c r="D226"/>
  <c r="E232" a="1"/>
  <c r="E232" s="1"/>
  <c r="D232"/>
  <c r="E229" a="1"/>
  <c r="E229" s="1"/>
  <c r="D229"/>
  <c r="W245"/>
  <c r="G245"/>
  <c r="L245"/>
  <c r="Q245"/>
  <c r="V245"/>
  <c r="S245"/>
  <c r="H245"/>
  <c r="R245"/>
  <c r="P245"/>
  <c r="Z245"/>
  <c r="T245"/>
  <c r="I245"/>
  <c r="X245"/>
  <c r="K245"/>
  <c r="J245"/>
  <c r="F245"/>
  <c r="O245"/>
  <c r="Y245"/>
  <c r="N245"/>
  <c r="M245"/>
  <c r="U245"/>
  <c r="E228" a="1"/>
  <c r="E228" s="1"/>
  <c r="D228"/>
  <c r="AA245" l="1"/>
  <c r="AB245" s="1"/>
  <c r="AC245" s="1"/>
  <c r="AD245"/>
  <c r="Z226"/>
  <c r="J226"/>
  <c r="K226"/>
  <c r="P226"/>
  <c r="U226"/>
  <c r="V226"/>
  <c r="G226"/>
  <c r="Q226"/>
  <c r="O226"/>
  <c r="Y226"/>
  <c r="S226"/>
  <c r="H226"/>
  <c r="W226"/>
  <c r="N226"/>
  <c r="I226"/>
  <c r="R226"/>
  <c r="X226"/>
  <c r="M226"/>
  <c r="L226"/>
  <c r="T226"/>
  <c r="F226"/>
  <c r="W233"/>
  <c r="G233"/>
  <c r="L233"/>
  <c r="Q233"/>
  <c r="V233"/>
  <c r="S233"/>
  <c r="H233"/>
  <c r="R233"/>
  <c r="P233"/>
  <c r="Z233"/>
  <c r="T233"/>
  <c r="I233"/>
  <c r="X233"/>
  <c r="K233"/>
  <c r="J233"/>
  <c r="O233"/>
  <c r="Y233"/>
  <c r="N233"/>
  <c r="M233"/>
  <c r="U233"/>
  <c r="F233"/>
  <c r="Z224"/>
  <c r="J224"/>
  <c r="K224"/>
  <c r="P224"/>
  <c r="U224"/>
  <c r="V224"/>
  <c r="G224"/>
  <c r="Q224"/>
  <c r="O224"/>
  <c r="Y224"/>
  <c r="S224"/>
  <c r="H224"/>
  <c r="W224"/>
  <c r="N224"/>
  <c r="I224"/>
  <c r="F224"/>
  <c r="R224"/>
  <c r="X224"/>
  <c r="M224"/>
  <c r="L224"/>
  <c r="T224"/>
  <c r="X244"/>
  <c r="H244"/>
  <c r="M244"/>
  <c r="R244"/>
  <c r="S244"/>
  <c r="T244"/>
  <c r="I244"/>
  <c r="O244"/>
  <c r="Q244"/>
  <c r="W244"/>
  <c r="U244"/>
  <c r="J244"/>
  <c r="Y244"/>
  <c r="L244"/>
  <c r="G244"/>
  <c r="F244"/>
  <c r="P244"/>
  <c r="Z244"/>
  <c r="K244"/>
  <c r="N244"/>
  <c r="V244"/>
  <c r="Y235"/>
  <c r="I235"/>
  <c r="N235"/>
  <c r="O235"/>
  <c r="T235"/>
  <c r="U235"/>
  <c r="J235"/>
  <c r="P235"/>
  <c r="R235"/>
  <c r="X235"/>
  <c r="V235"/>
  <c r="G235"/>
  <c r="Z235"/>
  <c r="M235"/>
  <c r="H235"/>
  <c r="F235"/>
  <c r="Q235"/>
  <c r="W235"/>
  <c r="L235"/>
  <c r="K235"/>
  <c r="S235"/>
  <c r="Y243"/>
  <c r="I243"/>
  <c r="N243"/>
  <c r="O243"/>
  <c r="T243"/>
  <c r="U243"/>
  <c r="J243"/>
  <c r="P243"/>
  <c r="R243"/>
  <c r="X243"/>
  <c r="V243"/>
  <c r="G243"/>
  <c r="Z243"/>
  <c r="M243"/>
  <c r="H243"/>
  <c r="Q243"/>
  <c r="W243"/>
  <c r="L243"/>
  <c r="K243"/>
  <c r="S243"/>
  <c r="F243"/>
  <c r="Y241"/>
  <c r="I241"/>
  <c r="N241"/>
  <c r="O241"/>
  <c r="T241"/>
  <c r="U241"/>
  <c r="J241"/>
  <c r="P241"/>
  <c r="R241"/>
  <c r="X241"/>
  <c r="V241"/>
  <c r="G241"/>
  <c r="Z241"/>
  <c r="M241"/>
  <c r="H241"/>
  <c r="Q241"/>
  <c r="W241"/>
  <c r="L241"/>
  <c r="K241"/>
  <c r="S241"/>
  <c r="F241"/>
  <c r="Y225"/>
  <c r="I225"/>
  <c r="N225"/>
  <c r="O225"/>
  <c r="T225"/>
  <c r="U225"/>
  <c r="J225"/>
  <c r="P225"/>
  <c r="R225"/>
  <c r="X225"/>
  <c r="V225"/>
  <c r="G225"/>
  <c r="Z225"/>
  <c r="M225"/>
  <c r="H225"/>
  <c r="F225"/>
  <c r="Q225"/>
  <c r="W225"/>
  <c r="L225"/>
  <c r="K225"/>
  <c r="S225"/>
  <c r="W239"/>
  <c r="G239"/>
  <c r="L239"/>
  <c r="Q239"/>
  <c r="V239"/>
  <c r="S239"/>
  <c r="H239"/>
  <c r="R239"/>
  <c r="P239"/>
  <c r="Z239"/>
  <c r="T239"/>
  <c r="I239"/>
  <c r="X239"/>
  <c r="K239"/>
  <c r="J239"/>
  <c r="F239"/>
  <c r="O239"/>
  <c r="Y239"/>
  <c r="N239"/>
  <c r="M239"/>
  <c r="U239"/>
  <c r="AD242"/>
  <c r="AA242"/>
  <c r="AB242" s="1"/>
  <c r="AC242" s="1"/>
  <c r="X228"/>
  <c r="H228"/>
  <c r="M228"/>
  <c r="R228"/>
  <c r="S228"/>
  <c r="T228"/>
  <c r="I228"/>
  <c r="O228"/>
  <c r="Q228"/>
  <c r="W228"/>
  <c r="U228"/>
  <c r="J228"/>
  <c r="Y228"/>
  <c r="L228"/>
  <c r="G228"/>
  <c r="F228"/>
  <c r="P228"/>
  <c r="Z228"/>
  <c r="K228"/>
  <c r="N228"/>
  <c r="V228"/>
  <c r="Y229"/>
  <c r="I229"/>
  <c r="N229"/>
  <c r="O229"/>
  <c r="T229"/>
  <c r="U229"/>
  <c r="J229"/>
  <c r="P229"/>
  <c r="R229"/>
  <c r="X229"/>
  <c r="V229"/>
  <c r="G229"/>
  <c r="Z229"/>
  <c r="M229"/>
  <c r="H229"/>
  <c r="Q229"/>
  <c r="W229"/>
  <c r="L229"/>
  <c r="K229"/>
  <c r="S229"/>
  <c r="F229"/>
  <c r="X232"/>
  <c r="H232"/>
  <c r="M232"/>
  <c r="R232"/>
  <c r="S232"/>
  <c r="T232"/>
  <c r="I232"/>
  <c r="O232"/>
  <c r="Q232"/>
  <c r="U232"/>
  <c r="J232"/>
  <c r="Y232"/>
  <c r="L232"/>
  <c r="W232"/>
  <c r="P232"/>
  <c r="Z232"/>
  <c r="K232"/>
  <c r="N232"/>
  <c r="V232"/>
  <c r="G232"/>
  <c r="F232"/>
  <c r="P246"/>
  <c r="X246"/>
  <c r="H246"/>
  <c r="M246"/>
  <c r="R246"/>
  <c r="S246"/>
  <c r="T246"/>
  <c r="I246"/>
  <c r="O246"/>
  <c r="Q246"/>
  <c r="W246"/>
  <c r="U246"/>
  <c r="J246"/>
  <c r="Y246"/>
  <c r="L246"/>
  <c r="G246"/>
  <c r="Z246"/>
  <c r="K246"/>
  <c r="N246"/>
  <c r="V246"/>
  <c r="F246"/>
  <c r="Y227"/>
  <c r="I227"/>
  <c r="N227"/>
  <c r="O227"/>
  <c r="T227"/>
  <c r="U227"/>
  <c r="J227"/>
  <c r="P227"/>
  <c r="R227"/>
  <c r="X227"/>
  <c r="V227"/>
  <c r="G227"/>
  <c r="Z227"/>
  <c r="M227"/>
  <c r="H227"/>
  <c r="F227"/>
  <c r="Q227"/>
  <c r="W227"/>
  <c r="L227"/>
  <c r="K227"/>
  <c r="S227"/>
  <c r="P230"/>
  <c r="U230"/>
  <c r="Z230"/>
  <c r="J230"/>
  <c r="K230"/>
  <c r="Y230"/>
  <c r="N230"/>
  <c r="L230"/>
  <c r="V230"/>
  <c r="G230"/>
  <c r="X230"/>
  <c r="H230"/>
  <c r="M230"/>
  <c r="R230"/>
  <c r="S230"/>
  <c r="T230"/>
  <c r="I230"/>
  <c r="O230"/>
  <c r="Q230"/>
  <c r="W230"/>
  <c r="F230"/>
  <c r="X234"/>
  <c r="H234"/>
  <c r="M234"/>
  <c r="R234"/>
  <c r="S234"/>
  <c r="T234"/>
  <c r="I234"/>
  <c r="O234"/>
  <c r="Q234"/>
  <c r="W234"/>
  <c r="U234"/>
  <c r="J234"/>
  <c r="Y234"/>
  <c r="L234"/>
  <c r="G234"/>
  <c r="F234"/>
  <c r="P234"/>
  <c r="Z234"/>
  <c r="K234"/>
  <c r="N234"/>
  <c r="V234"/>
  <c r="Z240"/>
  <c r="J240"/>
  <c r="K240"/>
  <c r="P240"/>
  <c r="U240"/>
  <c r="W240"/>
  <c r="L240"/>
  <c r="I240"/>
  <c r="O240"/>
  <c r="Y240"/>
  <c r="F240"/>
  <c r="R240"/>
  <c r="S240"/>
  <c r="X240"/>
  <c r="H240"/>
  <c r="V240"/>
  <c r="G240"/>
  <c r="Q240"/>
  <c r="N240"/>
  <c r="T240"/>
  <c r="M240"/>
  <c r="Z236"/>
  <c r="J236"/>
  <c r="K236"/>
  <c r="P236"/>
  <c r="U236"/>
  <c r="V236"/>
  <c r="G236"/>
  <c r="Q236"/>
  <c r="O236"/>
  <c r="Y236"/>
  <c r="S236"/>
  <c r="H236"/>
  <c r="W236"/>
  <c r="N236"/>
  <c r="I236"/>
  <c r="R236"/>
  <c r="X236"/>
  <c r="M236"/>
  <c r="L236"/>
  <c r="T236"/>
  <c r="F236"/>
  <c r="W231"/>
  <c r="G231"/>
  <c r="L231"/>
  <c r="Q231"/>
  <c r="V231"/>
  <c r="S231"/>
  <c r="H231"/>
  <c r="R231"/>
  <c r="P231"/>
  <c r="Z231"/>
  <c r="T231"/>
  <c r="I231"/>
  <c r="X231"/>
  <c r="K231"/>
  <c r="J231"/>
  <c r="O231"/>
  <c r="Y231"/>
  <c r="N231"/>
  <c r="M231"/>
  <c r="U231"/>
  <c r="F231"/>
  <c r="S223"/>
  <c r="I223"/>
  <c r="N223"/>
  <c r="K223"/>
  <c r="P223"/>
  <c r="W223"/>
  <c r="M223"/>
  <c r="R223"/>
  <c r="Q223"/>
  <c r="T223"/>
  <c r="F223"/>
  <c r="U223"/>
  <c r="V223"/>
  <c r="Y223"/>
  <c r="X223"/>
  <c r="H223"/>
  <c r="O223"/>
  <c r="Z223"/>
  <c r="J223"/>
  <c r="G223"/>
  <c r="L223"/>
  <c r="W237"/>
  <c r="G237"/>
  <c r="L237"/>
  <c r="Q237"/>
  <c r="V237"/>
  <c r="S237"/>
  <c r="H237"/>
  <c r="R237"/>
  <c r="P237"/>
  <c r="Z237"/>
  <c r="T237"/>
  <c r="I237"/>
  <c r="X237"/>
  <c r="K237"/>
  <c r="J237"/>
  <c r="F237"/>
  <c r="O237"/>
  <c r="Y237"/>
  <c r="N237"/>
  <c r="M237"/>
  <c r="U237"/>
  <c r="R238"/>
  <c r="S238"/>
  <c r="X238"/>
  <c r="H238"/>
  <c r="M238"/>
  <c r="W238"/>
  <c r="L238"/>
  <c r="N238"/>
  <c r="T238"/>
  <c r="I238"/>
  <c r="Z238"/>
  <c r="J238"/>
  <c r="K238"/>
  <c r="P238"/>
  <c r="U238"/>
  <c r="V238"/>
  <c r="G238"/>
  <c r="Q238"/>
  <c r="O238"/>
  <c r="Y238"/>
  <c r="F238"/>
  <c r="AA223" l="1"/>
  <c r="AB223" s="1"/>
  <c r="AD223"/>
  <c r="AD231"/>
  <c r="AA231"/>
  <c r="AB231" s="1"/>
  <c r="AC231" s="1"/>
  <c r="AD240"/>
  <c r="AA240"/>
  <c r="AB240" s="1"/>
  <c r="AC240" s="1"/>
  <c r="AA234"/>
  <c r="AB234" s="1"/>
  <c r="AC234" s="1"/>
  <c r="AD234"/>
  <c r="AA230"/>
  <c r="AB230" s="1"/>
  <c r="AC230" s="1"/>
  <c r="AD230"/>
  <c r="AA227"/>
  <c r="AB227" s="1"/>
  <c r="AC227" s="1"/>
  <c r="AD227"/>
  <c r="AD246"/>
  <c r="AA246"/>
  <c r="AB246" s="1"/>
  <c r="AC246" s="1"/>
  <c r="AD229"/>
  <c r="AA229"/>
  <c r="AB229" s="1"/>
  <c r="AC229" s="1"/>
  <c r="AA228"/>
  <c r="AB228" s="1"/>
  <c r="AC228" s="1"/>
  <c r="AD228"/>
  <c r="AA225"/>
  <c r="AB225" s="1"/>
  <c r="AC225" s="1"/>
  <c r="AD225"/>
  <c r="AD241"/>
  <c r="AA241"/>
  <c r="AB241" s="1"/>
  <c r="AC241" s="1"/>
  <c r="AA244"/>
  <c r="AB244" s="1"/>
  <c r="AC244" s="1"/>
  <c r="AD244"/>
  <c r="AD226"/>
  <c r="AA226"/>
  <c r="AB226" s="1"/>
  <c r="AC226" s="1"/>
  <c r="AA238"/>
  <c r="AB238" s="1"/>
  <c r="AC238" s="1"/>
  <c r="AD238"/>
  <c r="AA237"/>
  <c r="AB237" s="1"/>
  <c r="AC237" s="1"/>
  <c r="AD237"/>
  <c r="AD236"/>
  <c r="AA236"/>
  <c r="AB236" s="1"/>
  <c r="AC236" s="1"/>
  <c r="AA232"/>
  <c r="AB232" s="1"/>
  <c r="AC232" s="1"/>
  <c r="AD232"/>
  <c r="AA239"/>
  <c r="AB239" s="1"/>
  <c r="AC239" s="1"/>
  <c r="AD239"/>
  <c r="AD243"/>
  <c r="AA243"/>
  <c r="AB243" s="1"/>
  <c r="AC243" s="1"/>
  <c r="AA235"/>
  <c r="AB235" s="1"/>
  <c r="AC235" s="1"/>
  <c r="AD235"/>
  <c r="AA224"/>
  <c r="AB224" s="1"/>
  <c r="AC224" s="1"/>
  <c r="AD224"/>
  <c r="AD233"/>
  <c r="AA233"/>
  <c r="AB233" s="1"/>
  <c r="AC233" s="1"/>
  <c r="AB248" l="1"/>
  <c r="AC223"/>
  <c r="AC248" s="1"/>
  <c r="B249" s="1"/>
  <c r="C26" i="6" s="1"/>
  <c r="C27" s="1"/>
  <c r="B252" i="4"/>
  <c r="C267" s="1"/>
  <c r="C272" l="1"/>
  <c r="C266"/>
  <c r="C270"/>
  <c r="C276"/>
  <c r="D276" s="1"/>
  <c r="R276" s="1"/>
  <c r="C262"/>
  <c r="D262" s="1"/>
  <c r="C269"/>
  <c r="E269" s="1" a="1"/>
  <c r="E269" s="1"/>
  <c r="C28" i="6"/>
  <c r="C30" s="1"/>
  <c r="C29"/>
  <c r="H276" i="4"/>
  <c r="V276"/>
  <c r="P276"/>
  <c r="F276"/>
  <c r="T276"/>
  <c r="E267" a="1"/>
  <c r="E267" s="1"/>
  <c r="D267"/>
  <c r="Y262"/>
  <c r="I262"/>
  <c r="V262"/>
  <c r="O262"/>
  <c r="L262"/>
  <c r="M262"/>
  <c r="S262"/>
  <c r="J262"/>
  <c r="X262"/>
  <c r="K262"/>
  <c r="Q262"/>
  <c r="P262"/>
  <c r="W262"/>
  <c r="G262"/>
  <c r="R262"/>
  <c r="H262"/>
  <c r="T262"/>
  <c r="U262"/>
  <c r="N262"/>
  <c r="Z262"/>
  <c r="F262"/>
  <c r="E266" a="1"/>
  <c r="E266" s="1"/>
  <c r="E272" a="1"/>
  <c r="E272" s="1"/>
  <c r="E270" a="1"/>
  <c r="E270" s="1"/>
  <c r="C274"/>
  <c r="C271"/>
  <c r="D266"/>
  <c r="C275"/>
  <c r="C260"/>
  <c r="D272"/>
  <c r="C265"/>
  <c r="C258"/>
  <c r="D270"/>
  <c r="D269"/>
  <c r="C263"/>
  <c r="C273"/>
  <c r="C261"/>
  <c r="C277"/>
  <c r="C268"/>
  <c r="C256"/>
  <c r="C257"/>
  <c r="E276" a="1"/>
  <c r="E276" s="1"/>
  <c r="E262" a="1"/>
  <c r="E262" s="1"/>
  <c r="C255"/>
  <c r="C278"/>
  <c r="C264"/>
  <c r="C259"/>
  <c r="K276" l="1"/>
  <c r="I276"/>
  <c r="Q276"/>
  <c r="O276"/>
  <c r="S276"/>
  <c r="W276"/>
  <c r="U276"/>
  <c r="Z276"/>
  <c r="L276"/>
  <c r="N276"/>
  <c r="J276"/>
  <c r="G276"/>
  <c r="Y276"/>
  <c r="M276"/>
  <c r="X276"/>
  <c r="C31" i="6"/>
  <c r="E256" i="4" a="1"/>
  <c r="E256" s="1"/>
  <c r="D256"/>
  <c r="E277" a="1"/>
  <c r="E277" s="1"/>
  <c r="D277"/>
  <c r="E273" a="1"/>
  <c r="E273" s="1"/>
  <c r="D273"/>
  <c r="O269"/>
  <c r="T269"/>
  <c r="Y269"/>
  <c r="N269"/>
  <c r="R269"/>
  <c r="P269"/>
  <c r="U269"/>
  <c r="S269"/>
  <c r="H269"/>
  <c r="Z269"/>
  <c r="G269"/>
  <c r="I269"/>
  <c r="K269"/>
  <c r="J269"/>
  <c r="V269"/>
  <c r="F269"/>
  <c r="W269"/>
  <c r="L269"/>
  <c r="M269"/>
  <c r="Q269"/>
  <c r="X269"/>
  <c r="E258" a="1"/>
  <c r="E258" s="1"/>
  <c r="D258"/>
  <c r="R272"/>
  <c r="S272"/>
  <c r="T272"/>
  <c r="I272"/>
  <c r="U272"/>
  <c r="O272"/>
  <c r="X272"/>
  <c r="V272"/>
  <c r="G272"/>
  <c r="H272"/>
  <c r="J272"/>
  <c r="Y272"/>
  <c r="N272"/>
  <c r="M272"/>
  <c r="Q272"/>
  <c r="Z272"/>
  <c r="K272"/>
  <c r="P272"/>
  <c r="L272"/>
  <c r="W272"/>
  <c r="F272"/>
  <c r="E275" a="1"/>
  <c r="E275" s="1"/>
  <c r="D275"/>
  <c r="E271" a="1"/>
  <c r="E271" s="1"/>
  <c r="D271"/>
  <c r="AA262"/>
  <c r="AB262" s="1"/>
  <c r="AC262" s="1"/>
  <c r="AD262"/>
  <c r="E259" a="1"/>
  <c r="E259" s="1"/>
  <c r="D259"/>
  <c r="E278" a="1"/>
  <c r="E278" s="1"/>
  <c r="D278"/>
  <c r="E264" a="1"/>
  <c r="E264" s="1"/>
  <c r="D264"/>
  <c r="C280"/>
  <c r="E255" a="1"/>
  <c r="E255" s="1"/>
  <c r="D255"/>
  <c r="E257" a="1"/>
  <c r="E257" s="1"/>
  <c r="D257"/>
  <c r="E268" a="1"/>
  <c r="E268" s="1"/>
  <c r="D268"/>
  <c r="E261" a="1"/>
  <c r="E261" s="1"/>
  <c r="D261"/>
  <c r="E263" a="1"/>
  <c r="E263" s="1"/>
  <c r="D263"/>
  <c r="R270"/>
  <c r="S270"/>
  <c r="X270"/>
  <c r="H270"/>
  <c r="M270"/>
  <c r="O270"/>
  <c r="Y270"/>
  <c r="V270"/>
  <c r="G270"/>
  <c r="Q270"/>
  <c r="J270"/>
  <c r="P270"/>
  <c r="N270"/>
  <c r="I270"/>
  <c r="L270"/>
  <c r="Z270"/>
  <c r="K270"/>
  <c r="U270"/>
  <c r="T270"/>
  <c r="W270"/>
  <c r="F270"/>
  <c r="E265" a="1"/>
  <c r="E265" s="1"/>
  <c r="D265"/>
  <c r="E260" a="1"/>
  <c r="E260" s="1"/>
  <c r="D260"/>
  <c r="X266"/>
  <c r="H266"/>
  <c r="M266"/>
  <c r="R266"/>
  <c r="S266"/>
  <c r="L266"/>
  <c r="V266"/>
  <c r="G266"/>
  <c r="Y266"/>
  <c r="N266"/>
  <c r="P266"/>
  <c r="U266"/>
  <c r="Z266"/>
  <c r="J266"/>
  <c r="K266"/>
  <c r="Q266"/>
  <c r="W266"/>
  <c r="T266"/>
  <c r="I266"/>
  <c r="O266"/>
  <c r="F266"/>
  <c r="E274" a="1"/>
  <c r="E274" s="1"/>
  <c r="D14" i="6"/>
  <c r="D16" s="1"/>
  <c r="D274" i="4"/>
  <c r="Q267"/>
  <c r="V267"/>
  <c r="W267"/>
  <c r="G267"/>
  <c r="L267"/>
  <c r="R267"/>
  <c r="X267"/>
  <c r="U267"/>
  <c r="J267"/>
  <c r="P267"/>
  <c r="I267"/>
  <c r="O267"/>
  <c r="M267"/>
  <c r="H267"/>
  <c r="K267"/>
  <c r="F267"/>
  <c r="Y267"/>
  <c r="N267"/>
  <c r="T267"/>
  <c r="S267"/>
  <c r="Z267"/>
  <c r="AA276" l="1"/>
  <c r="AB276" s="1"/>
  <c r="AC276" s="1"/>
  <c r="AD276"/>
  <c r="AD267"/>
  <c r="AA267"/>
  <c r="AB267" s="1"/>
  <c r="AC267" s="1"/>
  <c r="P260"/>
  <c r="U260"/>
  <c r="V260"/>
  <c r="Z260"/>
  <c r="O260"/>
  <c r="Q260"/>
  <c r="R260"/>
  <c r="T260"/>
  <c r="I260"/>
  <c r="W260"/>
  <c r="H260"/>
  <c r="S260"/>
  <c r="L260"/>
  <c r="G260"/>
  <c r="K260"/>
  <c r="X260"/>
  <c r="M260"/>
  <c r="J260"/>
  <c r="N260"/>
  <c r="Y260"/>
  <c r="F260"/>
  <c r="AA266"/>
  <c r="AB266" s="1"/>
  <c r="AC266" s="1"/>
  <c r="AD266"/>
  <c r="X263"/>
  <c r="H263"/>
  <c r="S263"/>
  <c r="R263"/>
  <c r="M263"/>
  <c r="L263"/>
  <c r="V263"/>
  <c r="G263"/>
  <c r="Y263"/>
  <c r="N263"/>
  <c r="P263"/>
  <c r="Q263"/>
  <c r="Z263"/>
  <c r="J263"/>
  <c r="O263"/>
  <c r="I263"/>
  <c r="U263"/>
  <c r="T263"/>
  <c r="K263"/>
  <c r="W263"/>
  <c r="F263"/>
  <c r="P268"/>
  <c r="U268"/>
  <c r="Z268"/>
  <c r="J268"/>
  <c r="K268"/>
  <c r="Q268"/>
  <c r="W268"/>
  <c r="T268"/>
  <c r="I268"/>
  <c r="O268"/>
  <c r="H268"/>
  <c r="R268"/>
  <c r="L268"/>
  <c r="G268"/>
  <c r="N268"/>
  <c r="X268"/>
  <c r="M268"/>
  <c r="S268"/>
  <c r="V268"/>
  <c r="Y268"/>
  <c r="F268"/>
  <c r="W255"/>
  <c r="G255"/>
  <c r="L255"/>
  <c r="Q255"/>
  <c r="V255"/>
  <c r="K255"/>
  <c r="U255"/>
  <c r="J255"/>
  <c r="X255"/>
  <c r="M255"/>
  <c r="O255"/>
  <c r="T255"/>
  <c r="Y255"/>
  <c r="I255"/>
  <c r="N255"/>
  <c r="P255"/>
  <c r="Z255"/>
  <c r="S255"/>
  <c r="H255"/>
  <c r="R255"/>
  <c r="F255"/>
  <c r="O264"/>
  <c r="N264"/>
  <c r="M264"/>
  <c r="G264"/>
  <c r="J264"/>
  <c r="I264"/>
  <c r="T264"/>
  <c r="Q264"/>
  <c r="S264"/>
  <c r="U264"/>
  <c r="R264"/>
  <c r="F264"/>
  <c r="W264"/>
  <c r="L264"/>
  <c r="Y264"/>
  <c r="K264"/>
  <c r="Z264"/>
  <c r="X264"/>
  <c r="V264"/>
  <c r="P264"/>
  <c r="H264"/>
  <c r="Y259"/>
  <c r="I259"/>
  <c r="N259"/>
  <c r="O259"/>
  <c r="T259"/>
  <c r="M259"/>
  <c r="S259"/>
  <c r="H259"/>
  <c r="Z259"/>
  <c r="K259"/>
  <c r="Q259"/>
  <c r="V259"/>
  <c r="W259"/>
  <c r="G259"/>
  <c r="L259"/>
  <c r="R259"/>
  <c r="X259"/>
  <c r="U259"/>
  <c r="J259"/>
  <c r="P259"/>
  <c r="F259"/>
  <c r="O275"/>
  <c r="T275"/>
  <c r="Y275"/>
  <c r="I275"/>
  <c r="N275"/>
  <c r="P275"/>
  <c r="Z275"/>
  <c r="S275"/>
  <c r="H275"/>
  <c r="R275"/>
  <c r="G275"/>
  <c r="Q275"/>
  <c r="K275"/>
  <c r="J275"/>
  <c r="M275"/>
  <c r="W275"/>
  <c r="L275"/>
  <c r="V275"/>
  <c r="U275"/>
  <c r="X275"/>
  <c r="F275"/>
  <c r="R258"/>
  <c r="S258"/>
  <c r="X258"/>
  <c r="H258"/>
  <c r="M258"/>
  <c r="O258"/>
  <c r="Y258"/>
  <c r="V258"/>
  <c r="G258"/>
  <c r="Q258"/>
  <c r="J258"/>
  <c r="P258"/>
  <c r="N258"/>
  <c r="I258"/>
  <c r="L258"/>
  <c r="Z258"/>
  <c r="K258"/>
  <c r="U258"/>
  <c r="T258"/>
  <c r="W258"/>
  <c r="F258"/>
  <c r="AA269"/>
  <c r="AB269" s="1"/>
  <c r="AC269" s="1"/>
  <c r="AD269"/>
  <c r="Q277"/>
  <c r="V277"/>
  <c r="W277"/>
  <c r="L277"/>
  <c r="P277"/>
  <c r="R277"/>
  <c r="S277"/>
  <c r="U277"/>
  <c r="J277"/>
  <c r="X277"/>
  <c r="I277"/>
  <c r="G277"/>
  <c r="M277"/>
  <c r="H277"/>
  <c r="T277"/>
  <c r="Y277"/>
  <c r="N277"/>
  <c r="K277"/>
  <c r="O277"/>
  <c r="Z277"/>
  <c r="F277"/>
  <c r="Z274"/>
  <c r="J274"/>
  <c r="K274"/>
  <c r="P274"/>
  <c r="U274"/>
  <c r="N274"/>
  <c r="T274"/>
  <c r="I274"/>
  <c r="W274"/>
  <c r="L274"/>
  <c r="R274"/>
  <c r="S274"/>
  <c r="X274"/>
  <c r="H274"/>
  <c r="M274"/>
  <c r="O274"/>
  <c r="Y274"/>
  <c r="V274"/>
  <c r="G274"/>
  <c r="Q274"/>
  <c r="F274"/>
  <c r="W265"/>
  <c r="G265"/>
  <c r="L265"/>
  <c r="Q265"/>
  <c r="V265"/>
  <c r="K265"/>
  <c r="U265"/>
  <c r="J265"/>
  <c r="X265"/>
  <c r="M265"/>
  <c r="O265"/>
  <c r="T265"/>
  <c r="Y265"/>
  <c r="I265"/>
  <c r="N265"/>
  <c r="P265"/>
  <c r="Z265"/>
  <c r="S265"/>
  <c r="H265"/>
  <c r="R265"/>
  <c r="F265"/>
  <c r="AA270"/>
  <c r="AB270" s="1"/>
  <c r="AC270" s="1"/>
  <c r="AD270"/>
  <c r="R261"/>
  <c r="O261"/>
  <c r="X261"/>
  <c r="H261"/>
  <c r="Q261"/>
  <c r="G261"/>
  <c r="S261"/>
  <c r="V261"/>
  <c r="M261"/>
  <c r="Y261"/>
  <c r="J261"/>
  <c r="P261"/>
  <c r="N261"/>
  <c r="I261"/>
  <c r="L261"/>
  <c r="Z261"/>
  <c r="U261"/>
  <c r="K261"/>
  <c r="T261"/>
  <c r="W261"/>
  <c r="F261"/>
  <c r="Y257"/>
  <c r="W257"/>
  <c r="V257"/>
  <c r="S257"/>
  <c r="T257"/>
  <c r="U257"/>
  <c r="O257"/>
  <c r="R257"/>
  <c r="K257"/>
  <c r="P257"/>
  <c r="Q257"/>
  <c r="I257"/>
  <c r="N257"/>
  <c r="G257"/>
  <c r="L257"/>
  <c r="M257"/>
  <c r="Z257"/>
  <c r="J257"/>
  <c r="X257"/>
  <c r="H257"/>
  <c r="F257"/>
  <c r="P278"/>
  <c r="U278"/>
  <c r="Z278"/>
  <c r="J278"/>
  <c r="K278"/>
  <c r="Q278"/>
  <c r="W278"/>
  <c r="T278"/>
  <c r="I278"/>
  <c r="O278"/>
  <c r="H278"/>
  <c r="R278"/>
  <c r="L278"/>
  <c r="G278"/>
  <c r="N278"/>
  <c r="F278"/>
  <c r="X278"/>
  <c r="M278"/>
  <c r="S278"/>
  <c r="V278"/>
  <c r="Y278"/>
  <c r="W271"/>
  <c r="G271"/>
  <c r="L271"/>
  <c r="Q271"/>
  <c r="V271"/>
  <c r="K271"/>
  <c r="U271"/>
  <c r="J271"/>
  <c r="X271"/>
  <c r="M271"/>
  <c r="O271"/>
  <c r="T271"/>
  <c r="Y271"/>
  <c r="I271"/>
  <c r="N271"/>
  <c r="P271"/>
  <c r="Z271"/>
  <c r="S271"/>
  <c r="H271"/>
  <c r="R271"/>
  <c r="F271"/>
  <c r="AA272"/>
  <c r="AB272" s="1"/>
  <c r="AC272" s="1"/>
  <c r="AD272"/>
  <c r="Y273"/>
  <c r="I273"/>
  <c r="N273"/>
  <c r="O273"/>
  <c r="T273"/>
  <c r="M273"/>
  <c r="S273"/>
  <c r="H273"/>
  <c r="Z273"/>
  <c r="K273"/>
  <c r="Q273"/>
  <c r="V273"/>
  <c r="W273"/>
  <c r="G273"/>
  <c r="L273"/>
  <c r="R273"/>
  <c r="X273"/>
  <c r="U273"/>
  <c r="J273"/>
  <c r="P273"/>
  <c r="F273"/>
  <c r="P256"/>
  <c r="U256"/>
  <c r="V256"/>
  <c r="Z256"/>
  <c r="O256"/>
  <c r="Q256"/>
  <c r="R256"/>
  <c r="T256"/>
  <c r="I256"/>
  <c r="W256"/>
  <c r="H256"/>
  <c r="S256"/>
  <c r="L256"/>
  <c r="G256"/>
  <c r="K256"/>
  <c r="X256"/>
  <c r="M256"/>
  <c r="J256"/>
  <c r="N256"/>
  <c r="Y256"/>
  <c r="F256"/>
  <c r="AD273" l="1"/>
  <c r="AA273"/>
  <c r="AB273" s="1"/>
  <c r="AC273" s="1"/>
  <c r="AD256"/>
  <c r="AA256"/>
  <c r="AB256" s="1"/>
  <c r="AC256" s="1"/>
  <c r="AA271"/>
  <c r="AB271" s="1"/>
  <c r="AC271" s="1"/>
  <c r="AD271"/>
  <c r="AD278"/>
  <c r="AA278"/>
  <c r="AB278" s="1"/>
  <c r="AC278" s="1"/>
  <c r="AD257"/>
  <c r="AA257"/>
  <c r="AB257" s="1"/>
  <c r="AC257" s="1"/>
  <c r="AA265"/>
  <c r="AB265" s="1"/>
  <c r="AC265" s="1"/>
  <c r="AD265"/>
  <c r="AD277"/>
  <c r="AA277"/>
  <c r="AB277" s="1"/>
  <c r="AC277" s="1"/>
  <c r="AA275"/>
  <c r="AB275" s="1"/>
  <c r="AC275" s="1"/>
  <c r="AD275"/>
  <c r="AD268"/>
  <c r="AA268"/>
  <c r="AB268" s="1"/>
  <c r="AC268" s="1"/>
  <c r="AA260"/>
  <c r="AB260" s="1"/>
  <c r="AC260" s="1"/>
  <c r="AD260"/>
  <c r="AD261"/>
  <c r="AA261"/>
  <c r="AB261" s="1"/>
  <c r="AC261" s="1"/>
  <c r="AD274"/>
  <c r="AA274"/>
  <c r="AB274" s="1"/>
  <c r="AC274" s="1"/>
  <c r="AA258"/>
  <c r="AB258" s="1"/>
  <c r="AC258" s="1"/>
  <c r="AD258"/>
  <c r="AD259"/>
  <c r="AA259"/>
  <c r="AB259" s="1"/>
  <c r="AC259" s="1"/>
  <c r="AD264"/>
  <c r="AA264"/>
  <c r="AB264" s="1"/>
  <c r="AC264" s="1"/>
  <c r="AD255"/>
  <c r="AA255"/>
  <c r="AB255" s="1"/>
  <c r="AD263"/>
  <c r="AA263"/>
  <c r="AB263" s="1"/>
  <c r="AC263" s="1"/>
  <c r="AB280" l="1"/>
  <c r="AC255"/>
  <c r="AC280" s="1"/>
  <c r="B281" s="1"/>
  <c r="D26" i="6" s="1"/>
  <c r="D27" s="1"/>
  <c r="D28" l="1"/>
  <c r="D30" s="1"/>
  <c r="D29"/>
  <c r="G29" s="1"/>
  <c r="D31" l="1"/>
  <c r="G31" s="1"/>
</calcChain>
</file>

<file path=xl/sharedStrings.xml><?xml version="1.0" encoding="utf-8"?>
<sst xmlns="http://schemas.openxmlformats.org/spreadsheetml/2006/main" count="538" uniqueCount="130">
  <si>
    <t>Events per hr (M)</t>
  </si>
  <si>
    <t>Average of log-cpu</t>
  </si>
  <si>
    <t>StdDev of log-cpu</t>
  </si>
  <si>
    <t>HourOfDay</t>
  </si>
  <si>
    <t>Log Events Per Hour</t>
  </si>
  <si>
    <t>Regression from  number of events to log-CPU</t>
  </si>
  <si>
    <t>Regression from log of number of events to std of log CPU</t>
  </si>
  <si>
    <t>x^3</t>
  </si>
  <si>
    <t>x^2</t>
  </si>
  <si>
    <t>x</t>
  </si>
  <si>
    <t>c</t>
  </si>
  <si>
    <t>Coeff</t>
  </si>
  <si>
    <t>C</t>
  </si>
  <si>
    <t>ln(EPH)</t>
  </si>
  <si>
    <t>Prediction</t>
  </si>
  <si>
    <t>Log-EPH</t>
  </si>
  <si>
    <t>Log-CPU</t>
  </si>
  <si>
    <t>STD of LOG-CPU</t>
  </si>
  <si>
    <t>EPH(in M)</t>
  </si>
  <si>
    <t>CPU</t>
  </si>
  <si>
    <t>0</t>
  </si>
  <si>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</si>
  <si>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</si>
  <si>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</si>
  <si>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</si>
  <si>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</si>
  <si>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</si>
  <si>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</si>
  <si>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</si>
  <si>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</si>
  <si>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</si>
  <si>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</si>
  <si>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</si>
  <si>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</si>
  <si>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</si>
  <si>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</si>
  <si>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</si>
  <si>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</si>
  <si>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</si>
  <si>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</si>
  <si>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</si>
  <si>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Commulative Distribution (Probability CPU is less)</t>
  </si>
  <si>
    <t>2.5</t>
  </si>
  <si>
    <t>7.5</t>
  </si>
  <si>
    <t>12.5</t>
  </si>
  <si>
    <t>0.0</t>
  </si>
  <si>
    <t>17.5</t>
  </si>
  <si>
    <t>21.5</t>
  </si>
  <si>
    <t>66.5</t>
  </si>
  <si>
    <t>Example for 3M EPH</t>
  </si>
  <si>
    <t>Probability Distribution for CPU to fall into bin ventered at each 5% step</t>
  </si>
  <si>
    <t>Growth Factor</t>
  </si>
  <si>
    <t>Hour of Day</t>
  </si>
  <si>
    <t>Current EPH</t>
  </si>
  <si>
    <t>Projected EPH</t>
  </si>
  <si>
    <t>Total</t>
  </si>
  <si>
    <t>Position of Closest EPH Value</t>
  </si>
  <si>
    <t>Closest Predicted EPH Value</t>
  </si>
  <si>
    <t>Failure Probability</t>
  </si>
  <si>
    <t>Offset:</t>
  </si>
  <si>
    <t>Probability of failure as function of CPU utilization</t>
  </si>
  <si>
    <t>CPU utilization %</t>
  </si>
  <si>
    <t>Single Event Failure Probability</t>
  </si>
  <si>
    <t>Every 1% step</t>
  </si>
  <si>
    <t>Expected Failures</t>
  </si>
  <si>
    <t>Expected Success</t>
  </si>
  <si>
    <t>Success Rate</t>
  </si>
  <si>
    <t>Events Success Ratio (from contract, used to calculate cost of failure)</t>
  </si>
  <si>
    <t>From</t>
  </si>
  <si>
    <t>To</t>
  </si>
  <si>
    <t>Revenue Share</t>
  </si>
  <si>
    <t>Current:</t>
  </si>
  <si>
    <t>Current</t>
  </si>
  <si>
    <t>Fine(M)</t>
  </si>
  <si>
    <t>Total Servers</t>
  </si>
  <si>
    <t>Validate</t>
  </si>
  <si>
    <t>Column1</t>
  </si>
  <si>
    <t>Number of Servers type A(old, sunfire)</t>
  </si>
  <si>
    <t>Number of Servers type B(new, m9000)</t>
  </si>
  <si>
    <t>26.5</t>
  </si>
  <si>
    <t>31.5</t>
  </si>
  <si>
    <t>36.5</t>
  </si>
  <si>
    <t>41.5</t>
  </si>
  <si>
    <t>46.5</t>
  </si>
  <si>
    <t>51.5</t>
  </si>
  <si>
    <t>56.5</t>
  </si>
  <si>
    <t>61.5</t>
  </si>
  <si>
    <t>71.5</t>
  </si>
  <si>
    <t>76.5</t>
  </si>
  <si>
    <t>81.5</t>
  </si>
  <si>
    <t>86.5</t>
  </si>
  <si>
    <t>91.5</t>
  </si>
  <si>
    <t>96.5</t>
  </si>
  <si>
    <t>101.5</t>
  </si>
  <si>
    <t>Expected Server Type A  availability</t>
  </si>
  <si>
    <t>Expected Server Type B  availability</t>
  </si>
  <si>
    <t>Expected Total Avialability</t>
  </si>
  <si>
    <t>Daily Events Per Server type A(old,sunfire, in M)</t>
  </si>
  <si>
    <t>Daily Events Per Server type B(new,M9000, in M)</t>
  </si>
  <si>
    <t>Expected Total Daily Events(M)</t>
  </si>
  <si>
    <t>Number of Failures per M events</t>
  </si>
  <si>
    <t>Rb4-lile(average of 15 servers,old)</t>
  </si>
  <si>
    <t>rb31,32(new, average of 2 servers)</t>
  </si>
  <si>
    <t>Peak Hour Eevents(19:00) Server B (m)</t>
  </si>
  <si>
    <t>Peak Hour Events (19:00) Server A (m)</t>
  </si>
  <si>
    <t>Average Peak Hour CPU Server A</t>
  </si>
  <si>
    <t>Average Peak Hour CPU Server B</t>
  </si>
  <si>
    <t>Expected Quatarly Events(M)</t>
  </si>
  <si>
    <t>Expected Amdocs Credit %</t>
  </si>
  <si>
    <t>Adjusted Quarterly Amdocs Total(M)</t>
  </si>
  <si>
    <t>Expected Amdocs Fine(M)</t>
  </si>
  <si>
    <t>Adjusted Amdocs Ratio</t>
  </si>
  <si>
    <t>Expected Total Quaterly Amdocs Revenues(M)</t>
  </si>
  <si>
    <t>Projected Q1</t>
  </si>
  <si>
    <t>Projected Q2</t>
  </si>
  <si>
    <t>Projected Q3</t>
  </si>
  <si>
    <t>Projected Q4</t>
  </si>
  <si>
    <t>Q1</t>
  </si>
  <si>
    <t>Q2</t>
  </si>
  <si>
    <t>Q3</t>
  </si>
  <si>
    <t>Q4</t>
  </si>
  <si>
    <t>Eepected Quartely Growth in Number of Events</t>
  </si>
  <si>
    <t>Expected Quartely Growth in Amdocs Revenues</t>
  </si>
  <si>
    <t>n/a</t>
  </si>
  <si>
    <t>Event Distribution Among Server types</t>
  </si>
  <si>
    <t>Server Type A</t>
  </si>
  <si>
    <t>Server Type B</t>
  </si>
  <si>
    <t>Annual</t>
  </si>
  <si>
    <t>Delta</t>
  </si>
  <si>
    <t>Cost(M)</t>
  </si>
</sst>
</file>

<file path=xl/styles.xml><?xml version="1.0" encoding="utf-8"?>
<styleSheet xmlns="http://schemas.openxmlformats.org/spreadsheetml/2006/main">
  <numFmts count="9">
    <numFmt numFmtId="164" formatCode="0.0"/>
    <numFmt numFmtId="165" formatCode="0.0%"/>
    <numFmt numFmtId="166" formatCode="&quot;$&quot;#,##0.00"/>
    <numFmt numFmtId="167" formatCode="&quot;$&quot;#,##0"/>
    <numFmt numFmtId="168" formatCode="0.0000%"/>
    <numFmt numFmtId="169" formatCode="0.00000%"/>
    <numFmt numFmtId="170" formatCode="0.000%"/>
    <numFmt numFmtId="171" formatCode="0.0000"/>
    <numFmt numFmtId="172" formatCode="0.000"/>
  </numFmts>
  <fonts count="1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3" tint="0.59996337778862885"/>
        <bgColor theme="3" tint="0.59996337778862885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2" fontId="5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7" fillId="3" borderId="0" xfId="0" applyFont="1" applyFill="1"/>
    <xf numFmtId="0" fontId="8" fillId="0" borderId="0" xfId="0" applyFont="1" applyAlignment="1">
      <alignment horizontal="center"/>
    </xf>
    <xf numFmtId="0" fontId="4" fillId="0" borderId="0" xfId="0" applyFont="1"/>
    <xf numFmtId="0" fontId="0" fillId="0" borderId="0" xfId="0" applyNumberFormat="1" applyAlignment="1">
      <alignment horizontal="center"/>
    </xf>
    <xf numFmtId="2" fontId="4" fillId="2" borderId="1" xfId="0" applyNumberFormat="1" applyFont="1" applyFill="1" applyBorder="1" applyAlignment="1">
      <alignment horizontal="center" wrapText="1"/>
    </xf>
    <xf numFmtId="2" fontId="0" fillId="0" borderId="0" xfId="0" applyNumberFormat="1"/>
    <xf numFmtId="2" fontId="3" fillId="3" borderId="0" xfId="0" applyNumberFormat="1" applyFont="1" applyFill="1" applyAlignment="1">
      <alignment horizontal="right"/>
    </xf>
    <xf numFmtId="2" fontId="3" fillId="0" borderId="0" xfId="0" applyNumberFormat="1" applyFont="1" applyAlignment="1">
      <alignment horizontal="right"/>
    </xf>
    <xf numFmtId="2" fontId="4" fillId="4" borderId="0" xfId="0" applyNumberFormat="1" applyFont="1" applyFill="1" applyAlignment="1">
      <alignment horizontal="right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0" fillId="6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4" fillId="0" borderId="5" xfId="0" applyFont="1" applyBorder="1"/>
    <xf numFmtId="1" fontId="0" fillId="0" borderId="5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0" fontId="4" fillId="0" borderId="5" xfId="0" applyFont="1" applyBorder="1" applyAlignment="1">
      <alignment wrapText="1"/>
    </xf>
    <xf numFmtId="10" fontId="0" fillId="0" borderId="0" xfId="0" applyNumberFormat="1" applyBorder="1" applyAlignment="1">
      <alignment horizontal="center"/>
    </xf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0" fontId="0" fillId="0" borderId="5" xfId="0" applyNumberForma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0" fontId="0" fillId="0" borderId="0" xfId="0" applyAlignment="1">
      <alignment horizontal="center" wrapText="1"/>
    </xf>
    <xf numFmtId="167" fontId="2" fillId="0" borderId="0" xfId="0" applyNumberFormat="1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0" xfId="0" applyNumberFormat="1" applyBorder="1" applyAlignment="1">
      <alignment horizontal="center"/>
    </xf>
    <xf numFmtId="169" fontId="4" fillId="0" borderId="0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70" fontId="0" fillId="0" borderId="0" xfId="0" applyNumberFormat="1" applyBorder="1" applyAlignment="1">
      <alignment horizontal="center" wrapText="1"/>
    </xf>
    <xf numFmtId="9" fontId="2" fillId="0" borderId="0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0" fontId="4" fillId="0" borderId="0" xfId="0" applyNumberFormat="1" applyFont="1" applyBorder="1" applyAlignment="1">
      <alignment horizontal="center"/>
    </xf>
    <xf numFmtId="169" fontId="4" fillId="0" borderId="0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2" fontId="10" fillId="0" borderId="0" xfId="0" applyNumberFormat="1" applyFont="1" applyAlignment="1">
      <alignment horizontal="center"/>
    </xf>
    <xf numFmtId="10" fontId="11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9" fontId="14" fillId="0" borderId="0" xfId="0" applyNumberFormat="1" applyFont="1" applyAlignment="1">
      <alignment horizontal="center"/>
    </xf>
    <xf numFmtId="172" fontId="0" fillId="0" borderId="0" xfId="0" applyNumberFormat="1" applyAlignment="1">
      <alignment horizontal="center"/>
    </xf>
    <xf numFmtId="171" fontId="0" fillId="6" borderId="5" xfId="0" applyNumberFormat="1" applyFont="1" applyFill="1" applyBorder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10" fontId="13" fillId="0" borderId="0" xfId="0" applyNumberFormat="1" applyFont="1" applyAlignment="1">
      <alignment horizontal="center"/>
    </xf>
    <xf numFmtId="0" fontId="13" fillId="0" borderId="0" xfId="0" applyFont="1"/>
    <xf numFmtId="0" fontId="0" fillId="0" borderId="0" xfId="0" applyBorder="1"/>
    <xf numFmtId="1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/>
    </xf>
    <xf numFmtId="1" fontId="1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10" fontId="4" fillId="0" borderId="0" xfId="0" applyNumberFormat="1" applyFont="1"/>
    <xf numFmtId="0" fontId="4" fillId="0" borderId="0" xfId="0" applyFont="1" applyAlignment="1">
      <alignment horizontal="center"/>
    </xf>
    <xf numFmtId="166" fontId="15" fillId="0" borderId="0" xfId="0" applyNumberFormat="1" applyFont="1" applyAlignment="1">
      <alignment horizontal="center"/>
    </xf>
    <xf numFmtId="10" fontId="4" fillId="3" borderId="5" xfId="0" applyNumberFormat="1" applyFont="1" applyFill="1" applyBorder="1" applyAlignment="1">
      <alignment horizontal="center"/>
    </xf>
    <xf numFmtId="169" fontId="4" fillId="3" borderId="5" xfId="0" applyNumberFormat="1" applyFont="1" applyFill="1" applyBorder="1" applyAlignment="1">
      <alignment horizontal="center"/>
    </xf>
    <xf numFmtId="165" fontId="7" fillId="3" borderId="5" xfId="0" applyNumberFormat="1" applyFont="1" applyFill="1" applyBorder="1" applyAlignment="1">
      <alignment horizontal="center"/>
    </xf>
    <xf numFmtId="167" fontId="7" fillId="3" borderId="5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0" fontId="0" fillId="3" borderId="5" xfId="0" applyNumberFormat="1" applyFill="1" applyBorder="1" applyAlignment="1">
      <alignment horizontal="center"/>
    </xf>
    <xf numFmtId="1" fontId="14" fillId="3" borderId="5" xfId="0" applyNumberFormat="1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2" fontId="7" fillId="3" borderId="5" xfId="0" applyNumberFormat="1" applyFont="1" applyFill="1" applyBorder="1" applyAlignment="1">
      <alignment horizontal="center"/>
    </xf>
    <xf numFmtId="9" fontId="14" fillId="3" borderId="5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168" fontId="0" fillId="3" borderId="5" xfId="0" applyNumberFormat="1" applyFill="1" applyBorder="1" applyAlignment="1">
      <alignment horizontal="center"/>
    </xf>
    <xf numFmtId="168" fontId="6" fillId="3" borderId="5" xfId="0" applyNumberFormat="1" applyFont="1" applyFill="1" applyBorder="1" applyAlignment="1">
      <alignment horizontal="center"/>
    </xf>
    <xf numFmtId="10" fontId="13" fillId="3" borderId="5" xfId="0" applyNumberFormat="1" applyFont="1" applyFill="1" applyBorder="1" applyAlignment="1">
      <alignment horizontal="center"/>
    </xf>
    <xf numFmtId="167" fontId="0" fillId="3" borderId="5" xfId="0" applyNumberFormat="1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9" fontId="7" fillId="3" borderId="5" xfId="0" applyNumberFormat="1" applyFont="1" applyFill="1" applyBorder="1" applyAlignment="1">
      <alignment horizontal="center"/>
    </xf>
    <xf numFmtId="4" fontId="12" fillId="3" borderId="5" xfId="0" applyNumberFormat="1" applyFont="1" applyFill="1" applyBorder="1" applyAlignment="1">
      <alignment horizontal="center"/>
    </xf>
    <xf numFmtId="166" fontId="12" fillId="3" borderId="5" xfId="0" applyNumberFormat="1" applyFont="1" applyFill="1" applyBorder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/>
    <xf numFmtId="167" fontId="1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450"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numFmt numFmtId="1" formatCode="0"/>
      <alignment horizontal="center" vertical="bottom" textRotation="0" indent="0" relativeIndent="255" justifyLastLine="0" shrinkToFit="0" mergeCell="0" readingOrder="0"/>
    </dxf>
    <dxf>
      <numFmt numFmtId="1" formatCode="0"/>
      <alignment horizontal="center" vertical="bottom" textRotation="0" wrapText="0" indent="0" relativeIndent="255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0" formatCode="General"/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numFmt numFmtId="2" formatCode="0.00"/>
      <alignment horizontal="center" vertical="bottom" textRotation="0" indent="0" relativeIndent="255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relativeIndent="255" justifyLastLine="0" shrinkToFit="0" mergeCell="0" readingOrder="0"/>
      <border diagonalUp="0" diagonalDown="0" outline="0">
        <left/>
        <right style="thin">
          <color theme="0"/>
        </right>
        <top/>
        <bottom style="thin">
          <color theme="0"/>
        </bottom>
      </border>
    </dxf>
    <dxf>
      <numFmt numFmtId="1" formatCode="0"/>
      <alignment horizontal="center" vertical="bottom" textRotation="0" indent="0" relativeIndent="255" justifyLastLine="0" shrinkToFit="0" mergeCell="0" readingOrder="0"/>
    </dxf>
    <dxf>
      <numFmt numFmtId="1" formatCode="0"/>
      <alignment horizontal="center" vertical="bottom" textRotation="0" wrapText="0" indent="0" relativeIndent="255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1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theme="6" tint="-0.499984740745262"/>
        <name val="Calibri"/>
        <scheme val="minor"/>
      </font>
      <numFmt numFmtId="2" formatCode="0.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relativeIndent="0" justifyLastLine="0" shrinkToFit="0" mergeCell="0" readingOrder="0"/>
    </dxf>
    <dxf>
      <numFmt numFmtId="172" formatCode="0.0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0" formatCode="General"/>
      <alignment horizontal="center" vertical="center" textRotation="0" wrapText="0" indent="0" relativeIndent="255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alignment horizontal="center" vertical="center" textRotation="0" wrapText="0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" formatCode="0"/>
      <alignment horizontal="center" vertical="center" textRotation="0" wrapText="0" indent="0" relativeIndent="0" justifyLastLine="0" shrinkToFit="0" mergeCell="0" readingOrder="0"/>
    </dxf>
    <dxf>
      <alignment horizontal="center" vertical="center" textRotation="0" wrapText="1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FailureForCPU!$B$14</c:f>
              <c:strCache>
                <c:ptCount val="1"/>
                <c:pt idx="0">
                  <c:v>Failure Probability</c:v>
                </c:pt>
              </c:strCache>
            </c:strRef>
          </c:tx>
          <c:dLbls>
            <c:dLbl>
              <c:idx val="100"/>
              <c:layout/>
              <c:dLblPos val="r"/>
              <c:showVal val="1"/>
              <c:showCatName val="1"/>
            </c:dLbl>
            <c:delete val="1"/>
          </c:dLbls>
          <c:xVal>
            <c:numRef>
              <c:f>FailureForCPU!$A$15:$A$115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xVal>
          <c:yVal>
            <c:numRef>
              <c:f>FailureForCPU!$B$15:$B$115</c:f>
              <c:numCache>
                <c:formatCode>0.000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1.6666666666666668E-3</c:v>
                </c:pt>
                <c:pt idx="62">
                  <c:v>3.3333333333333335E-3</c:v>
                </c:pt>
                <c:pt idx="63">
                  <c:v>5.000000000000001E-3</c:v>
                </c:pt>
                <c:pt idx="64">
                  <c:v>6.6666666666666671E-3</c:v>
                </c:pt>
                <c:pt idx="65">
                  <c:v>8.3333333333333332E-3</c:v>
                </c:pt>
                <c:pt idx="66">
                  <c:v>1.0000000000000002E-2</c:v>
                </c:pt>
                <c:pt idx="67">
                  <c:v>1.1666666666666667E-2</c:v>
                </c:pt>
                <c:pt idx="68">
                  <c:v>1.3333333333333334E-2</c:v>
                </c:pt>
                <c:pt idx="69">
                  <c:v>1.5000000000000001E-2</c:v>
                </c:pt>
                <c:pt idx="70">
                  <c:v>1.6666666666666666E-2</c:v>
                </c:pt>
                <c:pt idx="71">
                  <c:v>1.8333333333333333E-2</c:v>
                </c:pt>
                <c:pt idx="72">
                  <c:v>2.0000000000000004E-2</c:v>
                </c:pt>
                <c:pt idx="73">
                  <c:v>2.1666666666666667E-2</c:v>
                </c:pt>
                <c:pt idx="74">
                  <c:v>2.3333333333333334E-2</c:v>
                </c:pt>
                <c:pt idx="75">
                  <c:v>2.5000000000000001E-2</c:v>
                </c:pt>
                <c:pt idx="76">
                  <c:v>2.6666666666666668E-2</c:v>
                </c:pt>
                <c:pt idx="77">
                  <c:v>2.8333333333333335E-2</c:v>
                </c:pt>
                <c:pt idx="78">
                  <c:v>3.0000000000000002E-2</c:v>
                </c:pt>
                <c:pt idx="79">
                  <c:v>3.1666666666666669E-2</c:v>
                </c:pt>
                <c:pt idx="80">
                  <c:v>3.3333333333333333E-2</c:v>
                </c:pt>
                <c:pt idx="81">
                  <c:v>3.5000000000000003E-2</c:v>
                </c:pt>
                <c:pt idx="82">
                  <c:v>3.6666666666666667E-2</c:v>
                </c:pt>
                <c:pt idx="83">
                  <c:v>3.8333333333333337E-2</c:v>
                </c:pt>
                <c:pt idx="84">
                  <c:v>4.0000000000000008E-2</c:v>
                </c:pt>
                <c:pt idx="85">
                  <c:v>4.1666666666666664E-2</c:v>
                </c:pt>
                <c:pt idx="86">
                  <c:v>4.3333333333333335E-2</c:v>
                </c:pt>
                <c:pt idx="87">
                  <c:v>4.5000000000000005E-2</c:v>
                </c:pt>
                <c:pt idx="88">
                  <c:v>4.6666666666666669E-2</c:v>
                </c:pt>
                <c:pt idx="89">
                  <c:v>4.8333333333333339E-2</c:v>
                </c:pt>
                <c:pt idx="90">
                  <c:v>0.05</c:v>
                </c:pt>
                <c:pt idx="91">
                  <c:v>6.0000000000000005E-2</c:v>
                </c:pt>
                <c:pt idx="92">
                  <c:v>7.0000000000000007E-2</c:v>
                </c:pt>
                <c:pt idx="93">
                  <c:v>8.0000000000000016E-2</c:v>
                </c:pt>
                <c:pt idx="94">
                  <c:v>0.09</c:v>
                </c:pt>
                <c:pt idx="95">
                  <c:v>0.1</c:v>
                </c:pt>
                <c:pt idx="96">
                  <c:v>0.13333333333333333</c:v>
                </c:pt>
                <c:pt idx="97">
                  <c:v>0.16666666666666669</c:v>
                </c:pt>
                <c:pt idx="98">
                  <c:v>0.2</c:v>
                </c:pt>
                <c:pt idx="99">
                  <c:v>0.35</c:v>
                </c:pt>
                <c:pt idx="100">
                  <c:v>0.5</c:v>
                </c:pt>
              </c:numCache>
            </c:numRef>
          </c:yVal>
          <c:smooth val="1"/>
        </c:ser>
        <c:axId val="170476672"/>
        <c:axId val="170478592"/>
      </c:scatterChart>
      <c:valAx>
        <c:axId val="170476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Utilization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70478592"/>
        <c:crosses val="autoZero"/>
        <c:crossBetween val="midCat"/>
      </c:valAx>
      <c:valAx>
        <c:axId val="17047859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Failure Probability</a:t>
                </a:r>
              </a:p>
            </c:rich>
          </c:tx>
          <c:layout/>
        </c:title>
        <c:numFmt formatCode="0.000" sourceLinked="1"/>
        <c:majorTickMark val="none"/>
        <c:tickLblPos val="nextTo"/>
        <c:crossAx val="1704766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smoothMarker"/>
        <c:ser>
          <c:idx val="0"/>
          <c:order val="0"/>
          <c:tx>
            <c:strRef>
              <c:f>ServerTypeA!$B$2</c:f>
              <c:strCache>
                <c:ptCount val="1"/>
                <c:pt idx="0">
                  <c:v>Events per hr (M)</c:v>
                </c:pt>
              </c:strCache>
            </c:strRef>
          </c:tx>
          <c:xVal>
            <c:numRef>
              <c:f>ServerTypeA!$A$3:$A$26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ServerTypeA!$B$3:$B$26</c:f>
              <c:numCache>
                <c:formatCode>0.00</c:formatCode>
                <c:ptCount val="24"/>
                <c:pt idx="0">
                  <c:v>0.54705915111111103</c:v>
                </c:pt>
                <c:pt idx="1">
                  <c:v>0.30210809111111114</c:v>
                </c:pt>
                <c:pt idx="2">
                  <c:v>0.19123856888888888</c:v>
                </c:pt>
                <c:pt idx="3">
                  <c:v>0.17781025555555557</c:v>
                </c:pt>
                <c:pt idx="4">
                  <c:v>0.35924234000000005</c:v>
                </c:pt>
                <c:pt idx="5">
                  <c:v>0.95434750888888886</c:v>
                </c:pt>
                <c:pt idx="6">
                  <c:v>1.3952391016858241</c:v>
                </c:pt>
                <c:pt idx="7">
                  <c:v>1.6468302396934869</c:v>
                </c:pt>
                <c:pt idx="8">
                  <c:v>1.8977111415325671</c:v>
                </c:pt>
                <c:pt idx="9">
                  <c:v>2.1127480528735636</c:v>
                </c:pt>
                <c:pt idx="10">
                  <c:v>2.2471277933333327</c:v>
                </c:pt>
                <c:pt idx="11">
                  <c:v>2.3458744600000001</c:v>
                </c:pt>
                <c:pt idx="12">
                  <c:v>2.6348075555555552</c:v>
                </c:pt>
                <c:pt idx="13">
                  <c:v>2.5970738657471264</c:v>
                </c:pt>
                <c:pt idx="14">
                  <c:v>2.6367986977777775</c:v>
                </c:pt>
                <c:pt idx="15">
                  <c:v>2.6291948468199231</c:v>
                </c:pt>
                <c:pt idx="16">
                  <c:v>2.7095263688888891</c:v>
                </c:pt>
                <c:pt idx="17">
                  <c:v>2.6672917514942527</c:v>
                </c:pt>
                <c:pt idx="18">
                  <c:v>3.6254902505747126</c:v>
                </c:pt>
                <c:pt idx="19">
                  <c:v>4.399450104444445</c:v>
                </c:pt>
                <c:pt idx="20">
                  <c:v>4.2813726177777767</c:v>
                </c:pt>
                <c:pt idx="21">
                  <c:v>3.3526749333333328</c:v>
                </c:pt>
                <c:pt idx="22">
                  <c:v>2.0333673111111108</c:v>
                </c:pt>
                <c:pt idx="23">
                  <c:v>1.0004340733333335</c:v>
                </c:pt>
              </c:numCache>
            </c:numRef>
          </c:yVal>
          <c:smooth val="1"/>
        </c:ser>
        <c:axId val="171653760"/>
        <c:axId val="171676416"/>
      </c:scatterChart>
      <c:valAx>
        <c:axId val="171653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  <a:r>
                  <a:rPr lang="en-US" baseline="0"/>
                  <a:t> of Day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818525809273843"/>
              <c:y val="0.86479148439778475"/>
            </c:manualLayout>
          </c:layout>
        </c:title>
        <c:numFmt formatCode="General" sourceLinked="1"/>
        <c:majorTickMark val="none"/>
        <c:tickLblPos val="nextTo"/>
        <c:crossAx val="171676416"/>
        <c:crosses val="autoZero"/>
        <c:crossBetween val="midCat"/>
      </c:valAx>
      <c:valAx>
        <c:axId val="17167641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Hour(M)</a:t>
                </a:r>
              </a:p>
            </c:rich>
          </c:tx>
        </c:title>
        <c:numFmt formatCode="0.00" sourceLinked="1"/>
        <c:majorTickMark val="none"/>
        <c:tickLblPos val="nextTo"/>
        <c:crossAx val="17165376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ServerTypeA!$D$2</c:f>
              <c:strCache>
                <c:ptCount val="1"/>
                <c:pt idx="0">
                  <c:v>Average of log-cpu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forward val="4"/>
            <c:dispRSqr val="1"/>
            <c:dispEq val="1"/>
            <c:trendlineLbl>
              <c:layout>
                <c:manualLayout>
                  <c:x val="0.46186264216972911"/>
                  <c:y val="-8.3115214046520031E-2"/>
                </c:manualLayout>
              </c:layout>
              <c:numFmt formatCode="General" sourceLinked="0"/>
            </c:trendlineLbl>
          </c:trendline>
          <c:xVal>
            <c:numRef>
              <c:f>ServerTypeA!$B$3:$B$26</c:f>
              <c:numCache>
                <c:formatCode>0.00</c:formatCode>
                <c:ptCount val="24"/>
                <c:pt idx="0">
                  <c:v>0.54705915111111103</c:v>
                </c:pt>
                <c:pt idx="1">
                  <c:v>0.30210809111111114</c:v>
                </c:pt>
                <c:pt idx="2">
                  <c:v>0.19123856888888888</c:v>
                </c:pt>
                <c:pt idx="3">
                  <c:v>0.17781025555555557</c:v>
                </c:pt>
                <c:pt idx="4">
                  <c:v>0.35924234000000005</c:v>
                </c:pt>
                <c:pt idx="5">
                  <c:v>0.95434750888888886</c:v>
                </c:pt>
                <c:pt idx="6">
                  <c:v>1.3952391016858241</c:v>
                </c:pt>
                <c:pt idx="7">
                  <c:v>1.6468302396934869</c:v>
                </c:pt>
                <c:pt idx="8">
                  <c:v>1.8977111415325671</c:v>
                </c:pt>
                <c:pt idx="9">
                  <c:v>2.1127480528735636</c:v>
                </c:pt>
                <c:pt idx="10">
                  <c:v>2.2471277933333327</c:v>
                </c:pt>
                <c:pt idx="11">
                  <c:v>2.3458744600000001</c:v>
                </c:pt>
                <c:pt idx="12">
                  <c:v>2.6348075555555552</c:v>
                </c:pt>
                <c:pt idx="13">
                  <c:v>2.5970738657471264</c:v>
                </c:pt>
                <c:pt idx="14">
                  <c:v>2.6367986977777775</c:v>
                </c:pt>
                <c:pt idx="15">
                  <c:v>2.6291948468199231</c:v>
                </c:pt>
                <c:pt idx="16">
                  <c:v>2.7095263688888891</c:v>
                </c:pt>
                <c:pt idx="17">
                  <c:v>2.6672917514942527</c:v>
                </c:pt>
                <c:pt idx="18">
                  <c:v>3.6254902505747126</c:v>
                </c:pt>
                <c:pt idx="19">
                  <c:v>4.399450104444445</c:v>
                </c:pt>
                <c:pt idx="20">
                  <c:v>4.2813726177777767</c:v>
                </c:pt>
                <c:pt idx="21">
                  <c:v>3.3526749333333328</c:v>
                </c:pt>
                <c:pt idx="22">
                  <c:v>2.0333673111111108</c:v>
                </c:pt>
                <c:pt idx="23">
                  <c:v>1.0004340733333335</c:v>
                </c:pt>
              </c:numCache>
            </c:numRef>
          </c:xVal>
          <c:yVal>
            <c:numRef>
              <c:f>ServerTypeA!$D$3:$D$26</c:f>
              <c:numCache>
                <c:formatCode>0.00</c:formatCode>
                <c:ptCount val="24"/>
                <c:pt idx="0">
                  <c:v>2.7099668858555774</c:v>
                </c:pt>
                <c:pt idx="1">
                  <c:v>2.5235961985898725</c:v>
                </c:pt>
                <c:pt idx="2">
                  <c:v>2.4103539051329452</c:v>
                </c:pt>
                <c:pt idx="3">
                  <c:v>2.3554325284855131</c:v>
                </c:pt>
                <c:pt idx="4">
                  <c:v>2.5455343176319518</c:v>
                </c:pt>
                <c:pt idx="5">
                  <c:v>2.9667048094852944</c:v>
                </c:pt>
                <c:pt idx="6">
                  <c:v>3.2003399019717085</c:v>
                </c:pt>
                <c:pt idx="7">
                  <c:v>3.3054725489741754</c:v>
                </c:pt>
                <c:pt idx="8">
                  <c:v>3.410283972316972</c:v>
                </c:pt>
                <c:pt idx="9">
                  <c:v>3.4873616202523894</c:v>
                </c:pt>
                <c:pt idx="10">
                  <c:v>3.54089835431619</c:v>
                </c:pt>
                <c:pt idx="11">
                  <c:v>3.5532206829285915</c:v>
                </c:pt>
                <c:pt idx="12">
                  <c:v>3.6276884433559631</c:v>
                </c:pt>
                <c:pt idx="13">
                  <c:v>3.6105243224187764</c:v>
                </c:pt>
                <c:pt idx="14">
                  <c:v>3.6332503197384241</c:v>
                </c:pt>
                <c:pt idx="15">
                  <c:v>3.6228716333627742</c:v>
                </c:pt>
                <c:pt idx="16">
                  <c:v>3.6419961621972994</c:v>
                </c:pt>
                <c:pt idx="17">
                  <c:v>3.6540082379550967</c:v>
                </c:pt>
                <c:pt idx="18">
                  <c:v>3.9019606981727253</c:v>
                </c:pt>
                <c:pt idx="19">
                  <c:v>4.0437752475805357</c:v>
                </c:pt>
                <c:pt idx="20">
                  <c:v>4.0001882808346219</c:v>
                </c:pt>
                <c:pt idx="21">
                  <c:v>3.7809956101622846</c:v>
                </c:pt>
                <c:pt idx="22">
                  <c:v>3.4472118789166291</c:v>
                </c:pt>
                <c:pt idx="23">
                  <c:v>3.0199697376087351</c:v>
                </c:pt>
              </c:numCache>
            </c:numRef>
          </c:yVal>
        </c:ser>
        <c:axId val="171714048"/>
        <c:axId val="171715968"/>
      </c:scatterChart>
      <c:valAx>
        <c:axId val="17171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Hour(M)</a:t>
                </a:r>
              </a:p>
            </c:rich>
          </c:tx>
        </c:title>
        <c:numFmt formatCode="0.00" sourceLinked="1"/>
        <c:majorTickMark val="none"/>
        <c:tickLblPos val="nextTo"/>
        <c:crossAx val="171715968"/>
        <c:crosses val="autoZero"/>
        <c:crossBetween val="midCat"/>
      </c:valAx>
      <c:valAx>
        <c:axId val="17171596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Log-CPU utilization</a:t>
                </a:r>
              </a:p>
            </c:rich>
          </c:tx>
        </c:title>
        <c:numFmt formatCode="0.00" sourceLinked="1"/>
        <c:majorTickMark val="none"/>
        <c:tickLblPos val="nextTo"/>
        <c:crossAx val="171714048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ServerTypeA!$E$2</c:f>
              <c:strCache>
                <c:ptCount val="1"/>
                <c:pt idx="0">
                  <c:v>StdDev of log-cpu</c:v>
                </c:pt>
              </c:strCache>
            </c:strRef>
          </c:tx>
          <c:spPr>
            <a:ln w="28575">
              <a:noFill/>
            </a:ln>
          </c:spPr>
          <c:trendline>
            <c:trendlineType val="log"/>
            <c:forward val="4"/>
            <c:dispRSqr val="1"/>
            <c:dispEq val="1"/>
            <c:trendlineLbl>
              <c:layout>
                <c:manualLayout>
                  <c:x val="0.42300021872266014"/>
                  <c:y val="-0.42688830562846386"/>
                </c:manualLayout>
              </c:layout>
              <c:numFmt formatCode="General" sourceLinked="0"/>
            </c:trendlineLbl>
          </c:trendline>
          <c:xVal>
            <c:numRef>
              <c:f>ServerTypeA!$B$3:$B$26</c:f>
              <c:numCache>
                <c:formatCode>0.00</c:formatCode>
                <c:ptCount val="24"/>
                <c:pt idx="0">
                  <c:v>0.54705915111111103</c:v>
                </c:pt>
                <c:pt idx="1">
                  <c:v>0.30210809111111114</c:v>
                </c:pt>
                <c:pt idx="2">
                  <c:v>0.19123856888888888</c:v>
                </c:pt>
                <c:pt idx="3">
                  <c:v>0.17781025555555557</c:v>
                </c:pt>
                <c:pt idx="4">
                  <c:v>0.35924234000000005</c:v>
                </c:pt>
                <c:pt idx="5">
                  <c:v>0.95434750888888886</c:v>
                </c:pt>
                <c:pt idx="6">
                  <c:v>1.3952391016858241</c:v>
                </c:pt>
                <c:pt idx="7">
                  <c:v>1.6468302396934869</c:v>
                </c:pt>
                <c:pt idx="8">
                  <c:v>1.8977111415325671</c:v>
                </c:pt>
                <c:pt idx="9">
                  <c:v>2.1127480528735636</c:v>
                </c:pt>
                <c:pt idx="10">
                  <c:v>2.2471277933333327</c:v>
                </c:pt>
                <c:pt idx="11">
                  <c:v>2.3458744600000001</c:v>
                </c:pt>
                <c:pt idx="12">
                  <c:v>2.6348075555555552</c:v>
                </c:pt>
                <c:pt idx="13">
                  <c:v>2.5970738657471264</c:v>
                </c:pt>
                <c:pt idx="14">
                  <c:v>2.6367986977777775</c:v>
                </c:pt>
                <c:pt idx="15">
                  <c:v>2.6291948468199231</c:v>
                </c:pt>
                <c:pt idx="16">
                  <c:v>2.7095263688888891</c:v>
                </c:pt>
                <c:pt idx="17">
                  <c:v>2.6672917514942527</c:v>
                </c:pt>
                <c:pt idx="18">
                  <c:v>3.6254902505747126</c:v>
                </c:pt>
                <c:pt idx="19">
                  <c:v>4.399450104444445</c:v>
                </c:pt>
                <c:pt idx="20">
                  <c:v>4.2813726177777767</c:v>
                </c:pt>
                <c:pt idx="21">
                  <c:v>3.3526749333333328</c:v>
                </c:pt>
                <c:pt idx="22">
                  <c:v>2.0333673111111108</c:v>
                </c:pt>
                <c:pt idx="23">
                  <c:v>1.0004340733333335</c:v>
                </c:pt>
              </c:numCache>
            </c:numRef>
          </c:xVal>
          <c:yVal>
            <c:numRef>
              <c:f>ServerTypeA!$E$3:$E$26</c:f>
              <c:numCache>
                <c:formatCode>0.00</c:formatCode>
                <c:ptCount val="24"/>
                <c:pt idx="0">
                  <c:v>0.31307036950422445</c:v>
                </c:pt>
                <c:pt idx="1">
                  <c:v>0.36368963370782842</c:v>
                </c:pt>
                <c:pt idx="2">
                  <c:v>0.39784694575620771</c:v>
                </c:pt>
                <c:pt idx="3">
                  <c:v>0.40235056808525971</c:v>
                </c:pt>
                <c:pt idx="4">
                  <c:v>0.36443337757271332</c:v>
                </c:pt>
                <c:pt idx="5">
                  <c:v>0.27281513621882036</c:v>
                </c:pt>
                <c:pt idx="6">
                  <c:v>0.21703425578920937</c:v>
                </c:pt>
                <c:pt idx="7">
                  <c:v>0.21636280362355084</c:v>
                </c:pt>
                <c:pt idx="8">
                  <c:v>0.21035771093276692</c:v>
                </c:pt>
                <c:pt idx="9">
                  <c:v>0.19342711707443824</c:v>
                </c:pt>
                <c:pt idx="10">
                  <c:v>0.18034252326503716</c:v>
                </c:pt>
                <c:pt idx="11">
                  <c:v>0.17363274427029793</c:v>
                </c:pt>
                <c:pt idx="12">
                  <c:v>0.15289246454324834</c:v>
                </c:pt>
                <c:pt idx="13">
                  <c:v>0.15004410960928849</c:v>
                </c:pt>
                <c:pt idx="14">
                  <c:v>0.14402972793361166</c:v>
                </c:pt>
                <c:pt idx="15">
                  <c:v>0.14434680768244537</c:v>
                </c:pt>
                <c:pt idx="16">
                  <c:v>0.1414476054513947</c:v>
                </c:pt>
                <c:pt idx="17">
                  <c:v>0.14762186971532201</c:v>
                </c:pt>
                <c:pt idx="18">
                  <c:v>0.15143809019961327</c:v>
                </c:pt>
                <c:pt idx="19">
                  <c:v>0.11346381913674843</c:v>
                </c:pt>
                <c:pt idx="20">
                  <c:v>0.12481640885781611</c:v>
                </c:pt>
                <c:pt idx="21">
                  <c:v>0.16737413466411583</c:v>
                </c:pt>
                <c:pt idx="22">
                  <c:v>0.23132652735301693</c:v>
                </c:pt>
                <c:pt idx="23">
                  <c:v>0.28172776675142158</c:v>
                </c:pt>
              </c:numCache>
            </c:numRef>
          </c:yVal>
        </c:ser>
        <c:axId val="171573632"/>
        <c:axId val="171575552"/>
      </c:scatterChart>
      <c:valAx>
        <c:axId val="171573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</a:t>
                </a:r>
                <a:r>
                  <a:rPr lang="en-US" baseline="0"/>
                  <a:t> Hour(M)</a:t>
                </a:r>
                <a:endParaRPr lang="en-US"/>
              </a:p>
            </c:rich>
          </c:tx>
        </c:title>
        <c:numFmt formatCode="0.00" sourceLinked="1"/>
        <c:majorTickMark val="none"/>
        <c:tickLblPos val="nextTo"/>
        <c:crossAx val="171575552"/>
        <c:crosses val="autoZero"/>
        <c:crossBetween val="midCat"/>
      </c:valAx>
      <c:valAx>
        <c:axId val="1715755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StdDev of Log-CPU</a:t>
                </a:r>
              </a:p>
            </c:rich>
          </c:tx>
        </c:title>
        <c:numFmt formatCode="0.00" sourceLinked="1"/>
        <c:majorTickMark val="none"/>
        <c:tickLblPos val="nextTo"/>
        <c:crossAx val="1715736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v>3M EPH</c:v>
          </c:tx>
          <c:cat>
            <c:strRef>
              <c:f>ServerTypeA!$B$105:$V$105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ServerTypeA!$B$135:$V$135</c:f>
              <c:numCache>
                <c:formatCode>0.00</c:formatCode>
                <c:ptCount val="21"/>
                <c:pt idx="0">
                  <c:v>0</c:v>
                </c:pt>
                <c:pt idx="1">
                  <c:v>1.3310502241183106E-28</c:v>
                </c:pt>
                <c:pt idx="2">
                  <c:v>5.6094160755805325E-15</c:v>
                </c:pt>
                <c:pt idx="3">
                  <c:v>1.4635576379422728E-8</c:v>
                </c:pt>
                <c:pt idx="4">
                  <c:v>1.2601368735245247E-5</c:v>
                </c:pt>
                <c:pt idx="5">
                  <c:v>2.1142340211588451E-3</c:v>
                </c:pt>
                <c:pt idx="6">
                  <c:v>3.8852045653194223E-2</c:v>
                </c:pt>
                <c:pt idx="7">
                  <c:v>0.17512659866795999</c:v>
                </c:pt>
                <c:pt idx="8">
                  <c:v>0.30221478167218629</c:v>
                </c:pt>
                <c:pt idx="9">
                  <c:v>0.26474914753610945</c:v>
                </c:pt>
                <c:pt idx="10">
                  <c:v>0.14255501796800218</c:v>
                </c:pt>
                <c:pt idx="11">
                  <c:v>5.3897965468083564E-2</c:v>
                </c:pt>
                <c:pt idx="12">
                  <c:v>1.5721788910874723E-2</c:v>
                </c:pt>
                <c:pt idx="13">
                  <c:v>3.785795559059224E-3</c:v>
                </c:pt>
                <c:pt idx="14">
                  <c:v>7.9064401724271427E-4</c:v>
                </c:pt>
                <c:pt idx="15">
                  <c:v>1.4854298348543349E-4</c:v>
                </c:pt>
                <c:pt idx="16">
                  <c:v>2.5804078723767887E-5</c:v>
                </c:pt>
                <c:pt idx="17">
                  <c:v>4.2319734286921928E-6</c:v>
                </c:pt>
                <c:pt idx="18">
                  <c:v>6.6583464708447337E-7</c:v>
                </c:pt>
                <c:pt idx="19">
                  <c:v>1.0175225828579215E-7</c:v>
                </c:pt>
                <c:pt idx="20">
                  <c:v>1.7899268289767178E-8</c:v>
                </c:pt>
              </c:numCache>
            </c:numRef>
          </c:val>
        </c:ser>
        <c:axId val="171620224"/>
        <c:axId val="171622400"/>
      </c:barChart>
      <c:catAx>
        <c:axId val="171620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CPU%</a:t>
                </a:r>
              </a:p>
            </c:rich>
          </c:tx>
          <c:layout/>
        </c:title>
        <c:majorTickMark val="none"/>
        <c:tickLblPos val="nextTo"/>
        <c:crossAx val="171622400"/>
        <c:crosses val="autoZero"/>
        <c:auto val="1"/>
        <c:lblAlgn val="ctr"/>
        <c:lblOffset val="100"/>
      </c:catAx>
      <c:valAx>
        <c:axId val="1716224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/>
        </c:title>
        <c:numFmt formatCode="0.00" sourceLinked="1"/>
        <c:tickLblPos val="nextTo"/>
        <c:crossAx val="171620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3M EPH</c:v>
          </c:tx>
          <c:cat>
            <c:strRef>
              <c:f>ServerTypeA!$F$41:$AA$41</c:f>
              <c:strCache>
                <c:ptCount val="22"/>
                <c:pt idx="0">
                  <c:v>0.0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21.5</c:v>
                </c:pt>
                <c:pt idx="6">
                  <c:v>26.5</c:v>
                </c:pt>
                <c:pt idx="7">
                  <c:v>31.5</c:v>
                </c:pt>
                <c:pt idx="8">
                  <c:v>36.5</c:v>
                </c:pt>
                <c:pt idx="9">
                  <c:v>41.5</c:v>
                </c:pt>
                <c:pt idx="10">
                  <c:v>46.5</c:v>
                </c:pt>
                <c:pt idx="11">
                  <c:v>51.5</c:v>
                </c:pt>
                <c:pt idx="12">
                  <c:v>56.5</c:v>
                </c:pt>
                <c:pt idx="13">
                  <c:v>61.5</c:v>
                </c:pt>
                <c:pt idx="14">
                  <c:v>66.5</c:v>
                </c:pt>
                <c:pt idx="15">
                  <c:v>71.5</c:v>
                </c:pt>
                <c:pt idx="16">
                  <c:v>76.5</c:v>
                </c:pt>
                <c:pt idx="17">
                  <c:v>81.5</c:v>
                </c:pt>
                <c:pt idx="18">
                  <c:v>86.5</c:v>
                </c:pt>
                <c:pt idx="19">
                  <c:v>91.5</c:v>
                </c:pt>
                <c:pt idx="20">
                  <c:v>96.5</c:v>
                </c:pt>
                <c:pt idx="21">
                  <c:v>101.5</c:v>
                </c:pt>
              </c:strCache>
            </c:strRef>
          </c:cat>
          <c:val>
            <c:numRef>
              <c:f>ServerTypeA!$F$71:$AA$71</c:f>
              <c:numCache>
                <c:formatCode>0.00</c:formatCode>
                <c:ptCount val="22"/>
                <c:pt idx="0">
                  <c:v>0</c:v>
                </c:pt>
                <c:pt idx="1">
                  <c:v>6.8072306513858326E-74</c:v>
                </c:pt>
                <c:pt idx="2">
                  <c:v>1.3310502241183106E-28</c:v>
                </c:pt>
                <c:pt idx="3">
                  <c:v>5.6094160755806658E-15</c:v>
                </c:pt>
                <c:pt idx="4">
                  <c:v>1.4635581988838803E-8</c:v>
                </c:pt>
                <c:pt idx="5">
                  <c:v>1.2616004317234086E-5</c:v>
                </c:pt>
                <c:pt idx="6">
                  <c:v>2.1268500254760792E-3</c:v>
                </c:pt>
                <c:pt idx="7">
                  <c:v>4.0978895678670302E-2</c:v>
                </c:pt>
                <c:pt idx="8">
                  <c:v>0.21610549434663029</c:v>
                </c:pt>
                <c:pt idx="9">
                  <c:v>0.51832027601881658</c:v>
                </c:pt>
                <c:pt idx="10">
                  <c:v>0.78306942355492604</c:v>
                </c:pt>
                <c:pt idx="11">
                  <c:v>0.92562444152292822</c:v>
                </c:pt>
                <c:pt idx="12">
                  <c:v>0.97952240699101178</c:v>
                </c:pt>
                <c:pt idx="13">
                  <c:v>0.99524419590188651</c:v>
                </c:pt>
                <c:pt idx="14">
                  <c:v>0.99902999146094573</c:v>
                </c:pt>
                <c:pt idx="15">
                  <c:v>0.99982063547818845</c:v>
                </c:pt>
                <c:pt idx="16">
                  <c:v>0.99996917846167388</c:v>
                </c:pt>
                <c:pt idx="17">
                  <c:v>0.99999498254039765</c:v>
                </c:pt>
                <c:pt idx="18">
                  <c:v>0.99999921451382634</c:v>
                </c:pt>
                <c:pt idx="19">
                  <c:v>0.99999988034847342</c:v>
                </c:pt>
                <c:pt idx="20">
                  <c:v>0.99999998210073171</c:v>
                </c:pt>
                <c:pt idx="21">
                  <c:v>1</c:v>
                </c:pt>
              </c:numCache>
            </c:numRef>
          </c:val>
        </c:ser>
        <c:hiLowLines/>
        <c:marker val="1"/>
        <c:axId val="171757568"/>
        <c:axId val="171759488"/>
      </c:lineChart>
      <c:catAx>
        <c:axId val="1717575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Utilization%</a:t>
                </a:r>
              </a:p>
            </c:rich>
          </c:tx>
          <c:layout/>
        </c:title>
        <c:majorTickMark val="none"/>
        <c:tickLblPos val="nextTo"/>
        <c:crossAx val="171759488"/>
        <c:crosses val="autoZero"/>
        <c:auto val="1"/>
        <c:lblAlgn val="ctr"/>
        <c:lblOffset val="100"/>
      </c:catAx>
      <c:valAx>
        <c:axId val="17175948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Commulative Probability</a:t>
                </a:r>
              </a:p>
            </c:rich>
          </c:tx>
          <c:layout/>
        </c:title>
        <c:numFmt formatCode="0.00" sourceLinked="1"/>
        <c:tickLblPos val="nextTo"/>
        <c:crossAx val="1717575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ServerTypeB!$B$2</c:f>
              <c:strCache>
                <c:ptCount val="1"/>
                <c:pt idx="0">
                  <c:v>Events per hr (M)</c:v>
                </c:pt>
              </c:strCache>
            </c:strRef>
          </c:tx>
          <c:xVal>
            <c:numRef>
              <c:f>ServerTypeB!$A$3:$A$26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ServerTypeB!$B$3:$B$26</c:f>
              <c:numCache>
                <c:formatCode>0.00</c:formatCode>
                <c:ptCount val="24"/>
                <c:pt idx="0">
                  <c:v>0.43929673333333336</c:v>
                </c:pt>
                <c:pt idx="1">
                  <c:v>0.24725845000000002</c:v>
                </c:pt>
                <c:pt idx="2">
                  <c:v>0.15990046666666669</c:v>
                </c:pt>
                <c:pt idx="3">
                  <c:v>0.15634300000000001</c:v>
                </c:pt>
                <c:pt idx="4">
                  <c:v>0.33371846666666666</c:v>
                </c:pt>
                <c:pt idx="5">
                  <c:v>0.89391525000000005</c:v>
                </c:pt>
                <c:pt idx="6">
                  <c:v>1.2472558666666667</c:v>
                </c:pt>
                <c:pt idx="7">
                  <c:v>1.427451456896552</c:v>
                </c:pt>
                <c:pt idx="8">
                  <c:v>1.6331402586206896</c:v>
                </c:pt>
                <c:pt idx="9">
                  <c:v>1.8079739655172413</c:v>
                </c:pt>
                <c:pt idx="10">
                  <c:v>1.9315643166666667</c:v>
                </c:pt>
                <c:pt idx="11">
                  <c:v>2.03022415</c:v>
                </c:pt>
                <c:pt idx="12">
                  <c:v>2.2896160166666668</c:v>
                </c:pt>
                <c:pt idx="13">
                  <c:v>2.2934009304597702</c:v>
                </c:pt>
                <c:pt idx="14">
                  <c:v>2.3540504500000003</c:v>
                </c:pt>
                <c:pt idx="15">
                  <c:v>2.3404022586206894</c:v>
                </c:pt>
                <c:pt idx="16">
                  <c:v>2.4359785499999997</c:v>
                </c:pt>
                <c:pt idx="17">
                  <c:v>2.4111804999999999</c:v>
                </c:pt>
                <c:pt idx="18">
                  <c:v>3.3244928103448275</c:v>
                </c:pt>
                <c:pt idx="19">
                  <c:v>4.0252025333333332</c:v>
                </c:pt>
                <c:pt idx="20">
                  <c:v>3.8408287333333333</c:v>
                </c:pt>
                <c:pt idx="21">
                  <c:v>2.9214521000000002</c:v>
                </c:pt>
                <c:pt idx="22">
                  <c:v>1.70428665</c:v>
                </c:pt>
                <c:pt idx="23">
                  <c:v>0.81373062413793107</c:v>
                </c:pt>
              </c:numCache>
            </c:numRef>
          </c:yVal>
          <c:smooth val="1"/>
        </c:ser>
        <c:axId val="172388352"/>
        <c:axId val="172390272"/>
      </c:scatterChart>
      <c:valAx>
        <c:axId val="172388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  <a:r>
                  <a:rPr lang="en-US" baseline="0"/>
                  <a:t> of Day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4818525809273843"/>
              <c:y val="0.86479148439778508"/>
            </c:manualLayout>
          </c:layout>
        </c:title>
        <c:numFmt formatCode="General" sourceLinked="1"/>
        <c:majorTickMark val="none"/>
        <c:tickLblPos val="nextTo"/>
        <c:crossAx val="172390272"/>
        <c:crosses val="autoZero"/>
        <c:crossBetween val="midCat"/>
      </c:valAx>
      <c:valAx>
        <c:axId val="17239027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Hour(M)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723883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ServerTypeB!$D$2</c:f>
              <c:strCache>
                <c:ptCount val="1"/>
                <c:pt idx="0">
                  <c:v>Average of log-cpu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forward val="4"/>
            <c:dispRSqr val="1"/>
            <c:dispEq val="1"/>
            <c:trendlineLbl>
              <c:layout>
                <c:manualLayout>
                  <c:x val="0.46186264216972922"/>
                  <c:y val="-8.3115214046520031E-2"/>
                </c:manualLayout>
              </c:layout>
              <c:numFmt formatCode="General" sourceLinked="0"/>
            </c:trendlineLbl>
          </c:trendline>
          <c:xVal>
            <c:numRef>
              <c:f>ServerTypeB!$B$3:$B$26</c:f>
              <c:numCache>
                <c:formatCode>0.00</c:formatCode>
                <c:ptCount val="24"/>
                <c:pt idx="0">
                  <c:v>0.43929673333333336</c:v>
                </c:pt>
                <c:pt idx="1">
                  <c:v>0.24725845000000002</c:v>
                </c:pt>
                <c:pt idx="2">
                  <c:v>0.15990046666666669</c:v>
                </c:pt>
                <c:pt idx="3">
                  <c:v>0.15634300000000001</c:v>
                </c:pt>
                <c:pt idx="4">
                  <c:v>0.33371846666666666</c:v>
                </c:pt>
                <c:pt idx="5">
                  <c:v>0.89391525000000005</c:v>
                </c:pt>
                <c:pt idx="6">
                  <c:v>1.2472558666666667</c:v>
                </c:pt>
                <c:pt idx="7">
                  <c:v>1.427451456896552</c:v>
                </c:pt>
                <c:pt idx="8">
                  <c:v>1.6331402586206896</c:v>
                </c:pt>
                <c:pt idx="9">
                  <c:v>1.8079739655172413</c:v>
                </c:pt>
                <c:pt idx="10">
                  <c:v>1.9315643166666667</c:v>
                </c:pt>
                <c:pt idx="11">
                  <c:v>2.03022415</c:v>
                </c:pt>
                <c:pt idx="12">
                  <c:v>2.2896160166666668</c:v>
                </c:pt>
                <c:pt idx="13">
                  <c:v>2.2934009304597702</c:v>
                </c:pt>
                <c:pt idx="14">
                  <c:v>2.3540504500000003</c:v>
                </c:pt>
                <c:pt idx="15">
                  <c:v>2.3404022586206894</c:v>
                </c:pt>
                <c:pt idx="16">
                  <c:v>2.4359785499999997</c:v>
                </c:pt>
                <c:pt idx="17">
                  <c:v>2.4111804999999999</c:v>
                </c:pt>
                <c:pt idx="18">
                  <c:v>3.3244928103448275</c:v>
                </c:pt>
                <c:pt idx="19">
                  <c:v>4.0252025333333332</c:v>
                </c:pt>
                <c:pt idx="20">
                  <c:v>3.8408287333333333</c:v>
                </c:pt>
                <c:pt idx="21">
                  <c:v>2.9214521000000002</c:v>
                </c:pt>
                <c:pt idx="22">
                  <c:v>1.70428665</c:v>
                </c:pt>
                <c:pt idx="23">
                  <c:v>0.81373062413793107</c:v>
                </c:pt>
              </c:numCache>
            </c:numRef>
          </c:xVal>
          <c:yVal>
            <c:numRef>
              <c:f>ServerTypeB!$D$3:$D$26</c:f>
              <c:numCache>
                <c:formatCode>0.00</c:formatCode>
                <c:ptCount val="24"/>
                <c:pt idx="0">
                  <c:v>1.4578535474648624</c:v>
                </c:pt>
                <c:pt idx="1">
                  <c:v>1.2009059292645192</c:v>
                </c:pt>
                <c:pt idx="2">
                  <c:v>1.1239121830226895</c:v>
                </c:pt>
                <c:pt idx="3">
                  <c:v>1.0781775282874471</c:v>
                </c:pt>
                <c:pt idx="4">
                  <c:v>1.3586159920097485</c:v>
                </c:pt>
                <c:pt idx="5">
                  <c:v>1.8935671239763232</c:v>
                </c:pt>
                <c:pt idx="6">
                  <c:v>2.1777566981165304</c:v>
                </c:pt>
                <c:pt idx="7">
                  <c:v>2.2830566907158301</c:v>
                </c:pt>
                <c:pt idx="8">
                  <c:v>2.4016785827932323</c:v>
                </c:pt>
                <c:pt idx="9">
                  <c:v>2.4780891524421174</c:v>
                </c:pt>
                <c:pt idx="10">
                  <c:v>2.5417076069979592</c:v>
                </c:pt>
                <c:pt idx="11">
                  <c:v>2.5496839139592584</c:v>
                </c:pt>
                <c:pt idx="12">
                  <c:v>2.637817464390511</c:v>
                </c:pt>
                <c:pt idx="13">
                  <c:v>2.6328556719779206</c:v>
                </c:pt>
                <c:pt idx="14">
                  <c:v>2.6651734949945665</c:v>
                </c:pt>
                <c:pt idx="15">
                  <c:v>2.6407014432707721</c:v>
                </c:pt>
                <c:pt idx="16">
                  <c:v>2.6690912249458405</c:v>
                </c:pt>
                <c:pt idx="17">
                  <c:v>2.6925662301233491</c:v>
                </c:pt>
                <c:pt idx="18">
                  <c:v>2.96788632245448</c:v>
                </c:pt>
                <c:pt idx="19">
                  <c:v>3.1312860438872789</c:v>
                </c:pt>
                <c:pt idx="20">
                  <c:v>3.0787900495941543</c:v>
                </c:pt>
                <c:pt idx="21">
                  <c:v>2.8206832515799598</c:v>
                </c:pt>
                <c:pt idx="22">
                  <c:v>2.3890292080994184</c:v>
                </c:pt>
                <c:pt idx="23">
                  <c:v>1.8025717507060615</c:v>
                </c:pt>
              </c:numCache>
            </c:numRef>
          </c:yVal>
        </c:ser>
        <c:axId val="172411520"/>
        <c:axId val="172421888"/>
      </c:scatterChart>
      <c:valAx>
        <c:axId val="172411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 Hour(M)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72421888"/>
        <c:crosses val="autoZero"/>
        <c:crossBetween val="midCat"/>
      </c:valAx>
      <c:valAx>
        <c:axId val="17242188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Log-CPU utilization</a:t>
                </a:r>
              </a:p>
            </c:rich>
          </c:tx>
          <c:layout/>
        </c:title>
        <c:numFmt formatCode="0.00" sourceLinked="1"/>
        <c:majorTickMark val="none"/>
        <c:tickLblPos val="nextTo"/>
        <c:crossAx val="17241152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ServerTypeB!$E$2</c:f>
              <c:strCache>
                <c:ptCount val="1"/>
                <c:pt idx="0">
                  <c:v>StdDev of log-cpu</c:v>
                </c:pt>
              </c:strCache>
            </c:strRef>
          </c:tx>
          <c:spPr>
            <a:ln w="28575">
              <a:noFill/>
            </a:ln>
          </c:spPr>
          <c:trendline>
            <c:trendlineType val="log"/>
            <c:forward val="4"/>
            <c:dispRSqr val="1"/>
            <c:dispEq val="1"/>
            <c:trendlineLbl>
              <c:layout>
                <c:manualLayout>
                  <c:x val="0.42300021872266036"/>
                  <c:y val="-0.42688830562846408"/>
                </c:manualLayout>
              </c:layout>
              <c:numFmt formatCode="General" sourceLinked="0"/>
            </c:trendlineLbl>
          </c:trendline>
          <c:xVal>
            <c:numRef>
              <c:f>ServerTypeB!$B$3:$B$26</c:f>
              <c:numCache>
                <c:formatCode>0.00</c:formatCode>
                <c:ptCount val="24"/>
                <c:pt idx="0">
                  <c:v>0.43929673333333336</c:v>
                </c:pt>
                <c:pt idx="1">
                  <c:v>0.24725845000000002</c:v>
                </c:pt>
                <c:pt idx="2">
                  <c:v>0.15990046666666669</c:v>
                </c:pt>
                <c:pt idx="3">
                  <c:v>0.15634300000000001</c:v>
                </c:pt>
                <c:pt idx="4">
                  <c:v>0.33371846666666666</c:v>
                </c:pt>
                <c:pt idx="5">
                  <c:v>0.89391525000000005</c:v>
                </c:pt>
                <c:pt idx="6">
                  <c:v>1.2472558666666667</c:v>
                </c:pt>
                <c:pt idx="7">
                  <c:v>1.427451456896552</c:v>
                </c:pt>
                <c:pt idx="8">
                  <c:v>1.6331402586206896</c:v>
                </c:pt>
                <c:pt idx="9">
                  <c:v>1.8079739655172413</c:v>
                </c:pt>
                <c:pt idx="10">
                  <c:v>1.9315643166666667</c:v>
                </c:pt>
                <c:pt idx="11">
                  <c:v>2.03022415</c:v>
                </c:pt>
                <c:pt idx="12">
                  <c:v>2.2896160166666668</c:v>
                </c:pt>
                <c:pt idx="13">
                  <c:v>2.2934009304597702</c:v>
                </c:pt>
                <c:pt idx="14">
                  <c:v>2.3540504500000003</c:v>
                </c:pt>
                <c:pt idx="15">
                  <c:v>2.3404022586206894</c:v>
                </c:pt>
                <c:pt idx="16">
                  <c:v>2.4359785499999997</c:v>
                </c:pt>
                <c:pt idx="17">
                  <c:v>2.4111804999999999</c:v>
                </c:pt>
                <c:pt idx="18">
                  <c:v>3.3244928103448275</c:v>
                </c:pt>
                <c:pt idx="19">
                  <c:v>4.0252025333333332</c:v>
                </c:pt>
                <c:pt idx="20">
                  <c:v>3.8408287333333333</c:v>
                </c:pt>
                <c:pt idx="21">
                  <c:v>2.9214521000000002</c:v>
                </c:pt>
                <c:pt idx="22">
                  <c:v>1.70428665</c:v>
                </c:pt>
                <c:pt idx="23">
                  <c:v>0.81373062413793107</c:v>
                </c:pt>
              </c:numCache>
            </c:numRef>
          </c:xVal>
          <c:yVal>
            <c:numRef>
              <c:f>ServerTypeB!$E$3:$E$26</c:f>
              <c:numCache>
                <c:formatCode>0.00</c:formatCode>
                <c:ptCount val="24"/>
                <c:pt idx="0">
                  <c:v>0.38068830855339275</c:v>
                </c:pt>
                <c:pt idx="1">
                  <c:v>0.44643345497676579</c:v>
                </c:pt>
                <c:pt idx="2">
                  <c:v>0.47421591541210195</c:v>
                </c:pt>
                <c:pt idx="3">
                  <c:v>0.47328222878650017</c:v>
                </c:pt>
                <c:pt idx="4">
                  <c:v>0.42022276911019618</c:v>
                </c:pt>
                <c:pt idx="5">
                  <c:v>0.29032631288578015</c:v>
                </c:pt>
                <c:pt idx="6">
                  <c:v>0.26108807775308907</c:v>
                </c:pt>
                <c:pt idx="7">
                  <c:v>0.27475598174255794</c:v>
                </c:pt>
                <c:pt idx="8">
                  <c:v>0.26257045253475403</c:v>
                </c:pt>
                <c:pt idx="9">
                  <c:v>0.2474704511325046</c:v>
                </c:pt>
                <c:pt idx="10">
                  <c:v>0.23582719223119322</c:v>
                </c:pt>
                <c:pt idx="11">
                  <c:v>0.21494477894520697</c:v>
                </c:pt>
                <c:pt idx="12">
                  <c:v>0.17237730796284112</c:v>
                </c:pt>
                <c:pt idx="13">
                  <c:v>0.16646873656193936</c:v>
                </c:pt>
                <c:pt idx="14">
                  <c:v>0.15372434855297296</c:v>
                </c:pt>
                <c:pt idx="15">
                  <c:v>0.15345736114530628</c:v>
                </c:pt>
                <c:pt idx="16">
                  <c:v>0.14925630917062432</c:v>
                </c:pt>
                <c:pt idx="17">
                  <c:v>0.15607687281556276</c:v>
                </c:pt>
                <c:pt idx="18">
                  <c:v>0.22629715839659939</c:v>
                </c:pt>
                <c:pt idx="19">
                  <c:v>0.12745418549387766</c:v>
                </c:pt>
                <c:pt idx="20">
                  <c:v>0.13435421384212953</c:v>
                </c:pt>
                <c:pt idx="21">
                  <c:v>0.18441804149569552</c:v>
                </c:pt>
                <c:pt idx="22">
                  <c:v>0.2703931449229694</c:v>
                </c:pt>
                <c:pt idx="23">
                  <c:v>0.37336173307400433</c:v>
                </c:pt>
              </c:numCache>
            </c:numRef>
          </c:yVal>
        </c:ser>
        <c:axId val="172447232"/>
        <c:axId val="172449152"/>
      </c:scatterChart>
      <c:valAx>
        <c:axId val="172447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Events Per</a:t>
                </a:r>
                <a:r>
                  <a:rPr lang="en-US" baseline="0"/>
                  <a:t> Hour(M)</a:t>
                </a:r>
                <a:endParaRPr lang="en-US"/>
              </a:p>
            </c:rich>
          </c:tx>
        </c:title>
        <c:numFmt formatCode="0.00" sourceLinked="1"/>
        <c:majorTickMark val="none"/>
        <c:tickLblPos val="nextTo"/>
        <c:crossAx val="172449152"/>
        <c:crosses val="autoZero"/>
        <c:crossBetween val="midCat"/>
      </c:valAx>
      <c:valAx>
        <c:axId val="17244915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StdDev of Log-CPU</a:t>
                </a:r>
              </a:p>
            </c:rich>
          </c:tx>
        </c:title>
        <c:numFmt formatCode="0.00" sourceLinked="1"/>
        <c:majorTickMark val="none"/>
        <c:tickLblPos val="nextTo"/>
        <c:crossAx val="17244723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barChart>
        <c:barDir val="col"/>
        <c:grouping val="clustered"/>
        <c:ser>
          <c:idx val="0"/>
          <c:order val="0"/>
          <c:tx>
            <c:v>3M EPH</c:v>
          </c:tx>
          <c:cat>
            <c:strRef>
              <c:f>ServerTypeB!$B$105:$V$105</c:f>
              <c:strCach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strCache>
            </c:strRef>
          </c:cat>
          <c:val>
            <c:numRef>
              <c:f>ServerTypeB!$B$135:$V$135</c:f>
              <c:numCache>
                <c:formatCode>0.00</c:formatCode>
                <c:ptCount val="21"/>
                <c:pt idx="0">
                  <c:v>0</c:v>
                </c:pt>
                <c:pt idx="1">
                  <c:v>4.7279021586632552E-7</c:v>
                </c:pt>
                <c:pt idx="2">
                  <c:v>3.048494773534105E-2</c:v>
                </c:pt>
                <c:pt idx="3">
                  <c:v>0.51782719825851498</c:v>
                </c:pt>
                <c:pt idx="4">
                  <c:v>0.36188864050700664</c:v>
                </c:pt>
                <c:pt idx="5">
                  <c:v>8.4884436176291156E-2</c:v>
                </c:pt>
                <c:pt idx="6">
                  <c:v>4.7592286406399342E-3</c:v>
                </c:pt>
                <c:pt idx="7">
                  <c:v>1.5134774577052479E-4</c:v>
                </c:pt>
                <c:pt idx="8">
                  <c:v>3.6484920330481785E-6</c:v>
                </c:pt>
                <c:pt idx="9">
                  <c:v>7.8004804171527553E-8</c:v>
                </c:pt>
                <c:pt idx="10">
                  <c:v>1.614594902221711E-9</c:v>
                </c:pt>
                <c:pt idx="11">
                  <c:v>3.4018565742144347E-11</c:v>
                </c:pt>
                <c:pt idx="12">
                  <c:v>7.510658761589184E-13</c:v>
                </c:pt>
                <c:pt idx="13">
                  <c:v>1.7652546091539989E-14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axId val="172452864"/>
        <c:axId val="172569728"/>
      </c:barChart>
      <c:catAx>
        <c:axId val="172452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CPU%</a:t>
                </a:r>
              </a:p>
            </c:rich>
          </c:tx>
          <c:layout/>
        </c:title>
        <c:majorTickMark val="none"/>
        <c:tickLblPos val="nextTo"/>
        <c:crossAx val="172569728"/>
        <c:crosses val="autoZero"/>
        <c:auto val="1"/>
        <c:lblAlgn val="ctr"/>
        <c:lblOffset val="100"/>
      </c:catAx>
      <c:valAx>
        <c:axId val="172569728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Probability</a:t>
                </a:r>
              </a:p>
            </c:rich>
          </c:tx>
          <c:layout/>
        </c:title>
        <c:numFmt formatCode="0.00" sourceLinked="1"/>
        <c:tickLblPos val="nextTo"/>
        <c:crossAx val="17245286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3M EPH</c:v>
          </c:tx>
          <c:cat>
            <c:strRef>
              <c:f>ServerTypeB!$F$41:$AA$41</c:f>
              <c:strCache>
                <c:ptCount val="22"/>
                <c:pt idx="0">
                  <c:v>0.0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21.5</c:v>
                </c:pt>
                <c:pt idx="6">
                  <c:v>26.5</c:v>
                </c:pt>
                <c:pt idx="7">
                  <c:v>31.5</c:v>
                </c:pt>
                <c:pt idx="8">
                  <c:v>36.5</c:v>
                </c:pt>
                <c:pt idx="9">
                  <c:v>41.5</c:v>
                </c:pt>
                <c:pt idx="10">
                  <c:v>46.5</c:v>
                </c:pt>
                <c:pt idx="11">
                  <c:v>51.5</c:v>
                </c:pt>
                <c:pt idx="12">
                  <c:v>56.5</c:v>
                </c:pt>
                <c:pt idx="13">
                  <c:v>61.5</c:v>
                </c:pt>
                <c:pt idx="14">
                  <c:v>66.5</c:v>
                </c:pt>
                <c:pt idx="15">
                  <c:v>71.5</c:v>
                </c:pt>
                <c:pt idx="16">
                  <c:v>76.5</c:v>
                </c:pt>
                <c:pt idx="17">
                  <c:v>81.5</c:v>
                </c:pt>
                <c:pt idx="18">
                  <c:v>86.5</c:v>
                </c:pt>
                <c:pt idx="19">
                  <c:v>91.5</c:v>
                </c:pt>
                <c:pt idx="20">
                  <c:v>96.5</c:v>
                </c:pt>
                <c:pt idx="21">
                  <c:v>101.5</c:v>
                </c:pt>
              </c:strCache>
            </c:strRef>
          </c:cat>
          <c:val>
            <c:numRef>
              <c:f>ServerTypeB!$F$71:$AA$71</c:f>
              <c:numCache>
                <c:formatCode>0.00</c:formatCode>
                <c:ptCount val="22"/>
                <c:pt idx="0">
                  <c:v>0</c:v>
                </c:pt>
                <c:pt idx="1">
                  <c:v>1.7226641034796231E-30</c:v>
                </c:pt>
                <c:pt idx="2">
                  <c:v>4.7279021586632552E-7</c:v>
                </c:pt>
                <c:pt idx="3">
                  <c:v>3.0485420525556917E-2</c:v>
                </c:pt>
                <c:pt idx="4">
                  <c:v>0.54831261878407189</c:v>
                </c:pt>
                <c:pt idx="5">
                  <c:v>0.91020125929107853</c:v>
                </c:pt>
                <c:pt idx="6">
                  <c:v>0.99508569546736969</c:v>
                </c:pt>
                <c:pt idx="7">
                  <c:v>0.99984492410800963</c:v>
                </c:pt>
                <c:pt idx="8">
                  <c:v>0.99999627185378015</c:v>
                </c:pt>
                <c:pt idx="9">
                  <c:v>0.9999999203458132</c:v>
                </c:pt>
                <c:pt idx="10">
                  <c:v>0.99999999835061737</c:v>
                </c:pt>
                <c:pt idx="11">
                  <c:v>0.99999999996521227</c:v>
                </c:pt>
                <c:pt idx="12">
                  <c:v>0.99999999999923084</c:v>
                </c:pt>
                <c:pt idx="13">
                  <c:v>0.9999999999999819</c:v>
                </c:pt>
                <c:pt idx="14">
                  <c:v>0.99999999999999956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</c:ser>
        <c:hiLowLines/>
        <c:marker val="1"/>
        <c:axId val="172602880"/>
        <c:axId val="172604800"/>
      </c:lineChart>
      <c:catAx>
        <c:axId val="1726028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CPU Utilization%</a:t>
                </a:r>
              </a:p>
            </c:rich>
          </c:tx>
          <c:layout/>
        </c:title>
        <c:majorTickMark val="none"/>
        <c:tickLblPos val="nextTo"/>
        <c:crossAx val="172604800"/>
        <c:crosses val="autoZero"/>
        <c:auto val="1"/>
        <c:lblAlgn val="ctr"/>
        <c:lblOffset val="100"/>
      </c:catAx>
      <c:valAx>
        <c:axId val="17260480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Commulative Probability</a:t>
                </a:r>
              </a:p>
            </c:rich>
          </c:tx>
          <c:layout/>
        </c:title>
        <c:numFmt formatCode="0.00" sourceLinked="1"/>
        <c:tickLblPos val="nextTo"/>
        <c:crossAx val="1726028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866775</xdr:colOff>
      <xdr:row>0</xdr:row>
      <xdr:rowOff>171449</xdr:rowOff>
    </xdr:from>
    <xdr:to>
      <xdr:col>16</xdr:col>
      <xdr:colOff>190500</xdr:colOff>
      <xdr:row>13</xdr:row>
      <xdr:rowOff>161924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57150</xdr:rowOff>
    </xdr:from>
    <xdr:to>
      <xdr:col>16</xdr:col>
      <xdr:colOff>295275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123825</xdr:rowOff>
    </xdr:from>
    <xdr:to>
      <xdr:col>16</xdr:col>
      <xdr:colOff>304800</xdr:colOff>
      <xdr:row>30</xdr:row>
      <xdr:rowOff>28575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76200</xdr:colOff>
      <xdr:row>0</xdr:row>
      <xdr:rowOff>171450</xdr:rowOff>
    </xdr:from>
    <xdr:to>
      <xdr:col>24</xdr:col>
      <xdr:colOff>381000</xdr:colOff>
      <xdr:row>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167</xdr:row>
      <xdr:rowOff>47624</xdr:rowOff>
    </xdr:from>
    <xdr:to>
      <xdr:col>8</xdr:col>
      <xdr:colOff>219073</xdr:colOff>
      <xdr:row>183</xdr:row>
      <xdr:rowOff>190499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167</xdr:row>
      <xdr:rowOff>19050</xdr:rowOff>
    </xdr:from>
    <xdr:to>
      <xdr:col>14</xdr:col>
      <xdr:colOff>304800</xdr:colOff>
      <xdr:row>183</xdr:row>
      <xdr:rowOff>28576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57150</xdr:rowOff>
    </xdr:from>
    <xdr:to>
      <xdr:col>16</xdr:col>
      <xdr:colOff>295275</xdr:colOff>
      <xdr:row>14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123825</xdr:rowOff>
    </xdr:from>
    <xdr:to>
      <xdr:col>16</xdr:col>
      <xdr:colOff>304800</xdr:colOff>
      <xdr:row>30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76200</xdr:colOff>
      <xdr:row>0</xdr:row>
      <xdr:rowOff>171450</xdr:rowOff>
    </xdr:from>
    <xdr:to>
      <xdr:col>24</xdr:col>
      <xdr:colOff>381000</xdr:colOff>
      <xdr:row>15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167</xdr:row>
      <xdr:rowOff>47624</xdr:rowOff>
    </xdr:from>
    <xdr:to>
      <xdr:col>8</xdr:col>
      <xdr:colOff>219073</xdr:colOff>
      <xdr:row>183</xdr:row>
      <xdr:rowOff>190499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19050</xdr:colOff>
      <xdr:row>167</xdr:row>
      <xdr:rowOff>19050</xdr:rowOff>
    </xdr:from>
    <xdr:to>
      <xdr:col>14</xdr:col>
      <xdr:colOff>304800</xdr:colOff>
      <xdr:row>183</xdr:row>
      <xdr:rowOff>28576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able6" displayName="Table6" ref="A4:C9" totalsRowShown="0" headerRowDxfId="449">
  <autoFilter ref="A4:C9">
    <filterColumn colId="2"/>
  </autoFilter>
  <tableColumns count="3">
    <tableColumn id="2" name="CPU utilization %" dataDxfId="448"/>
    <tableColumn id="3" name="Single Event Failure Probability" dataDxfId="447"/>
    <tableColumn id="1" name="Number of Failures per M events" dataDxfId="446">
      <calculatedColumnFormula>1000000*B5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14:B115" totalsRowShown="0" headerRowDxfId="445" dataDxfId="444">
  <autoFilter ref="A14:B115"/>
  <tableColumns count="2">
    <tableColumn id="1" name="CPU" dataDxfId="443"/>
    <tableColumn id="2" name="Failure Probability" dataDxfId="442">
      <calculatedColumnFormula>IF(A15&lt;$A$5,0,IF(A15&lt;=$A$6,(A15-$A$5)*$B$6/($A$6-$A$5),IF(A15&lt;=$A$7,$B$6+(A15-$A$6)*($B$7-$B$6)/($A$7-$A$6),IF(A15&lt;=$A$8,$B$7+(A15-$A$7)*($B$8-$B$7)/($A$8-$A$7),$B$8+(A15-$A$8)*($B$9-$B$8)/(100-$A$8)))))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2:E26" totalsRowShown="0" headerRowDxfId="441" dataDxfId="439" headerRowBorderDxfId="440">
  <autoFilter ref="A2:E26">
    <filterColumn colId="2"/>
  </autoFilter>
  <sortState ref="A3:D26">
    <sortCondition ref="A2:A26"/>
  </sortState>
  <tableColumns count="5">
    <tableColumn id="1" name="HourOfDay" dataDxfId="438"/>
    <tableColumn id="2" name="Events per hr (M)" dataDxfId="437"/>
    <tableColumn id="5" name="Log Events Per Hour" dataDxfId="436">
      <calculatedColumnFormula>LN(B3)</calculatedColumnFormula>
    </tableColumn>
    <tableColumn id="3" name="Average of log-cpu" dataDxfId="435"/>
    <tableColumn id="4" name="StdDev of log-cpu" dataDxfId="43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2" name="Table2" displayName="Table2" ref="A41:AA101" totalsRowShown="0" headerRowDxfId="433" dataDxfId="432">
  <autoFilter ref="A41:AA101">
    <filterColumn colId="3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  <filterColumn colId="25"/>
    <filterColumn colId="26"/>
  </autoFilter>
  <tableColumns count="27">
    <tableColumn id="1" name="EPH(in M)" dataDxfId="431"/>
    <tableColumn id="2" name="Log-EPH" dataDxfId="430">
      <calculatedColumnFormula>LN(A42)</calculatedColumnFormula>
    </tableColumn>
    <tableColumn id="3" name="Log-CPU" dataDxfId="429">
      <calculatedColumnFormula>((A42*$C$31+$D$31)*A42+$E$31)*A42+$F$31</calculatedColumnFormula>
    </tableColumn>
    <tableColumn id="5" name="CPU" dataDxfId="428">
      <calculatedColumnFormula>EXP(C42)</calculatedColumnFormula>
    </tableColumn>
    <tableColumn id="4" name="STD of LOG-CPU" dataDxfId="427">
      <calculatedColumnFormula>$C$36*B42+$D$36</calculatedColumnFormula>
    </tableColumn>
    <tableColumn id="6" name="0.0" dataDxfId="426">
      <calculatedColumnFormula>NORMDIST(LN(F$41),$C42,$E42,TRUE)</calculatedColumnFormula>
    </tableColumn>
    <tableColumn id="7" name="2.5" dataDxfId="425">
      <calculatedColumnFormula>NORMDIST(LN(G$41),$C42,$E42,TRUE)</calculatedColumnFormula>
    </tableColumn>
    <tableColumn id="8" name="7.5" dataDxfId="424">
      <calculatedColumnFormula>NORMDIST(LN(H$41),$C42,$E42,TRUE)</calculatedColumnFormula>
    </tableColumn>
    <tableColumn id="9" name="12.5" dataDxfId="423">
      <calculatedColumnFormula>NORMDIST(LN(I$41),$C42,$E42,TRUE)</calculatedColumnFormula>
    </tableColumn>
    <tableColumn id="10" name="17.5" dataDxfId="422">
      <calculatedColumnFormula>NORMDIST(LN(J$41),$C42,$E42,TRUE)</calculatedColumnFormula>
    </tableColumn>
    <tableColumn id="11" name="21.5" dataDxfId="421">
      <calculatedColumnFormula>NORMDIST(LN(K$41),$C42,$E42,TRUE)</calculatedColumnFormula>
    </tableColumn>
    <tableColumn id="12" name="26.5" dataDxfId="420">
      <calculatedColumnFormula>NORMDIST(LN(L$41),$C42,$E42,TRUE)</calculatedColumnFormula>
    </tableColumn>
    <tableColumn id="13" name="31.5" dataDxfId="419">
      <calculatedColumnFormula>NORMDIST(LN(M$41),$C42,$E42,TRUE)</calculatedColumnFormula>
    </tableColumn>
    <tableColumn id="14" name="36.5" dataDxfId="418">
      <calculatedColumnFormula>NORMDIST(LN(N$41),$C42,$E42,TRUE)</calculatedColumnFormula>
    </tableColumn>
    <tableColumn id="15" name="41.5" dataDxfId="417">
      <calculatedColumnFormula>NORMDIST(LN(O$41),$C42,$E42,TRUE)</calculatedColumnFormula>
    </tableColumn>
    <tableColumn id="16" name="46.5" dataDxfId="416">
      <calculatedColumnFormula>NORMDIST(LN(P$41),$C42,$E42,TRUE)</calculatedColumnFormula>
    </tableColumn>
    <tableColumn id="17" name="51.5" dataDxfId="415">
      <calculatedColumnFormula>NORMDIST(LN(Q$41),$C42,$E42,TRUE)</calculatedColumnFormula>
    </tableColumn>
    <tableColumn id="18" name="56.5" dataDxfId="414">
      <calculatedColumnFormula>NORMDIST(LN(R$41),$C42,$E42,TRUE)</calculatedColumnFormula>
    </tableColumn>
    <tableColumn id="19" name="61.5" dataDxfId="413">
      <calculatedColumnFormula>NORMDIST(LN(S$41),$C42,$E42,TRUE)</calculatedColumnFormula>
    </tableColumn>
    <tableColumn id="20" name="66.5" dataDxfId="412">
      <calculatedColumnFormula>NORMDIST(LN(T$41),$C42,$E42,TRUE)</calculatedColumnFormula>
    </tableColumn>
    <tableColumn id="21" name="71.5" dataDxfId="411">
      <calculatedColumnFormula>NORMDIST(LN(U$41),$C42,$E42,TRUE)</calculatedColumnFormula>
    </tableColumn>
    <tableColumn id="22" name="76.5" dataDxfId="410">
      <calculatedColumnFormula>NORMDIST(LN(V$41),$C42,$E42,TRUE)</calculatedColumnFormula>
    </tableColumn>
    <tableColumn id="23" name="81.5" dataDxfId="409">
      <calculatedColumnFormula>NORMDIST(LN(W$41),$C42,$E42,TRUE)</calculatedColumnFormula>
    </tableColumn>
    <tableColumn id="24" name="86.5" dataDxfId="408">
      <calculatedColumnFormula>NORMDIST(LN(X$41),$C42,$E42,TRUE)</calculatedColumnFormula>
    </tableColumn>
    <tableColumn id="25" name="91.5" dataDxfId="407">
      <calculatedColumnFormula>NORMDIST(LN(Y$41),$C42,$E42,TRUE)</calculatedColumnFormula>
    </tableColumn>
    <tableColumn id="26" name="96.5" dataDxfId="406">
      <calculatedColumnFormula>NORMDIST(LN(Z$41),$C42,$E42,TRUE)</calculatedColumnFormula>
    </tableColumn>
    <tableColumn id="27" name="101.5" dataDxfId="405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05:V165" totalsRowShown="0" headerRowDxfId="404" dataDxfId="403">
  <autoFilter ref="A105:V165"/>
  <tableColumns count="22">
    <tableColumn id="1" name="EPH(in M)" dataDxfId="402"/>
    <tableColumn id="2" name="0" dataDxfId="401"/>
    <tableColumn id="3" name="5" dataDxfId="400">
      <calculatedColumnFormula>H42-G42</calculatedColumnFormula>
    </tableColumn>
    <tableColumn id="4" name="10" dataDxfId="399">
      <calculatedColumnFormula>I42-H42</calculatedColumnFormula>
    </tableColumn>
    <tableColumn id="5" name="15" dataDxfId="398">
      <calculatedColumnFormula>J42-I42</calculatedColumnFormula>
    </tableColumn>
    <tableColumn id="6" name="20" dataDxfId="397">
      <calculatedColumnFormula>K42-J42</calculatedColumnFormula>
    </tableColumn>
    <tableColumn id="7" name="25" dataDxfId="396">
      <calculatedColumnFormula>L42-K42</calculatedColumnFormula>
    </tableColumn>
    <tableColumn id="8" name="30" dataDxfId="395">
      <calculatedColumnFormula>M42-L42</calculatedColumnFormula>
    </tableColumn>
    <tableColumn id="9" name="35" dataDxfId="394">
      <calculatedColumnFormula>N42-M42</calculatedColumnFormula>
    </tableColumn>
    <tableColumn id="10" name="40" dataDxfId="393">
      <calculatedColumnFormula>O42-N42</calculatedColumnFormula>
    </tableColumn>
    <tableColumn id="11" name="45" dataDxfId="392">
      <calculatedColumnFormula>P42-O42</calculatedColumnFormula>
    </tableColumn>
    <tableColumn id="12" name="50" dataDxfId="391">
      <calculatedColumnFormula>Q42-P42</calculatedColumnFormula>
    </tableColumn>
    <tableColumn id="13" name="55" dataDxfId="390">
      <calculatedColumnFormula>R42-Q42</calculatedColumnFormula>
    </tableColumn>
    <tableColumn id="14" name="60" dataDxfId="389">
      <calculatedColumnFormula>S42-R42</calculatedColumnFormula>
    </tableColumn>
    <tableColumn id="15" name="65" dataDxfId="388">
      <calculatedColumnFormula>T42-S42</calculatedColumnFormula>
    </tableColumn>
    <tableColumn id="16" name="70" dataDxfId="387">
      <calculatedColumnFormula>U42-T42</calculatedColumnFormula>
    </tableColumn>
    <tableColumn id="17" name="75" dataDxfId="386">
      <calculatedColumnFormula>V42-U42</calculatedColumnFormula>
    </tableColumn>
    <tableColumn id="18" name="80" dataDxfId="385">
      <calculatedColumnFormula>W42-V42</calculatedColumnFormula>
    </tableColumn>
    <tableColumn id="19" name="85" dataDxfId="384">
      <calculatedColumnFormula>X42-W42</calculatedColumnFormula>
    </tableColumn>
    <tableColumn id="20" name="90" dataDxfId="383">
      <calculatedColumnFormula>Y42-X42</calculatedColumnFormula>
    </tableColumn>
    <tableColumn id="21" name="95" dataDxfId="382">
      <calculatedColumnFormula>Z42-Y42</calculatedColumnFormula>
    </tableColumn>
    <tableColumn id="22" name="100" dataDxfId="381">
      <calculatedColumnFormula>AA42-Z42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12" name="Table413" displayName="Table413" ref="A222:AD246" totalsRowShown="0" headerRowDxfId="380" dataDxfId="379">
  <autoFilter ref="A222:AD246">
    <filterColumn colId="27"/>
    <filterColumn colId="28"/>
    <filterColumn colId="29"/>
  </autoFilter>
  <tableColumns count="30">
    <tableColumn id="1" name="Hour of Day" dataDxfId="378"/>
    <tableColumn id="2" name="Current EPH" dataDxfId="166">
      <calculatedColumnFormula>B191</calculatedColumnFormula>
    </tableColumn>
    <tableColumn id="3" name="Projected EPH" dataDxfId="377">
      <calculatedColumnFormula>$B$220*B223</calculatedColumnFormula>
    </tableColumn>
    <tableColumn id="5" name="Position of Closest EPH Value" dataDxfId="376">
      <calculatedColumnFormula array="1">MATCH(MIN(ABS(ServerTypeA!$A$106:$A$165-$C223)),ABS(ServerTypeA!$A$106:$A$165-$C223),0)</calculatedColumnFormula>
    </tableColumn>
    <tableColumn id="4" name="Closest Predicted EPH Value" dataDxfId="375">
      <calculatedColumnFormula array="1">INDEX(ServerTypeA!$A$106:$A$165,MATCH(MIN(ABS(ServerTypeA!$A$106:$A$165-$C223)),ABS(ServerTypeA!$A$106:$A$165-$C223),0))</calculatedColumnFormula>
    </tableColumn>
    <tableColumn id="6" name="0" dataDxfId="374">
      <calculatedColumnFormula>OFFSET($B$106,$D223-1,F$221,1,1)</calculatedColumnFormula>
    </tableColumn>
    <tableColumn id="7" name="5" dataDxfId="373">
      <calculatedColumnFormula>OFFSET($B$106,$D223-1,G$221,1,1)</calculatedColumnFormula>
    </tableColumn>
    <tableColumn id="8" name="10" dataDxfId="372">
      <calculatedColumnFormula>OFFSET($B$106,$D223-1,H$221,1,1)</calculatedColumnFormula>
    </tableColumn>
    <tableColumn id="9" name="15" dataDxfId="371">
      <calculatedColumnFormula>OFFSET($B$106,$D223-1,I$221,1,1)</calculatedColumnFormula>
    </tableColumn>
    <tableColumn id="10" name="20" dataDxfId="370">
      <calculatedColumnFormula>OFFSET($B$106,$D223-1,J$221,1,1)</calculatedColumnFormula>
    </tableColumn>
    <tableColumn id="11" name="25" dataDxfId="369">
      <calculatedColumnFormula>OFFSET($B$106,$D223-1,K$221,1,1)</calculatedColumnFormula>
    </tableColumn>
    <tableColumn id="12" name="30" dataDxfId="368">
      <calculatedColumnFormula>OFFSET($B$106,$D223-1,L$221,1,1)</calculatedColumnFormula>
    </tableColumn>
    <tableColumn id="13" name="35" dataDxfId="367">
      <calculatedColumnFormula>OFFSET($B$106,$D223-1,M$221,1,1)</calculatedColumnFormula>
    </tableColumn>
    <tableColumn id="14" name="40" dataDxfId="366">
      <calculatedColumnFormula>OFFSET($B$106,$D223-1,N$221,1,1)</calculatedColumnFormula>
    </tableColumn>
    <tableColumn id="15" name="45" dataDxfId="365">
      <calculatedColumnFormula>OFFSET($B$106,$D223-1,O$221,1,1)</calculatedColumnFormula>
    </tableColumn>
    <tableColumn id="16" name="50" dataDxfId="364">
      <calculatedColumnFormula>OFFSET($B$106,$D223-1,P$221,1,1)</calculatedColumnFormula>
    </tableColumn>
    <tableColumn id="17" name="55" dataDxfId="363">
      <calculatedColumnFormula>OFFSET($B$106,$D223-1,Q$221,1,1)</calculatedColumnFormula>
    </tableColumn>
    <tableColumn id="18" name="60" dataDxfId="362">
      <calculatedColumnFormula>OFFSET($B$106,$D223-1,R$221,1,1)</calculatedColumnFormula>
    </tableColumn>
    <tableColumn id="19" name="65" dataDxfId="361">
      <calculatedColumnFormula>OFFSET($B$106,$D223-1,S$221,1,1)</calculatedColumnFormula>
    </tableColumn>
    <tableColumn id="20" name="70" dataDxfId="360">
      <calculatedColumnFormula>OFFSET($B$106,$D223-1,T$221,1,1)</calculatedColumnFormula>
    </tableColumn>
    <tableColumn id="21" name="75" dataDxfId="359">
      <calculatedColumnFormula>OFFSET($B$106,$D223-1,U$221,1,1)</calculatedColumnFormula>
    </tableColumn>
    <tableColumn id="22" name="80" dataDxfId="358">
      <calculatedColumnFormula>OFFSET($B$106,$D223-1,V$221,1,1)</calculatedColumnFormula>
    </tableColumn>
    <tableColumn id="23" name="85" dataDxfId="357">
      <calculatedColumnFormula>OFFSET($B$106,$D223-1,W$221,1,1)</calculatedColumnFormula>
    </tableColumn>
    <tableColumn id="24" name="90" dataDxfId="356">
      <calculatedColumnFormula>OFFSET($B$106,$D223-1,X$221,1,1)</calculatedColumnFormula>
    </tableColumn>
    <tableColumn id="25" name="95" dataDxfId="355">
      <calculatedColumnFormula>OFFSET($B$106,$D223-1,Y$221,1,1)</calculatedColumnFormula>
    </tableColumn>
    <tableColumn id="26" name="100" dataDxfId="354">
      <calculatedColumnFormula>OFFSET($B$106,$D223-1,Z$221,1,1)</calculatedColumnFormula>
    </tableColumn>
    <tableColumn id="27" name="Failure Probability" dataDxfId="353">
      <calculatedColumnFormula>SUMPRODUCT(F223:Z223,FailureForCPU!E$17:Y$17)</calculatedColumnFormula>
    </tableColumn>
    <tableColumn id="28" name="Expected Failures" dataDxfId="352">
      <calculatedColumnFormula>AA223*C223</calculatedColumnFormula>
    </tableColumn>
    <tableColumn id="29" name="Expected Success" dataDxfId="351">
      <calculatedColumnFormula>C223-AB223</calculatedColumnFormula>
    </tableColumn>
    <tableColumn id="30" name="Validate" dataDxfId="350">
      <calculatedColumnFormula>SUM(F223:Z223)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7" name="Table41318" displayName="Table41318" ref="A190:AD214" totalsRowShown="0" headerRowDxfId="349" dataDxfId="348">
  <autoFilter ref="A190:AD214">
    <filterColumn colId="29"/>
  </autoFilter>
  <tableColumns count="30">
    <tableColumn id="1" name="Hour of Day" dataDxfId="347"/>
    <tableColumn id="2" name="Current EPH" dataDxfId="346">
      <calculatedColumnFormula>B3</calculatedColumnFormula>
    </tableColumn>
    <tableColumn id="3" name="Projected EPH" dataDxfId="345">
      <calculatedColumnFormula>$B$188*B191</calculatedColumnFormula>
    </tableColumn>
    <tableColumn id="5" name="Position of Closest EPH Value" dataDxfId="344">
      <calculatedColumnFormula array="1">MATCH(MIN(ABS(ServerTypeA!$A$106:$A$165-$C191)),ABS(ServerTypeA!$A$106:$A$165-$C191),0)</calculatedColumnFormula>
    </tableColumn>
    <tableColumn id="4" name="Closest Predicted EPH Value" dataDxfId="343">
      <calculatedColumnFormula array="1">INDEX(ServerTypeA!$A$106:$A$165,MATCH(MIN(ABS(ServerTypeA!$A$106:$A$165-$C191)),ABS(ServerTypeA!$A$106:$A$165-$C191),0))</calculatedColumnFormula>
    </tableColumn>
    <tableColumn id="6" name="0" dataDxfId="342">
      <calculatedColumnFormula>OFFSET($B$106,$D191-1,F$221,1,1)</calculatedColumnFormula>
    </tableColumn>
    <tableColumn id="7" name="5" dataDxfId="341">
      <calculatedColumnFormula>OFFSET($B$106,$D191-1,G$221,1,1)</calculatedColumnFormula>
    </tableColumn>
    <tableColumn id="8" name="10" dataDxfId="340">
      <calculatedColumnFormula>OFFSET($B$106,$D191-1,H$221,1,1)</calculatedColumnFormula>
    </tableColumn>
    <tableColumn id="9" name="15" dataDxfId="339">
      <calculatedColumnFormula>OFFSET($B$106,$D191-1,I$221,1,1)</calculatedColumnFormula>
    </tableColumn>
    <tableColumn id="10" name="20" dataDxfId="338">
      <calculatedColumnFormula>OFFSET($B$106,$D191-1,J$221,1,1)</calculatedColumnFormula>
    </tableColumn>
    <tableColumn id="11" name="25" dataDxfId="337">
      <calculatedColumnFormula>OFFSET($B$106,$D191-1,K$221,1,1)</calculatedColumnFormula>
    </tableColumn>
    <tableColumn id="12" name="30" dataDxfId="336">
      <calculatedColumnFormula>OFFSET($B$106,$D191-1,L$221,1,1)</calculatedColumnFormula>
    </tableColumn>
    <tableColumn id="13" name="35" dataDxfId="335">
      <calculatedColumnFormula>OFFSET($B$106,$D191-1,M$221,1,1)</calculatedColumnFormula>
    </tableColumn>
    <tableColumn id="14" name="40" dataDxfId="334">
      <calculatedColumnFormula>OFFSET($B$106,$D191-1,N$221,1,1)</calculatedColumnFormula>
    </tableColumn>
    <tableColumn id="15" name="45" dataDxfId="333">
      <calculatedColumnFormula>OFFSET($B$106,$D191-1,O$221,1,1)</calculatedColumnFormula>
    </tableColumn>
    <tableColumn id="16" name="50" dataDxfId="332">
      <calculatedColumnFormula>OFFSET($B$106,$D191-1,P$221,1,1)</calculatedColumnFormula>
    </tableColumn>
    <tableColumn id="17" name="55" dataDxfId="331">
      <calculatedColumnFormula>OFFSET($B$106,$D191-1,Q$221,1,1)</calculatedColumnFormula>
    </tableColumn>
    <tableColumn id="18" name="60" dataDxfId="330">
      <calculatedColumnFormula>OFFSET($B$106,$D191-1,R$221,1,1)</calculatedColumnFormula>
    </tableColumn>
    <tableColumn id="19" name="65" dataDxfId="329">
      <calculatedColumnFormula>OFFSET($B$106,$D191-1,S$221,1,1)</calculatedColumnFormula>
    </tableColumn>
    <tableColumn id="20" name="70" dataDxfId="328">
      <calculatedColumnFormula>OFFSET($B$106,$D191-1,T$221,1,1)</calculatedColumnFormula>
    </tableColumn>
    <tableColumn id="21" name="75" dataDxfId="327">
      <calculatedColumnFormula>OFFSET($B$106,$D191-1,U$221,1,1)</calculatedColumnFormula>
    </tableColumn>
    <tableColumn id="22" name="80" dataDxfId="326">
      <calculatedColumnFormula>OFFSET($B$106,$D191-1,V$221,1,1)</calculatedColumnFormula>
    </tableColumn>
    <tableColumn id="23" name="85" dataDxfId="325">
      <calculatedColumnFormula>OFFSET($B$106,$D191-1,W$221,1,1)</calculatedColumnFormula>
    </tableColumn>
    <tableColumn id="24" name="90" dataDxfId="324">
      <calculatedColumnFormula>OFFSET($B$106,$D191-1,X$221,1,1)</calculatedColumnFormula>
    </tableColumn>
    <tableColumn id="25" name="95" dataDxfId="323">
      <calculatedColumnFormula>OFFSET($B$106,$D191-1,Y$221,1,1)</calculatedColumnFormula>
    </tableColumn>
    <tableColumn id="26" name="100" dataDxfId="322">
      <calculatedColumnFormula>OFFSET($B$106,$D191-1,Z$221,1,1)</calculatedColumnFormula>
    </tableColumn>
    <tableColumn id="27" name="Failure Probability" dataDxfId="321">
      <calculatedColumnFormula>SUMPRODUCT(F191:Z191,FailureForCPU!E$17:Y$17)</calculatedColumnFormula>
    </tableColumn>
    <tableColumn id="28" name="Expected Failures" dataDxfId="320">
      <calculatedColumnFormula>AA191*C191</calculatedColumnFormula>
    </tableColumn>
    <tableColumn id="29" name="Expected Success" dataDxfId="319">
      <calculatedColumnFormula>C191-AB191</calculatedColumnFormula>
    </tableColumn>
    <tableColumn id="30" name="Column1" dataDxfId="318">
      <calculatedColumnFormula>SUM(F191:Z191)</calculatedColumnFormula>
    </tableColumn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4" name="Table4135" displayName="Table4135" ref="A254:AD278" totalsRowShown="0" headerRowDxfId="317" dataDxfId="316">
  <autoFilter ref="A254:AD278"/>
  <tableColumns count="30">
    <tableColumn id="1" name="Hour of Day" dataDxfId="315"/>
    <tableColumn id="2" name="Current EPH" dataDxfId="165">
      <calculatedColumnFormula>B191</calculatedColumnFormula>
    </tableColumn>
    <tableColumn id="3" name="Projected EPH" dataDxfId="162">
      <calculatedColumnFormula>$B$252*B255</calculatedColumnFormula>
    </tableColumn>
    <tableColumn id="5" name="Position of Closest EPH Value" dataDxfId="314">
      <calculatedColumnFormula array="1">MATCH(MIN(ABS(ServerTypeA!$A$106:$A$165-$C255)),ABS(ServerTypeA!$A$106:$A$165-$C255),0)</calculatedColumnFormula>
    </tableColumn>
    <tableColumn id="4" name="Closest Predicted EPH Value" dataDxfId="313">
      <calculatedColumnFormula array="1">INDEX(ServerTypeA!$A$106:$A$165,MATCH(MIN(ABS(ServerTypeA!$A$106:$A$165-$C255)),ABS(ServerTypeA!$A$106:$A$165-$C255),0))</calculatedColumnFormula>
    </tableColumn>
    <tableColumn id="6" name="0" dataDxfId="312">
      <calculatedColumnFormula>OFFSET($B$106,$D255-1,F$221,1,1)</calculatedColumnFormula>
    </tableColumn>
    <tableColumn id="7" name="5" dataDxfId="311">
      <calculatedColumnFormula>OFFSET($B$106,$D255-1,G$221,1,1)</calculatedColumnFormula>
    </tableColumn>
    <tableColumn id="8" name="10" dataDxfId="310">
      <calculatedColumnFormula>OFFSET($B$106,$D255-1,H$221,1,1)</calculatedColumnFormula>
    </tableColumn>
    <tableColumn id="9" name="15" dataDxfId="309">
      <calculatedColumnFormula>OFFSET($B$106,$D255-1,I$221,1,1)</calculatedColumnFormula>
    </tableColumn>
    <tableColumn id="10" name="20" dataDxfId="308">
      <calculatedColumnFormula>OFFSET($B$106,$D255-1,J$221,1,1)</calculatedColumnFormula>
    </tableColumn>
    <tableColumn id="11" name="25" dataDxfId="307">
      <calculatedColumnFormula>OFFSET($B$106,$D255-1,K$221,1,1)</calculatedColumnFormula>
    </tableColumn>
    <tableColumn id="12" name="30" dataDxfId="306">
      <calculatedColumnFormula>OFFSET($B$106,$D255-1,L$221,1,1)</calculatedColumnFormula>
    </tableColumn>
    <tableColumn id="13" name="35" dataDxfId="305">
      <calculatedColumnFormula>OFFSET($B$106,$D255-1,M$221,1,1)</calculatedColumnFormula>
    </tableColumn>
    <tableColumn id="14" name="40" dataDxfId="304">
      <calculatedColumnFormula>OFFSET($B$106,$D255-1,N$221,1,1)</calculatedColumnFormula>
    </tableColumn>
    <tableColumn id="15" name="45" dataDxfId="303">
      <calculatedColumnFormula>OFFSET($B$106,$D255-1,O$221,1,1)</calculatedColumnFormula>
    </tableColumn>
    <tableColumn id="16" name="50" dataDxfId="302">
      <calculatedColumnFormula>OFFSET($B$106,$D255-1,P$221,1,1)</calculatedColumnFormula>
    </tableColumn>
    <tableColumn id="17" name="55" dataDxfId="301">
      <calculatedColumnFormula>OFFSET($B$106,$D255-1,Q$221,1,1)</calculatedColumnFormula>
    </tableColumn>
    <tableColumn id="18" name="60" dataDxfId="300">
      <calculatedColumnFormula>OFFSET($B$106,$D255-1,R$221,1,1)</calculatedColumnFormula>
    </tableColumn>
    <tableColumn id="19" name="65" dataDxfId="299">
      <calculatedColumnFormula>OFFSET($B$106,$D255-1,S$221,1,1)</calculatedColumnFormula>
    </tableColumn>
    <tableColumn id="20" name="70" dataDxfId="298">
      <calculatedColumnFormula>OFFSET($B$106,$D255-1,T$221,1,1)</calculatedColumnFormula>
    </tableColumn>
    <tableColumn id="21" name="75" dataDxfId="297">
      <calculatedColumnFormula>OFFSET($B$106,$D255-1,U$221,1,1)</calculatedColumnFormula>
    </tableColumn>
    <tableColumn id="22" name="80" dataDxfId="296">
      <calculatedColumnFormula>OFFSET($B$106,$D255-1,V$221,1,1)</calculatedColumnFormula>
    </tableColumn>
    <tableColumn id="23" name="85" dataDxfId="295">
      <calculatedColumnFormula>OFFSET($B$106,$D255-1,W$221,1,1)</calculatedColumnFormula>
    </tableColumn>
    <tableColumn id="24" name="90" dataDxfId="294">
      <calculatedColumnFormula>OFFSET($B$106,$D255-1,X$221,1,1)</calculatedColumnFormula>
    </tableColumn>
    <tableColumn id="25" name="95" dataDxfId="293">
      <calculatedColumnFormula>OFFSET($B$106,$D255-1,Y$221,1,1)</calculatedColumnFormula>
    </tableColumn>
    <tableColumn id="26" name="100" dataDxfId="292">
      <calculatedColumnFormula>OFFSET($B$106,$D255-1,Z$221,1,1)</calculatedColumnFormula>
    </tableColumn>
    <tableColumn id="27" name="Failure Probability" dataDxfId="291">
      <calculatedColumnFormula>SUMPRODUCT(F255:Z255,FailureForCPU!E$17:Y$17)</calculatedColumnFormula>
    </tableColumn>
    <tableColumn id="28" name="Expected Failures" dataDxfId="290">
      <calculatedColumnFormula>AA255*C255</calculatedColumnFormula>
    </tableColumn>
    <tableColumn id="29" name="Expected Success" dataDxfId="289">
      <calculatedColumnFormula>C255-AB255</calculatedColumnFormula>
    </tableColumn>
    <tableColumn id="30" name="Validate" dataDxfId="288">
      <calculatedColumnFormula>SUM(F255:Z255)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5" name="Table41356" displayName="Table41356" ref="A286:AD310" totalsRowShown="0" headerRowDxfId="287" dataDxfId="286">
  <autoFilter ref="A286:AD310"/>
  <tableColumns count="30">
    <tableColumn id="1" name="Hour of Day" dataDxfId="285"/>
    <tableColumn id="2" name="Current EPH" dataDxfId="164">
      <calculatedColumnFormula>B191</calculatedColumnFormula>
    </tableColumn>
    <tableColumn id="3" name="Projected EPH" dataDxfId="161">
      <calculatedColumnFormula>$B$284*B287</calculatedColumnFormula>
    </tableColumn>
    <tableColumn id="5" name="Position of Closest EPH Value" dataDxfId="284">
      <calculatedColumnFormula array="1">MATCH(MIN(ABS(ServerTypeA!$A$106:$A$165-$C287)),ABS(ServerTypeA!$A$106:$A$165-$C287),0)</calculatedColumnFormula>
    </tableColumn>
    <tableColumn id="4" name="Closest Predicted EPH Value" dataDxfId="283">
      <calculatedColumnFormula array="1">INDEX(ServerTypeA!$A$106:$A$165,MATCH(MIN(ABS(ServerTypeA!$A$106:$A$165-$C287)),ABS(ServerTypeA!$A$106:$A$165-$C287),0))</calculatedColumnFormula>
    </tableColumn>
    <tableColumn id="6" name="0" dataDxfId="282">
      <calculatedColumnFormula>OFFSET($B$106,$D287-1,F$221,1,1)</calculatedColumnFormula>
    </tableColumn>
    <tableColumn id="7" name="5" dataDxfId="281">
      <calculatedColumnFormula>OFFSET($B$106,$D287-1,G$221,1,1)</calculatedColumnFormula>
    </tableColumn>
    <tableColumn id="8" name="10" dataDxfId="280">
      <calculatedColumnFormula>OFFSET($B$106,$D287-1,H$221,1,1)</calculatedColumnFormula>
    </tableColumn>
    <tableColumn id="9" name="15" dataDxfId="279">
      <calculatedColumnFormula>OFFSET($B$106,$D287-1,I$221,1,1)</calculatedColumnFormula>
    </tableColumn>
    <tableColumn id="10" name="20" dataDxfId="278">
      <calculatedColumnFormula>OFFSET($B$106,$D287-1,J$221,1,1)</calculatedColumnFormula>
    </tableColumn>
    <tableColumn id="11" name="25" dataDxfId="277">
      <calculatedColumnFormula>OFFSET($B$106,$D287-1,K$221,1,1)</calculatedColumnFormula>
    </tableColumn>
    <tableColumn id="12" name="30" dataDxfId="276">
      <calculatedColumnFormula>OFFSET($B$106,$D287-1,L$221,1,1)</calculatedColumnFormula>
    </tableColumn>
    <tableColumn id="13" name="35" dataDxfId="275">
      <calculatedColumnFormula>OFFSET($B$106,$D287-1,M$221,1,1)</calculatedColumnFormula>
    </tableColumn>
    <tableColumn id="14" name="40" dataDxfId="274">
      <calculatedColumnFormula>OFFSET($B$106,$D287-1,N$221,1,1)</calculatedColumnFormula>
    </tableColumn>
    <tableColumn id="15" name="45" dataDxfId="273">
      <calculatedColumnFormula>OFFSET($B$106,$D287-1,O$221,1,1)</calculatedColumnFormula>
    </tableColumn>
    <tableColumn id="16" name="50" dataDxfId="272">
      <calculatedColumnFormula>OFFSET($B$106,$D287-1,P$221,1,1)</calculatedColumnFormula>
    </tableColumn>
    <tableColumn id="17" name="55" dataDxfId="271">
      <calculatedColumnFormula>OFFSET($B$106,$D287-1,Q$221,1,1)</calculatedColumnFormula>
    </tableColumn>
    <tableColumn id="18" name="60" dataDxfId="270">
      <calculatedColumnFormula>OFFSET($B$106,$D287-1,R$221,1,1)</calculatedColumnFormula>
    </tableColumn>
    <tableColumn id="19" name="65" dataDxfId="269">
      <calculatedColumnFormula>OFFSET($B$106,$D287-1,S$221,1,1)</calculatedColumnFormula>
    </tableColumn>
    <tableColumn id="20" name="70" dataDxfId="268">
      <calculatedColumnFormula>OFFSET($B$106,$D287-1,T$221,1,1)</calculatedColumnFormula>
    </tableColumn>
    <tableColumn id="21" name="75" dataDxfId="267">
      <calculatedColumnFormula>OFFSET($B$106,$D287-1,U$221,1,1)</calculatedColumnFormula>
    </tableColumn>
    <tableColumn id="22" name="80" dataDxfId="266">
      <calculatedColumnFormula>OFFSET($B$106,$D287-1,V$221,1,1)</calculatedColumnFormula>
    </tableColumn>
    <tableColumn id="23" name="85" dataDxfId="265">
      <calculatedColumnFormula>OFFSET($B$106,$D287-1,W$221,1,1)</calculatedColumnFormula>
    </tableColumn>
    <tableColumn id="24" name="90" dataDxfId="264">
      <calculatedColumnFormula>OFFSET($B$106,$D287-1,X$221,1,1)</calculatedColumnFormula>
    </tableColumn>
    <tableColumn id="25" name="95" dataDxfId="263">
      <calculatedColumnFormula>OFFSET($B$106,$D287-1,Y$221,1,1)</calculatedColumnFormula>
    </tableColumn>
    <tableColumn id="26" name="100" dataDxfId="262">
      <calculatedColumnFormula>OFFSET($B$106,$D287-1,Z$221,1,1)</calculatedColumnFormula>
    </tableColumn>
    <tableColumn id="27" name="Failure Probability" dataDxfId="261">
      <calculatedColumnFormula>SUMPRODUCT(F287:Z287,FailureForCPU!E$17:Y$17)</calculatedColumnFormula>
    </tableColumn>
    <tableColumn id="28" name="Expected Failures" dataDxfId="260">
      <calculatedColumnFormula>AA287*C287</calculatedColumnFormula>
    </tableColumn>
    <tableColumn id="29" name="Expected Success" dataDxfId="259">
      <calculatedColumnFormula>C287-AB287</calculatedColumnFormula>
    </tableColumn>
    <tableColumn id="30" name="Validate" dataDxfId="258">
      <calculatedColumnFormula>SUM(F287:Z287)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8" name="Table413569" displayName="Table413569" ref="A318:AD342" totalsRowShown="0" headerRowDxfId="257" dataDxfId="256">
  <autoFilter ref="A318:AD342"/>
  <tableColumns count="30">
    <tableColumn id="1" name="Hour of Day" dataDxfId="255"/>
    <tableColumn id="2" name="Current EPH" dataDxfId="163">
      <calculatedColumnFormula>B191</calculatedColumnFormula>
    </tableColumn>
    <tableColumn id="3" name="Projected EPH" dataDxfId="160">
      <calculatedColumnFormula>$B$316*B319</calculatedColumnFormula>
    </tableColumn>
    <tableColumn id="5" name="Position of Closest EPH Value" dataDxfId="254">
      <calculatedColumnFormula array="1">MATCH(MIN(ABS(ServerTypeA!$A$106:$A$165-$C319)),ABS(ServerTypeA!$A$106:$A$165-$C319),0)</calculatedColumnFormula>
    </tableColumn>
    <tableColumn id="4" name="Closest Predicted EPH Value" dataDxfId="253">
      <calculatedColumnFormula array="1">INDEX(ServerTypeA!$A$106:$A$165,MATCH(MIN(ABS(ServerTypeA!$A$106:$A$165-$C319)),ABS(ServerTypeA!$A$106:$A$165-$C319),0))</calculatedColumnFormula>
    </tableColumn>
    <tableColumn id="6" name="0" dataDxfId="252">
      <calculatedColumnFormula>OFFSET($B$106,$D319-1,F$221,1,1)</calculatedColumnFormula>
    </tableColumn>
    <tableColumn id="7" name="5" dataDxfId="251">
      <calculatedColumnFormula>OFFSET($B$106,$D319-1,G$221,1,1)</calculatedColumnFormula>
    </tableColumn>
    <tableColumn id="8" name="10" dataDxfId="250">
      <calculatedColumnFormula>OFFSET($B$106,$D319-1,H$221,1,1)</calculatedColumnFormula>
    </tableColumn>
    <tableColumn id="9" name="15" dataDxfId="249">
      <calculatedColumnFormula>OFFSET($B$106,$D319-1,I$221,1,1)</calculatedColumnFormula>
    </tableColumn>
    <tableColumn id="10" name="20" dataDxfId="248">
      <calculatedColumnFormula>OFFSET($B$106,$D319-1,J$221,1,1)</calculatedColumnFormula>
    </tableColumn>
    <tableColumn id="11" name="25" dataDxfId="247">
      <calculatedColumnFormula>OFFSET($B$106,$D319-1,K$221,1,1)</calculatedColumnFormula>
    </tableColumn>
    <tableColumn id="12" name="30" dataDxfId="246">
      <calculatedColumnFormula>OFFSET($B$106,$D319-1,L$221,1,1)</calculatedColumnFormula>
    </tableColumn>
    <tableColumn id="13" name="35" dataDxfId="245">
      <calculatedColumnFormula>OFFSET($B$106,$D319-1,M$221,1,1)</calculatedColumnFormula>
    </tableColumn>
    <tableColumn id="14" name="40" dataDxfId="244">
      <calculatedColumnFormula>OFFSET($B$106,$D319-1,N$221,1,1)</calculatedColumnFormula>
    </tableColumn>
    <tableColumn id="15" name="45" dataDxfId="243">
      <calculatedColumnFormula>OFFSET($B$106,$D319-1,O$221,1,1)</calculatedColumnFormula>
    </tableColumn>
    <tableColumn id="16" name="50" dataDxfId="242">
      <calculatedColumnFormula>OFFSET($B$106,$D319-1,P$221,1,1)</calculatedColumnFormula>
    </tableColumn>
    <tableColumn id="17" name="55" dataDxfId="241">
      <calculatedColumnFormula>OFFSET($B$106,$D319-1,Q$221,1,1)</calculatedColumnFormula>
    </tableColumn>
    <tableColumn id="18" name="60" dataDxfId="240">
      <calculatedColumnFormula>OFFSET($B$106,$D319-1,R$221,1,1)</calculatedColumnFormula>
    </tableColumn>
    <tableColumn id="19" name="65" dataDxfId="239">
      <calculatedColumnFormula>OFFSET($B$106,$D319-1,S$221,1,1)</calculatedColumnFormula>
    </tableColumn>
    <tableColumn id="20" name="70" dataDxfId="238">
      <calculatedColumnFormula>OFFSET($B$106,$D319-1,T$221,1,1)</calculatedColumnFormula>
    </tableColumn>
    <tableColumn id="21" name="75" dataDxfId="237">
      <calculatedColumnFormula>OFFSET($B$106,$D319-1,U$221,1,1)</calculatedColumnFormula>
    </tableColumn>
    <tableColumn id="22" name="80" dataDxfId="236">
      <calculatedColumnFormula>OFFSET($B$106,$D319-1,V$221,1,1)</calculatedColumnFormula>
    </tableColumn>
    <tableColumn id="23" name="85" dataDxfId="235">
      <calculatedColumnFormula>OFFSET($B$106,$D319-1,W$221,1,1)</calculatedColumnFormula>
    </tableColumn>
    <tableColumn id="24" name="90" dataDxfId="234">
      <calculatedColumnFormula>OFFSET($B$106,$D319-1,X$221,1,1)</calculatedColumnFormula>
    </tableColumn>
    <tableColumn id="25" name="95" dataDxfId="233">
      <calculatedColumnFormula>OFFSET($B$106,$D319-1,Y$221,1,1)</calculatedColumnFormula>
    </tableColumn>
    <tableColumn id="26" name="100" dataDxfId="232">
      <calculatedColumnFormula>OFFSET($B$106,$D319-1,Z$221,1,1)</calculatedColumnFormula>
    </tableColumn>
    <tableColumn id="27" name="Failure Probability" dataDxfId="231">
      <calculatedColumnFormula>SUMPRODUCT(F319:Z319,FailureForCPU!E$17:Y$17)</calculatedColumnFormula>
    </tableColumn>
    <tableColumn id="28" name="Expected Failures" dataDxfId="230">
      <calculatedColumnFormula>AA319*C319</calculatedColumnFormula>
    </tableColumn>
    <tableColumn id="29" name="Expected Success" dataDxfId="229">
      <calculatedColumnFormula>C319-AB319</calculatedColumnFormula>
    </tableColumn>
    <tableColumn id="30" name="Validate" dataDxfId="228">
      <calculatedColumnFormula>SUM(F319:Z319)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3" name="Table114" displayName="Table114" ref="A2:E26" totalsRowShown="0" headerRowDxfId="227" dataDxfId="225" headerRowBorderDxfId="226">
  <autoFilter ref="A2:E26">
    <filterColumn colId="2"/>
  </autoFilter>
  <sortState ref="A3:D26">
    <sortCondition ref="A2:A26"/>
  </sortState>
  <tableColumns count="5">
    <tableColumn id="1" name="HourOfDay" dataDxfId="224"/>
    <tableColumn id="2" name="Events per hr (M)" dataDxfId="223"/>
    <tableColumn id="5" name="Log Events Per Hour" dataDxfId="222">
      <calculatedColumnFormula>LN(B3)</calculatedColumnFormula>
    </tableColumn>
    <tableColumn id="3" name="Average of log-cpu" dataDxfId="221"/>
    <tableColumn id="4" name="StdDev of log-cpu" dataDxfId="22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4" name="Table215" displayName="Table215" ref="A41:AA101" totalsRowShown="0" headerRowDxfId="219" dataDxfId="218">
  <autoFilter ref="A41:AA101">
    <filterColumn colId="3"/>
    <filterColumn colId="5"/>
    <filterColumn colId="6"/>
    <filterColumn colId="7"/>
    <filterColumn colId="8"/>
    <filterColumn colId="9"/>
    <filterColumn colId="10"/>
    <filterColumn colId="11"/>
    <filterColumn colId="12"/>
    <filterColumn colId="13"/>
    <filterColumn colId="14"/>
    <filterColumn colId="15"/>
    <filterColumn colId="16"/>
    <filterColumn colId="17"/>
    <filterColumn colId="18"/>
    <filterColumn colId="19"/>
    <filterColumn colId="20"/>
    <filterColumn colId="21"/>
    <filterColumn colId="22"/>
    <filterColumn colId="23"/>
    <filterColumn colId="24"/>
    <filterColumn colId="25"/>
    <filterColumn colId="26"/>
  </autoFilter>
  <tableColumns count="27">
    <tableColumn id="1" name="EPH(in M)" dataDxfId="217"/>
    <tableColumn id="2" name="Log-EPH" dataDxfId="216">
      <calculatedColumnFormula>LN(A42)</calculatedColumnFormula>
    </tableColumn>
    <tableColumn id="3" name="Log-CPU" dataDxfId="215">
      <calculatedColumnFormula>((A42*$C$31+$D$31)*A42+$E$31)*A42+$F$31</calculatedColumnFormula>
    </tableColumn>
    <tableColumn id="5" name="CPU" dataDxfId="214">
      <calculatedColumnFormula>EXP(C42)</calculatedColumnFormula>
    </tableColumn>
    <tableColumn id="4" name="STD of LOG-CPU" dataDxfId="213">
      <calculatedColumnFormula>$C$36*B42+$D$36</calculatedColumnFormula>
    </tableColumn>
    <tableColumn id="6" name="0.0" dataDxfId="212">
      <calculatedColumnFormula>NORMDIST(LN(F$41),$C42,$E42,TRUE)</calculatedColumnFormula>
    </tableColumn>
    <tableColumn id="7" name="2.5" dataDxfId="211">
      <calculatedColumnFormula>NORMDIST(LN(G$41),$C42,$E42,TRUE)</calculatedColumnFormula>
    </tableColumn>
    <tableColumn id="8" name="7.5" dataDxfId="210">
      <calculatedColumnFormula>NORMDIST(LN(H$41),$C42,$E42,TRUE)</calculatedColumnFormula>
    </tableColumn>
    <tableColumn id="9" name="12.5" dataDxfId="209">
      <calculatedColumnFormula>NORMDIST(LN(I$41),$C42,$E42,TRUE)</calculatedColumnFormula>
    </tableColumn>
    <tableColumn id="10" name="17.5" dataDxfId="208">
      <calculatedColumnFormula>NORMDIST(LN(J$41),$C42,$E42,TRUE)</calculatedColumnFormula>
    </tableColumn>
    <tableColumn id="11" name="21.5" dataDxfId="207">
      <calculatedColumnFormula>NORMDIST(LN(K$41),$C42,$E42,TRUE)</calculatedColumnFormula>
    </tableColumn>
    <tableColumn id="12" name="26.5" dataDxfId="206">
      <calculatedColumnFormula>NORMDIST(LN(L$41),$C42,$E42,TRUE)</calculatedColumnFormula>
    </tableColumn>
    <tableColumn id="13" name="31.5" dataDxfId="205">
      <calculatedColumnFormula>NORMDIST(LN(M$41),$C42,$E42,TRUE)</calculatedColumnFormula>
    </tableColumn>
    <tableColumn id="14" name="36.5" dataDxfId="204">
      <calculatedColumnFormula>NORMDIST(LN(N$41),$C42,$E42,TRUE)</calculatedColumnFormula>
    </tableColumn>
    <tableColumn id="15" name="41.5" dataDxfId="203">
      <calculatedColumnFormula>NORMDIST(LN(O$41),$C42,$E42,TRUE)</calculatedColumnFormula>
    </tableColumn>
    <tableColumn id="16" name="46.5" dataDxfId="202">
      <calculatedColumnFormula>NORMDIST(LN(P$41),$C42,$E42,TRUE)</calculatedColumnFormula>
    </tableColumn>
    <tableColumn id="17" name="51.5" dataDxfId="201">
      <calculatedColumnFormula>NORMDIST(LN(Q$41),$C42,$E42,TRUE)</calculatedColumnFormula>
    </tableColumn>
    <tableColumn id="18" name="56.5" dataDxfId="200">
      <calculatedColumnFormula>NORMDIST(LN(R$41),$C42,$E42,TRUE)</calculatedColumnFormula>
    </tableColumn>
    <tableColumn id="19" name="61.5" dataDxfId="199">
      <calculatedColumnFormula>NORMDIST(LN(S$41),$C42,$E42,TRUE)</calculatedColumnFormula>
    </tableColumn>
    <tableColumn id="20" name="66.5" dataDxfId="198">
      <calculatedColumnFormula>NORMDIST(LN(T$41),$C42,$E42,TRUE)</calculatedColumnFormula>
    </tableColumn>
    <tableColumn id="21" name="71.5" dataDxfId="197">
      <calculatedColumnFormula>NORMDIST(LN(U$41),$C42,$E42,TRUE)</calculatedColumnFormula>
    </tableColumn>
    <tableColumn id="22" name="76.5" dataDxfId="196">
      <calculatedColumnFormula>NORMDIST(LN(V$41),$C42,$E42,TRUE)</calculatedColumnFormula>
    </tableColumn>
    <tableColumn id="23" name="81.5" dataDxfId="195">
      <calculatedColumnFormula>NORMDIST(LN(W$41),$C42,$E42,TRUE)</calculatedColumnFormula>
    </tableColumn>
    <tableColumn id="24" name="86.5" dataDxfId="194">
      <calculatedColumnFormula>NORMDIST(LN(X$41),$C42,$E42,TRUE)</calculatedColumnFormula>
    </tableColumn>
    <tableColumn id="25" name="91.5" dataDxfId="193">
      <calculatedColumnFormula>NORMDIST(LN(Y$41),$C42,$E42,TRUE)</calculatedColumnFormula>
    </tableColumn>
    <tableColumn id="26" name="96.5" dataDxfId="192">
      <calculatedColumnFormula>NORMDIST(LN(Z$41),$C42,$E42,TRUE)</calculatedColumnFormula>
    </tableColumn>
    <tableColumn id="27" name="101.5" dataDxfId="19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5" name="Table316" displayName="Table316" ref="A105:V165" totalsRowShown="0" headerRowDxfId="190" dataDxfId="189">
  <autoFilter ref="A105:V165"/>
  <tableColumns count="22">
    <tableColumn id="1" name="EPH(in M)" dataDxfId="188"/>
    <tableColumn id="2" name="0" dataDxfId="187"/>
    <tableColumn id="3" name="5" dataDxfId="186">
      <calculatedColumnFormula>H42-G42</calculatedColumnFormula>
    </tableColumn>
    <tableColumn id="4" name="10" dataDxfId="185">
      <calculatedColumnFormula>I42-H42</calculatedColumnFormula>
    </tableColumn>
    <tableColumn id="5" name="15" dataDxfId="184">
      <calculatedColumnFormula>J42-I42</calculatedColumnFormula>
    </tableColumn>
    <tableColumn id="6" name="20" dataDxfId="183">
      <calculatedColumnFormula>K42-J42</calculatedColumnFormula>
    </tableColumn>
    <tableColumn id="7" name="25" dataDxfId="182">
      <calculatedColumnFormula>L42-K42</calculatedColumnFormula>
    </tableColumn>
    <tableColumn id="8" name="30" dataDxfId="181">
      <calculatedColumnFormula>M42-L42</calculatedColumnFormula>
    </tableColumn>
    <tableColumn id="9" name="35" dataDxfId="180">
      <calculatedColumnFormula>N42-M42</calculatedColumnFormula>
    </tableColumn>
    <tableColumn id="10" name="40" dataDxfId="179">
      <calculatedColumnFormula>O42-N42</calculatedColumnFormula>
    </tableColumn>
    <tableColumn id="11" name="45" dataDxfId="178">
      <calculatedColumnFormula>P42-O42</calculatedColumnFormula>
    </tableColumn>
    <tableColumn id="12" name="50" dataDxfId="177">
      <calculatedColumnFormula>Q42-P42</calculatedColumnFormula>
    </tableColumn>
    <tableColumn id="13" name="55" dataDxfId="176">
      <calculatedColumnFormula>R42-Q42</calculatedColumnFormula>
    </tableColumn>
    <tableColumn id="14" name="60" dataDxfId="175">
      <calculatedColumnFormula>S42-R42</calculatedColumnFormula>
    </tableColumn>
    <tableColumn id="15" name="65" dataDxfId="174">
      <calculatedColumnFormula>T42-S42</calculatedColumnFormula>
    </tableColumn>
    <tableColumn id="16" name="70" dataDxfId="173">
      <calculatedColumnFormula>U42-T42</calculatedColumnFormula>
    </tableColumn>
    <tableColumn id="17" name="75" dataDxfId="172">
      <calculatedColumnFormula>V42-U42</calculatedColumnFormula>
    </tableColumn>
    <tableColumn id="18" name="80" dataDxfId="171">
      <calculatedColumnFormula>W42-V42</calculatedColumnFormula>
    </tableColumn>
    <tableColumn id="19" name="85" dataDxfId="170">
      <calculatedColumnFormula>X42-W42</calculatedColumnFormula>
    </tableColumn>
    <tableColumn id="20" name="90" dataDxfId="169">
      <calculatedColumnFormula>Y42-X42</calculatedColumnFormula>
    </tableColumn>
    <tableColumn id="21" name="95" dataDxfId="168">
      <calculatedColumnFormula>Z42-Y42</calculatedColumnFormula>
    </tableColumn>
    <tableColumn id="22" name="100" dataDxfId="167">
      <calculatedColumnFormula>AA42-Z42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9" name="Table41310" displayName="Table41310" ref="A222:AD246" totalsRowShown="0" headerRowDxfId="129" dataDxfId="128">
  <autoFilter ref="A222:AD246"/>
  <tableColumns count="30">
    <tableColumn id="1" name="Hour of Day" dataDxfId="159"/>
    <tableColumn id="2" name="Current EPH" dataDxfId="158">
      <calculatedColumnFormula>B191</calculatedColumnFormula>
    </tableColumn>
    <tableColumn id="3" name="Projected EPH" dataDxfId="157">
      <calculatedColumnFormula>$B$220*B223</calculatedColumnFormula>
    </tableColumn>
    <tableColumn id="5" name="Position of Closest EPH Value" dataDxfId="156">
      <calculatedColumnFormula array="1">MATCH(MIN(ABS(ServerTypeA!$A$106:$A$165-$C223)),ABS(ServerTypeA!$A$106:$A$165-$C223),0)</calculatedColumnFormula>
    </tableColumn>
    <tableColumn id="4" name="Closest Predicted EPH Value" dataDxfId="155">
      <calculatedColumnFormula array="1">INDEX(ServerTypeA!$A$106:$A$165,MATCH(MIN(ABS(ServerTypeA!$A$106:$A$165-$C223)),ABS(ServerTypeA!$A$106:$A$165-$C223),0))</calculatedColumnFormula>
    </tableColumn>
    <tableColumn id="6" name="0" dataDxfId="154">
      <calculatedColumnFormula>OFFSET($B$106,$D223-1,F$221,1,1)</calculatedColumnFormula>
    </tableColumn>
    <tableColumn id="7" name="5" dataDxfId="153">
      <calculatedColumnFormula>OFFSET($B$106,$D223-1,G$221,1,1)</calculatedColumnFormula>
    </tableColumn>
    <tableColumn id="8" name="10" dataDxfId="152">
      <calculatedColumnFormula>OFFSET($B$106,$D223-1,H$221,1,1)</calculatedColumnFormula>
    </tableColumn>
    <tableColumn id="9" name="15" dataDxfId="151">
      <calculatedColumnFormula>OFFSET($B$106,$D223-1,I$221,1,1)</calculatedColumnFormula>
    </tableColumn>
    <tableColumn id="10" name="20" dataDxfId="150">
      <calculatedColumnFormula>OFFSET($B$106,$D223-1,J$221,1,1)</calculatedColumnFormula>
    </tableColumn>
    <tableColumn id="11" name="25" dataDxfId="149">
      <calculatedColumnFormula>OFFSET($B$106,$D223-1,K$221,1,1)</calculatedColumnFormula>
    </tableColumn>
    <tableColumn id="12" name="30" dataDxfId="148">
      <calculatedColumnFormula>OFFSET($B$106,$D223-1,L$221,1,1)</calculatedColumnFormula>
    </tableColumn>
    <tableColumn id="13" name="35" dataDxfId="147">
      <calculatedColumnFormula>OFFSET($B$106,$D223-1,M$221,1,1)</calculatedColumnFormula>
    </tableColumn>
    <tableColumn id="14" name="40" dataDxfId="146">
      <calculatedColumnFormula>OFFSET($B$106,$D223-1,N$221,1,1)</calculatedColumnFormula>
    </tableColumn>
    <tableColumn id="15" name="45" dataDxfId="145">
      <calculatedColumnFormula>OFFSET($B$106,$D223-1,O$221,1,1)</calculatedColumnFormula>
    </tableColumn>
    <tableColumn id="16" name="50" dataDxfId="144">
      <calculatedColumnFormula>OFFSET($B$106,$D223-1,P$221,1,1)</calculatedColumnFormula>
    </tableColumn>
    <tableColumn id="17" name="55" dataDxfId="143">
      <calculatedColumnFormula>OFFSET($B$106,$D223-1,Q$221,1,1)</calculatedColumnFormula>
    </tableColumn>
    <tableColumn id="18" name="60" dataDxfId="142">
      <calculatedColumnFormula>OFFSET($B$106,$D223-1,R$221,1,1)</calculatedColumnFormula>
    </tableColumn>
    <tableColumn id="19" name="65" dataDxfId="141">
      <calculatedColumnFormula>OFFSET($B$106,$D223-1,S$221,1,1)</calculatedColumnFormula>
    </tableColumn>
    <tableColumn id="20" name="70" dataDxfId="140">
      <calculatedColumnFormula>OFFSET($B$106,$D223-1,T$221,1,1)</calculatedColumnFormula>
    </tableColumn>
    <tableColumn id="21" name="75" dataDxfId="139">
      <calculatedColumnFormula>OFFSET($B$106,$D223-1,U$221,1,1)</calculatedColumnFormula>
    </tableColumn>
    <tableColumn id="22" name="80" dataDxfId="138">
      <calculatedColumnFormula>OFFSET($B$106,$D223-1,V$221,1,1)</calculatedColumnFormula>
    </tableColumn>
    <tableColumn id="23" name="85" dataDxfId="137">
      <calculatedColumnFormula>OFFSET($B$106,$D223-1,W$221,1,1)</calculatedColumnFormula>
    </tableColumn>
    <tableColumn id="24" name="90" dataDxfId="136">
      <calculatedColumnFormula>OFFSET($B$106,$D223-1,X$221,1,1)</calculatedColumnFormula>
    </tableColumn>
    <tableColumn id="25" name="95" dataDxfId="135">
      <calculatedColumnFormula>OFFSET($B$106,$D223-1,Y$221,1,1)</calculatedColumnFormula>
    </tableColumn>
    <tableColumn id="26" name="100" dataDxfId="134">
      <calculatedColumnFormula>OFFSET($B$106,$D223-1,Z$221,1,1)</calculatedColumnFormula>
    </tableColumn>
    <tableColumn id="27" name="Failure Probability" dataDxfId="133">
      <calculatedColumnFormula>SUMPRODUCT(F223:Z223,FailureForCPU!E$17:Y$17)</calculatedColumnFormula>
    </tableColumn>
    <tableColumn id="28" name="Expected Failures" dataDxfId="132">
      <calculatedColumnFormula>AA223*C223</calculatedColumnFormula>
    </tableColumn>
    <tableColumn id="29" name="Expected Success" dataDxfId="131">
      <calculatedColumnFormula>C223-AB223</calculatedColumnFormula>
    </tableColumn>
    <tableColumn id="30" name="Validate" dataDxfId="130">
      <calculatedColumnFormula>SUM(F223:Z223)</calculatedColumnFormula>
    </tableColumn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0" name="Table4131811" displayName="Table4131811" ref="A190:AD214" totalsRowShown="0" headerRowDxfId="97" dataDxfId="96">
  <autoFilter ref="A190:AD214"/>
  <tableColumns count="30">
    <tableColumn id="1" name="Hour of Day" dataDxfId="127"/>
    <tableColumn id="2" name="Current EPH" dataDxfId="126">
      <calculatedColumnFormula>B3</calculatedColumnFormula>
    </tableColumn>
    <tableColumn id="3" name="Projected EPH" dataDxfId="125">
      <calculatedColumnFormula>$B$188*B191</calculatedColumnFormula>
    </tableColumn>
    <tableColumn id="5" name="Position of Closest EPH Value" dataDxfId="124">
      <calculatedColumnFormula array="1">MATCH(MIN(ABS(ServerTypeA!$A$106:$A$165-$C191)),ABS(ServerTypeA!$A$106:$A$165-$C191),0)</calculatedColumnFormula>
    </tableColumn>
    <tableColumn id="4" name="Closest Predicted EPH Value" dataDxfId="123">
      <calculatedColumnFormula array="1">INDEX(ServerTypeA!$A$106:$A$165,MATCH(MIN(ABS(ServerTypeA!$A$106:$A$165-$C191)),ABS(ServerTypeA!$A$106:$A$165-$C191),0))</calculatedColumnFormula>
    </tableColumn>
    <tableColumn id="6" name="0" dataDxfId="122">
      <calculatedColumnFormula>OFFSET($B$106,$D191-1,F$221,1,1)</calculatedColumnFormula>
    </tableColumn>
    <tableColumn id="7" name="5" dataDxfId="121">
      <calculatedColumnFormula>OFFSET($B$106,$D191-1,G$221,1,1)</calculatedColumnFormula>
    </tableColumn>
    <tableColumn id="8" name="10" dataDxfId="120">
      <calculatedColumnFormula>OFFSET($B$106,$D191-1,H$221,1,1)</calculatedColumnFormula>
    </tableColumn>
    <tableColumn id="9" name="15" dataDxfId="119">
      <calculatedColumnFormula>OFFSET($B$106,$D191-1,I$221,1,1)</calculatedColumnFormula>
    </tableColumn>
    <tableColumn id="10" name="20" dataDxfId="118">
      <calculatedColumnFormula>OFFSET($B$106,$D191-1,J$221,1,1)</calculatedColumnFormula>
    </tableColumn>
    <tableColumn id="11" name="25" dataDxfId="117">
      <calculatedColumnFormula>OFFSET($B$106,$D191-1,K$221,1,1)</calculatedColumnFormula>
    </tableColumn>
    <tableColumn id="12" name="30" dataDxfId="116">
      <calculatedColumnFormula>OFFSET($B$106,$D191-1,L$221,1,1)</calculatedColumnFormula>
    </tableColumn>
    <tableColumn id="13" name="35" dataDxfId="115">
      <calculatedColumnFormula>OFFSET($B$106,$D191-1,M$221,1,1)</calculatedColumnFormula>
    </tableColumn>
    <tableColumn id="14" name="40" dataDxfId="114">
      <calculatedColumnFormula>OFFSET($B$106,$D191-1,N$221,1,1)</calculatedColumnFormula>
    </tableColumn>
    <tableColumn id="15" name="45" dataDxfId="113">
      <calculatedColumnFormula>OFFSET($B$106,$D191-1,O$221,1,1)</calculatedColumnFormula>
    </tableColumn>
    <tableColumn id="16" name="50" dataDxfId="112">
      <calculatedColumnFormula>OFFSET($B$106,$D191-1,P$221,1,1)</calculatedColumnFormula>
    </tableColumn>
    <tableColumn id="17" name="55" dataDxfId="111">
      <calculatedColumnFormula>OFFSET($B$106,$D191-1,Q$221,1,1)</calculatedColumnFormula>
    </tableColumn>
    <tableColumn id="18" name="60" dataDxfId="110">
      <calculatedColumnFormula>OFFSET($B$106,$D191-1,R$221,1,1)</calculatedColumnFormula>
    </tableColumn>
    <tableColumn id="19" name="65" dataDxfId="109">
      <calculatedColumnFormula>OFFSET($B$106,$D191-1,S$221,1,1)</calculatedColumnFormula>
    </tableColumn>
    <tableColumn id="20" name="70" dataDxfId="108">
      <calculatedColumnFormula>OFFSET($B$106,$D191-1,T$221,1,1)</calculatedColumnFormula>
    </tableColumn>
    <tableColumn id="21" name="75" dataDxfId="107">
      <calculatedColumnFormula>OFFSET($B$106,$D191-1,U$221,1,1)</calculatedColumnFormula>
    </tableColumn>
    <tableColumn id="22" name="80" dataDxfId="106">
      <calculatedColumnFormula>OFFSET($B$106,$D191-1,V$221,1,1)</calculatedColumnFormula>
    </tableColumn>
    <tableColumn id="23" name="85" dataDxfId="105">
      <calculatedColumnFormula>OFFSET($B$106,$D191-1,W$221,1,1)</calculatedColumnFormula>
    </tableColumn>
    <tableColumn id="24" name="90" dataDxfId="104">
      <calculatedColumnFormula>OFFSET($B$106,$D191-1,X$221,1,1)</calculatedColumnFormula>
    </tableColumn>
    <tableColumn id="25" name="95" dataDxfId="103">
      <calculatedColumnFormula>OFFSET($B$106,$D191-1,Y$221,1,1)</calculatedColumnFormula>
    </tableColumn>
    <tableColumn id="26" name="100" dataDxfId="102">
      <calculatedColumnFormula>OFFSET($B$106,$D191-1,Z$221,1,1)</calculatedColumnFormula>
    </tableColumn>
    <tableColumn id="27" name="Failure Probability" dataDxfId="101">
      <calculatedColumnFormula>SUMPRODUCT(F191:Z191,FailureForCPU!E$17:Y$17)</calculatedColumnFormula>
    </tableColumn>
    <tableColumn id="28" name="Expected Failures" dataDxfId="100">
      <calculatedColumnFormula>AA191*C191</calculatedColumnFormula>
    </tableColumn>
    <tableColumn id="29" name="Expected Success" dataDxfId="99">
      <calculatedColumnFormula>C191-AB191</calculatedColumnFormula>
    </tableColumn>
    <tableColumn id="30" name="Column1" dataDxfId="98">
      <calculatedColumnFormula>SUM(F191:Z191)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1" name="Table413512" displayName="Table413512" ref="A254:AD278" totalsRowShown="0" headerRowDxfId="65" dataDxfId="64">
  <autoFilter ref="A254:AD278"/>
  <tableColumns count="30">
    <tableColumn id="1" name="Hour of Day" dataDxfId="95"/>
    <tableColumn id="2" name="Current EPH" dataDxfId="94">
      <calculatedColumnFormula>B191</calculatedColumnFormula>
    </tableColumn>
    <tableColumn id="3" name="Projected EPH" dataDxfId="93">
      <calculatedColumnFormula>$B$252*B255</calculatedColumnFormula>
    </tableColumn>
    <tableColumn id="5" name="Position of Closest EPH Value" dataDxfId="92">
      <calculatedColumnFormula array="1">MATCH(MIN(ABS(ServerTypeA!$A$106:$A$165-$C255)),ABS(ServerTypeA!$A$106:$A$165-$C255),0)</calculatedColumnFormula>
    </tableColumn>
    <tableColumn id="4" name="Closest Predicted EPH Value" dataDxfId="91">
      <calculatedColumnFormula array="1">INDEX(ServerTypeA!$A$106:$A$165,MATCH(MIN(ABS(ServerTypeA!$A$106:$A$165-$C255)),ABS(ServerTypeA!$A$106:$A$165-$C255),0))</calculatedColumnFormula>
    </tableColumn>
    <tableColumn id="6" name="0" dataDxfId="90">
      <calculatedColumnFormula>OFFSET($B$106,$D255-1,F$221,1,1)</calculatedColumnFormula>
    </tableColumn>
    <tableColumn id="7" name="5" dataDxfId="89">
      <calculatedColumnFormula>OFFSET($B$106,$D255-1,G$221,1,1)</calculatedColumnFormula>
    </tableColumn>
    <tableColumn id="8" name="10" dataDxfId="88">
      <calculatedColumnFormula>OFFSET($B$106,$D255-1,H$221,1,1)</calculatedColumnFormula>
    </tableColumn>
    <tableColumn id="9" name="15" dataDxfId="87">
      <calculatedColumnFormula>OFFSET($B$106,$D255-1,I$221,1,1)</calculatedColumnFormula>
    </tableColumn>
    <tableColumn id="10" name="20" dataDxfId="86">
      <calculatedColumnFormula>OFFSET($B$106,$D255-1,J$221,1,1)</calculatedColumnFormula>
    </tableColumn>
    <tableColumn id="11" name="25" dataDxfId="85">
      <calculatedColumnFormula>OFFSET($B$106,$D255-1,K$221,1,1)</calculatedColumnFormula>
    </tableColumn>
    <tableColumn id="12" name="30" dataDxfId="84">
      <calculatedColumnFormula>OFFSET($B$106,$D255-1,L$221,1,1)</calculatedColumnFormula>
    </tableColumn>
    <tableColumn id="13" name="35" dataDxfId="83">
      <calculatedColumnFormula>OFFSET($B$106,$D255-1,M$221,1,1)</calculatedColumnFormula>
    </tableColumn>
    <tableColumn id="14" name="40" dataDxfId="82">
      <calculatedColumnFormula>OFFSET($B$106,$D255-1,N$221,1,1)</calculatedColumnFormula>
    </tableColumn>
    <tableColumn id="15" name="45" dataDxfId="81">
      <calculatedColumnFormula>OFFSET($B$106,$D255-1,O$221,1,1)</calculatedColumnFormula>
    </tableColumn>
    <tableColumn id="16" name="50" dataDxfId="80">
      <calculatedColumnFormula>OFFSET($B$106,$D255-1,P$221,1,1)</calculatedColumnFormula>
    </tableColumn>
    <tableColumn id="17" name="55" dataDxfId="79">
      <calculatedColumnFormula>OFFSET($B$106,$D255-1,Q$221,1,1)</calculatedColumnFormula>
    </tableColumn>
    <tableColumn id="18" name="60" dataDxfId="78">
      <calculatedColumnFormula>OFFSET($B$106,$D255-1,R$221,1,1)</calculatedColumnFormula>
    </tableColumn>
    <tableColumn id="19" name="65" dataDxfId="77">
      <calculatedColumnFormula>OFFSET($B$106,$D255-1,S$221,1,1)</calculatedColumnFormula>
    </tableColumn>
    <tableColumn id="20" name="70" dataDxfId="76">
      <calculatedColumnFormula>OFFSET($B$106,$D255-1,T$221,1,1)</calculatedColumnFormula>
    </tableColumn>
    <tableColumn id="21" name="75" dataDxfId="75">
      <calculatedColumnFormula>OFFSET($B$106,$D255-1,U$221,1,1)</calculatedColumnFormula>
    </tableColumn>
    <tableColumn id="22" name="80" dataDxfId="74">
      <calculatedColumnFormula>OFFSET($B$106,$D255-1,V$221,1,1)</calculatedColumnFormula>
    </tableColumn>
    <tableColumn id="23" name="85" dataDxfId="73">
      <calculatedColumnFormula>OFFSET($B$106,$D255-1,W$221,1,1)</calculatedColumnFormula>
    </tableColumn>
    <tableColumn id="24" name="90" dataDxfId="72">
      <calculatedColumnFormula>OFFSET($B$106,$D255-1,X$221,1,1)</calculatedColumnFormula>
    </tableColumn>
    <tableColumn id="25" name="95" dataDxfId="71">
      <calculatedColumnFormula>OFFSET($B$106,$D255-1,Y$221,1,1)</calculatedColumnFormula>
    </tableColumn>
    <tableColumn id="26" name="100" dataDxfId="70">
      <calculatedColumnFormula>OFFSET($B$106,$D255-1,Z$221,1,1)</calculatedColumnFormula>
    </tableColumn>
    <tableColumn id="27" name="Failure Probability" dataDxfId="69">
      <calculatedColumnFormula>SUMPRODUCT(F255:Z255,FailureForCPU!E$17:Y$17)</calculatedColumnFormula>
    </tableColumn>
    <tableColumn id="28" name="Expected Failures" dataDxfId="68">
      <calculatedColumnFormula>AA255*C255</calculatedColumnFormula>
    </tableColumn>
    <tableColumn id="29" name="Expected Success" dataDxfId="67">
      <calculatedColumnFormula>C255-AB255</calculatedColumnFormula>
    </tableColumn>
    <tableColumn id="30" name="Validate" dataDxfId="66">
      <calculatedColumnFormula>SUM(F255:Z255)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9" name="Table4135620" displayName="Table4135620" ref="A286:AD310" totalsRowShown="0" headerRowDxfId="33" dataDxfId="32">
  <autoFilter ref="A286:AD310"/>
  <tableColumns count="30">
    <tableColumn id="1" name="Hour of Day" dataDxfId="63"/>
    <tableColumn id="2" name="Current EPH" dataDxfId="62">
      <calculatedColumnFormula>B191</calculatedColumnFormula>
    </tableColumn>
    <tableColumn id="3" name="Projected EPH" dataDxfId="61">
      <calculatedColumnFormula>$B$284*B287</calculatedColumnFormula>
    </tableColumn>
    <tableColumn id="5" name="Position of Closest EPH Value" dataDxfId="60">
      <calculatedColumnFormula array="1">MATCH(MIN(ABS(ServerTypeA!$A$106:$A$165-$C287)),ABS(ServerTypeA!$A$106:$A$165-$C287),0)</calculatedColumnFormula>
    </tableColumn>
    <tableColumn id="4" name="Closest Predicted EPH Value" dataDxfId="59">
      <calculatedColumnFormula array="1">INDEX(ServerTypeA!$A$106:$A$165,MATCH(MIN(ABS(ServerTypeA!$A$106:$A$165-$C287)),ABS(ServerTypeA!$A$106:$A$165-$C287),0))</calculatedColumnFormula>
    </tableColumn>
    <tableColumn id="6" name="0" dataDxfId="58">
      <calculatedColumnFormula>OFFSET($B$106,$D287-1,F$221,1,1)</calculatedColumnFormula>
    </tableColumn>
    <tableColumn id="7" name="5" dataDxfId="57">
      <calculatedColumnFormula>OFFSET($B$106,$D287-1,G$221,1,1)</calculatedColumnFormula>
    </tableColumn>
    <tableColumn id="8" name="10" dataDxfId="56">
      <calculatedColumnFormula>OFFSET($B$106,$D287-1,H$221,1,1)</calculatedColumnFormula>
    </tableColumn>
    <tableColumn id="9" name="15" dataDxfId="55">
      <calculatedColumnFormula>OFFSET($B$106,$D287-1,I$221,1,1)</calculatedColumnFormula>
    </tableColumn>
    <tableColumn id="10" name="20" dataDxfId="54">
      <calculatedColumnFormula>OFFSET($B$106,$D287-1,J$221,1,1)</calculatedColumnFormula>
    </tableColumn>
    <tableColumn id="11" name="25" dataDxfId="53">
      <calculatedColumnFormula>OFFSET($B$106,$D287-1,K$221,1,1)</calculatedColumnFormula>
    </tableColumn>
    <tableColumn id="12" name="30" dataDxfId="52">
      <calculatedColumnFormula>OFFSET($B$106,$D287-1,L$221,1,1)</calculatedColumnFormula>
    </tableColumn>
    <tableColumn id="13" name="35" dataDxfId="51">
      <calculatedColumnFormula>OFFSET($B$106,$D287-1,M$221,1,1)</calculatedColumnFormula>
    </tableColumn>
    <tableColumn id="14" name="40" dataDxfId="50">
      <calculatedColumnFormula>OFFSET($B$106,$D287-1,N$221,1,1)</calculatedColumnFormula>
    </tableColumn>
    <tableColumn id="15" name="45" dataDxfId="49">
      <calculatedColumnFormula>OFFSET($B$106,$D287-1,O$221,1,1)</calculatedColumnFormula>
    </tableColumn>
    <tableColumn id="16" name="50" dataDxfId="48">
      <calculatedColumnFormula>OFFSET($B$106,$D287-1,P$221,1,1)</calculatedColumnFormula>
    </tableColumn>
    <tableColumn id="17" name="55" dataDxfId="47">
      <calculatedColumnFormula>OFFSET($B$106,$D287-1,Q$221,1,1)</calculatedColumnFormula>
    </tableColumn>
    <tableColumn id="18" name="60" dataDxfId="46">
      <calculatedColumnFormula>OFFSET($B$106,$D287-1,R$221,1,1)</calculatedColumnFormula>
    </tableColumn>
    <tableColumn id="19" name="65" dataDxfId="45">
      <calculatedColumnFormula>OFFSET($B$106,$D287-1,S$221,1,1)</calculatedColumnFormula>
    </tableColumn>
    <tableColumn id="20" name="70" dataDxfId="44">
      <calculatedColumnFormula>OFFSET($B$106,$D287-1,T$221,1,1)</calculatedColumnFormula>
    </tableColumn>
    <tableColumn id="21" name="75" dataDxfId="43">
      <calculatedColumnFormula>OFFSET($B$106,$D287-1,U$221,1,1)</calculatedColumnFormula>
    </tableColumn>
    <tableColumn id="22" name="80" dataDxfId="42">
      <calculatedColumnFormula>OFFSET($B$106,$D287-1,V$221,1,1)</calculatedColumnFormula>
    </tableColumn>
    <tableColumn id="23" name="85" dataDxfId="41">
      <calculatedColumnFormula>OFFSET($B$106,$D287-1,W$221,1,1)</calculatedColumnFormula>
    </tableColumn>
    <tableColumn id="24" name="90" dataDxfId="40">
      <calculatedColumnFormula>OFFSET($B$106,$D287-1,X$221,1,1)</calculatedColumnFormula>
    </tableColumn>
    <tableColumn id="25" name="95" dataDxfId="39">
      <calculatedColumnFormula>OFFSET($B$106,$D287-1,Y$221,1,1)</calculatedColumnFormula>
    </tableColumn>
    <tableColumn id="26" name="100" dataDxfId="38">
      <calculatedColumnFormula>OFFSET($B$106,$D287-1,Z$221,1,1)</calculatedColumnFormula>
    </tableColumn>
    <tableColumn id="27" name="Failure Probability" dataDxfId="37">
      <calculatedColumnFormula>SUMPRODUCT(F287:Z287,FailureForCPU!E$17:Y$17)</calculatedColumnFormula>
    </tableColumn>
    <tableColumn id="28" name="Expected Failures" dataDxfId="36">
      <calculatedColumnFormula>AA287*C287</calculatedColumnFormula>
    </tableColumn>
    <tableColumn id="29" name="Expected Success" dataDxfId="35">
      <calculatedColumnFormula>C287-AB287</calculatedColumnFormula>
    </tableColumn>
    <tableColumn id="30" name="Validate" dataDxfId="34">
      <calculatedColumnFormula>SUM(F287:Z287)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20" name="Table41356921" displayName="Table41356921" ref="A318:AD342" totalsRowShown="0" headerRowDxfId="1" dataDxfId="0">
  <autoFilter ref="A318:AD342"/>
  <tableColumns count="30">
    <tableColumn id="1" name="Hour of Day" dataDxfId="31"/>
    <tableColumn id="2" name="Current EPH" dataDxfId="30">
      <calculatedColumnFormula>B191</calculatedColumnFormula>
    </tableColumn>
    <tableColumn id="3" name="Projected EPH" dataDxfId="29">
      <calculatedColumnFormula>$B$316*B319</calculatedColumnFormula>
    </tableColumn>
    <tableColumn id="5" name="Position of Closest EPH Value" dataDxfId="28">
      <calculatedColumnFormula array="1">MATCH(MIN(ABS(ServerTypeA!$A$106:$A$165-$C319)),ABS(ServerTypeA!$A$106:$A$165-$C319),0)</calculatedColumnFormula>
    </tableColumn>
    <tableColumn id="4" name="Closest Predicted EPH Value" dataDxfId="27">
      <calculatedColumnFormula array="1">INDEX(ServerTypeA!$A$106:$A$165,MATCH(MIN(ABS(ServerTypeA!$A$106:$A$165-$C319)),ABS(ServerTypeA!$A$106:$A$165-$C319),0))</calculatedColumnFormula>
    </tableColumn>
    <tableColumn id="6" name="0" dataDxfId="26">
      <calculatedColumnFormula>OFFSET($B$106,$D319-1,F$221,1,1)</calculatedColumnFormula>
    </tableColumn>
    <tableColumn id="7" name="5" dataDxfId="25">
      <calculatedColumnFormula>OFFSET($B$106,$D319-1,G$221,1,1)</calculatedColumnFormula>
    </tableColumn>
    <tableColumn id="8" name="10" dataDxfId="24">
      <calculatedColumnFormula>OFFSET($B$106,$D319-1,H$221,1,1)</calculatedColumnFormula>
    </tableColumn>
    <tableColumn id="9" name="15" dataDxfId="23">
      <calculatedColumnFormula>OFFSET($B$106,$D319-1,I$221,1,1)</calculatedColumnFormula>
    </tableColumn>
    <tableColumn id="10" name="20" dataDxfId="22">
      <calculatedColumnFormula>OFFSET($B$106,$D319-1,J$221,1,1)</calculatedColumnFormula>
    </tableColumn>
    <tableColumn id="11" name="25" dataDxfId="21">
      <calculatedColumnFormula>OFFSET($B$106,$D319-1,K$221,1,1)</calculatedColumnFormula>
    </tableColumn>
    <tableColumn id="12" name="30" dataDxfId="20">
      <calculatedColumnFormula>OFFSET($B$106,$D319-1,L$221,1,1)</calculatedColumnFormula>
    </tableColumn>
    <tableColumn id="13" name="35" dataDxfId="19">
      <calculatedColumnFormula>OFFSET($B$106,$D319-1,M$221,1,1)</calculatedColumnFormula>
    </tableColumn>
    <tableColumn id="14" name="40" dataDxfId="18">
      <calculatedColumnFormula>OFFSET($B$106,$D319-1,N$221,1,1)</calculatedColumnFormula>
    </tableColumn>
    <tableColumn id="15" name="45" dataDxfId="17">
      <calculatedColumnFormula>OFFSET($B$106,$D319-1,O$221,1,1)</calculatedColumnFormula>
    </tableColumn>
    <tableColumn id="16" name="50" dataDxfId="16">
      <calculatedColumnFormula>OFFSET($B$106,$D319-1,P$221,1,1)</calculatedColumnFormula>
    </tableColumn>
    <tableColumn id="17" name="55" dataDxfId="15">
      <calculatedColumnFormula>OFFSET($B$106,$D319-1,Q$221,1,1)</calculatedColumnFormula>
    </tableColumn>
    <tableColumn id="18" name="60" dataDxfId="14">
      <calculatedColumnFormula>OFFSET($B$106,$D319-1,R$221,1,1)</calculatedColumnFormula>
    </tableColumn>
    <tableColumn id="19" name="65" dataDxfId="13">
      <calculatedColumnFormula>OFFSET($B$106,$D319-1,S$221,1,1)</calculatedColumnFormula>
    </tableColumn>
    <tableColumn id="20" name="70" dataDxfId="12">
      <calculatedColumnFormula>OFFSET($B$106,$D319-1,T$221,1,1)</calculatedColumnFormula>
    </tableColumn>
    <tableColumn id="21" name="75" dataDxfId="11">
      <calculatedColumnFormula>OFFSET($B$106,$D319-1,U$221,1,1)</calculatedColumnFormula>
    </tableColumn>
    <tableColumn id="22" name="80" dataDxfId="10">
      <calculatedColumnFormula>OFFSET($B$106,$D319-1,V$221,1,1)</calculatedColumnFormula>
    </tableColumn>
    <tableColumn id="23" name="85" dataDxfId="9">
      <calculatedColumnFormula>OFFSET($B$106,$D319-1,W$221,1,1)</calculatedColumnFormula>
    </tableColumn>
    <tableColumn id="24" name="90" dataDxfId="8">
      <calculatedColumnFormula>OFFSET($B$106,$D319-1,X$221,1,1)</calculatedColumnFormula>
    </tableColumn>
    <tableColumn id="25" name="95" dataDxfId="7">
      <calculatedColumnFormula>OFFSET($B$106,$D319-1,Y$221,1,1)</calculatedColumnFormula>
    </tableColumn>
    <tableColumn id="26" name="100" dataDxfId="6">
      <calculatedColumnFormula>OFFSET($B$106,$D319-1,Z$221,1,1)</calculatedColumnFormula>
    </tableColumn>
    <tableColumn id="27" name="Failure Probability" dataDxfId="5">
      <calculatedColumnFormula>SUMPRODUCT(F319:Z319,FailureForCPU!E$17:Y$17)</calculatedColumnFormula>
    </tableColumn>
    <tableColumn id="28" name="Expected Failures" dataDxfId="4">
      <calculatedColumnFormula>AA319*C319</calculatedColumnFormula>
    </tableColumn>
    <tableColumn id="29" name="Expected Success" dataDxfId="3">
      <calculatedColumnFormula>C319-AB319</calculatedColumnFormula>
    </tableColumn>
    <tableColumn id="30" name="Validate" dataDxfId="2">
      <calculatedColumnFormula>SUM(F319:Z319)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topLeftCell="A7" workbookViewId="0">
      <selection activeCell="C23" sqref="C23"/>
    </sheetView>
  </sheetViews>
  <sheetFormatPr defaultRowHeight="15"/>
  <cols>
    <col min="1" max="1" width="45.5703125" customWidth="1"/>
    <col min="2" max="2" width="24.42578125" customWidth="1"/>
    <col min="3" max="3" width="23.5703125" customWidth="1"/>
    <col min="4" max="4" width="10.140625" customWidth="1"/>
    <col min="5" max="6" width="13.42578125" customWidth="1"/>
    <col min="7" max="7" width="14.28515625" bestFit="1" customWidth="1"/>
    <col min="8" max="8" width="16.28515625" customWidth="1"/>
  </cols>
  <sheetData>
    <row r="1" spans="1:9">
      <c r="A1" s="55" t="s">
        <v>67</v>
      </c>
      <c r="B1" s="55"/>
      <c r="C1" s="55"/>
      <c r="D1" s="54"/>
      <c r="E1" s="54"/>
      <c r="F1" s="54"/>
      <c r="G1" s="54"/>
    </row>
    <row r="2" spans="1:9" ht="30">
      <c r="A2" s="57" t="s">
        <v>68</v>
      </c>
      <c r="B2" s="57"/>
      <c r="C2" s="57"/>
      <c r="D2" s="57" t="s">
        <v>69</v>
      </c>
      <c r="E2" s="57" t="s">
        <v>70</v>
      </c>
      <c r="F2" s="57" t="s">
        <v>73</v>
      </c>
      <c r="G2" s="54"/>
    </row>
    <row r="3" spans="1:9">
      <c r="A3" s="64">
        <v>0</v>
      </c>
      <c r="B3" s="58"/>
      <c r="C3" s="58"/>
      <c r="D3" s="64">
        <v>0.997</v>
      </c>
      <c r="E3" s="59">
        <v>-0.04</v>
      </c>
      <c r="F3" s="60">
        <v>1</v>
      </c>
      <c r="G3" s="54"/>
    </row>
    <row r="4" spans="1:9">
      <c r="A4" s="64">
        <v>0.997</v>
      </c>
      <c r="B4" s="58"/>
      <c r="C4" s="58"/>
      <c r="D4" s="64">
        <v>0.999</v>
      </c>
      <c r="E4" s="59">
        <v>-0.02</v>
      </c>
      <c r="F4" s="60">
        <v>0</v>
      </c>
      <c r="G4" s="54"/>
    </row>
    <row r="5" spans="1:9">
      <c r="A5" s="64">
        <v>0.999</v>
      </c>
      <c r="B5" s="58"/>
      <c r="C5" s="58"/>
      <c r="D5" s="64">
        <v>0.99990000000000001</v>
      </c>
      <c r="E5" s="59">
        <v>0</v>
      </c>
      <c r="F5" s="60">
        <v>0</v>
      </c>
      <c r="G5" s="54"/>
      <c r="H5" s="54" t="s">
        <v>124</v>
      </c>
    </row>
    <row r="6" spans="1:9">
      <c r="A6" s="64">
        <v>0.99990000000000001</v>
      </c>
      <c r="B6" s="58"/>
      <c r="C6" s="58"/>
      <c r="D6" s="64">
        <v>1</v>
      </c>
      <c r="E6" s="59">
        <v>4.0000000000000001E-3</v>
      </c>
      <c r="F6" s="60">
        <v>0</v>
      </c>
      <c r="G6" s="54"/>
      <c r="H6" s="22" t="s">
        <v>125</v>
      </c>
      <c r="I6" s="96">
        <f>B11/(B11+B12)</f>
        <v>0.53094603141043328</v>
      </c>
    </row>
    <row r="7" spans="1:9">
      <c r="A7" s="65"/>
      <c r="B7" s="53"/>
      <c r="C7" s="53"/>
      <c r="D7" s="65"/>
      <c r="E7" s="63"/>
      <c r="F7" s="62"/>
      <c r="G7" s="54"/>
      <c r="H7" s="22" t="s">
        <v>126</v>
      </c>
      <c r="I7" s="96">
        <f>B12/(B11+B12)</f>
        <v>0.46905396858956666</v>
      </c>
    </row>
    <row r="8" spans="1:9">
      <c r="A8" s="65"/>
      <c r="B8" s="53"/>
      <c r="C8" s="53"/>
      <c r="D8" s="70"/>
      <c r="E8" s="71"/>
      <c r="F8" s="62"/>
      <c r="G8" s="54"/>
    </row>
    <row r="9" spans="1:9">
      <c r="A9" s="65"/>
      <c r="B9" s="53"/>
      <c r="C9" s="53"/>
      <c r="D9" s="70"/>
      <c r="E9" s="71"/>
      <c r="F9" s="62"/>
      <c r="G9" s="54"/>
    </row>
    <row r="10" spans="1:9">
      <c r="A10" s="66"/>
      <c r="B10" s="73" t="s">
        <v>72</v>
      </c>
      <c r="C10" s="99" t="s">
        <v>117</v>
      </c>
      <c r="D10" s="100" t="s">
        <v>118</v>
      </c>
      <c r="E10" s="101" t="s">
        <v>119</v>
      </c>
      <c r="F10" s="102" t="s">
        <v>120</v>
      </c>
      <c r="G10" s="97" t="s">
        <v>127</v>
      </c>
      <c r="H10" s="97" t="s">
        <v>128</v>
      </c>
      <c r="I10" s="54" t="s">
        <v>129</v>
      </c>
    </row>
    <row r="11" spans="1:9">
      <c r="A11" s="74" t="s">
        <v>97</v>
      </c>
      <c r="B11" s="18">
        <f>ServerTypeA!$B$28</f>
        <v>48.744819081532569</v>
      </c>
      <c r="C11" s="103">
        <f>$I$6*C20/(C17*$I$6+C18*$I$7)</f>
        <v>51.182060035609204</v>
      </c>
      <c r="D11" s="103">
        <f t="shared" ref="D11:F11" si="0">$I$6*D20/(D17*$I$6+D18*$I$7)</f>
        <v>50.71636521514101</v>
      </c>
      <c r="E11" s="103">
        <f t="shared" si="0"/>
        <v>50.414618742233685</v>
      </c>
      <c r="F11" s="103">
        <f t="shared" si="0"/>
        <v>49.300081943874993</v>
      </c>
      <c r="G11" s="54"/>
    </row>
    <row r="12" spans="1:9">
      <c r="A12" s="74" t="s">
        <v>98</v>
      </c>
      <c r="B12" s="18">
        <f>ServerTypeB!$B$28</f>
        <v>43.062664537931042</v>
      </c>
      <c r="C12" s="103">
        <f>$I$7*C20/(C$17*$I$6+C$18*$I$7)</f>
        <v>45.215797764827599</v>
      </c>
      <c r="D12" s="103">
        <f>$I$7*D20/(D17*$I$6+D18*$I$7)</f>
        <v>44.80438871236337</v>
      </c>
      <c r="E12" s="103">
        <f>$I$7*E20/(E17*$I$6+E18*$I$7)</f>
        <v>44.537816646179728</v>
      </c>
      <c r="F12" s="103">
        <f>$I$7*F20/(F17*$I$6+F18*$I$7)</f>
        <v>43.553200738946138</v>
      </c>
      <c r="G12" s="54"/>
    </row>
    <row r="13" spans="1:9">
      <c r="A13" s="74" t="s">
        <v>104</v>
      </c>
      <c r="B13" s="18">
        <f>ServerTypeA!$B$210</f>
        <v>4.399450104444445</v>
      </c>
      <c r="C13" s="103">
        <f>ServerTypeA!$C$242</f>
        <v>4.6194226096666675</v>
      </c>
      <c r="D13" s="103">
        <f>ServerTypeA!$C$274</f>
        <v>4.5773914530196178</v>
      </c>
      <c r="E13" s="103">
        <f>ServerTypeA!$C$306</f>
        <v>4.5501574089353136</v>
      </c>
      <c r="F13" s="103">
        <f>ServerTypeA!$C$338</f>
        <v>4.4495651998280286</v>
      </c>
      <c r="G13" s="54"/>
    </row>
    <row r="14" spans="1:9">
      <c r="A14" s="74" t="s">
        <v>103</v>
      </c>
      <c r="B14" s="18">
        <f>ServerTypeB!B22</f>
        <v>4.0252025333333332</v>
      </c>
      <c r="C14" s="103">
        <f>ServerTypeB!$C$242</f>
        <v>4.2264626600000001</v>
      </c>
      <c r="D14" s="103">
        <f>ServerTypeB!$C$274</f>
        <v>4.1880069634474424</v>
      </c>
      <c r="E14" s="103">
        <f>ServerTypeB!$C$306</f>
        <v>4.1630896349998929</v>
      </c>
      <c r="F14" s="103">
        <f>ServerTypeB!$C$338</f>
        <v>4.0710544930344907</v>
      </c>
      <c r="G14" s="54"/>
    </row>
    <row r="15" spans="1:9">
      <c r="A15" s="74" t="s">
        <v>105</v>
      </c>
      <c r="B15" s="53">
        <f>EXP(((B13*ServerTypeA!$C$31+ServerTypeA!$D$31)*B13+ServerTypeA!$E$31)*B13+ServerTypeA!$F$31)/100</f>
        <v>0.57209439809783147</v>
      </c>
      <c r="C15" s="104">
        <f>EXP(((B13*ServerTypeA!$C$31+ServerTypeA!$D$31)*B13+ServerTypeA!$E$31)*B13+ServerTypeA!$F$31)/100</f>
        <v>0.57209439809783147</v>
      </c>
      <c r="D15" s="104">
        <f>EXP(((C13*ServerTypeA!$C$31+ServerTypeA!$D$31)*C13+ServerTypeA!$E$31)*C13+ServerTypeA!$F$31)/100</f>
        <v>0.61185133363844191</v>
      </c>
      <c r="E15" s="104">
        <f>EXP(((D13*ServerTypeA!$C$31+ServerTypeA!$D$31)*D13+ServerTypeA!$E$31)*D13+ServerTypeA!$F$31)/100</f>
        <v>0.60368941974060575</v>
      </c>
      <c r="F15" s="104">
        <f>EXP(((E13*ServerTypeA!$C$31+ServerTypeA!$D$31)*E13+ServerTypeA!$E$31)*E13+ServerTypeA!$F$31)/100</f>
        <v>0.5985523241307209</v>
      </c>
      <c r="G15" s="54"/>
    </row>
    <row r="16" spans="1:9">
      <c r="A16" s="74" t="s">
        <v>106</v>
      </c>
      <c r="B16" s="53">
        <f>EXP(((B14*ServerTypeB!$C$31+ServerTypeB!$D$31)*B14+ServerTypeB!$E$31)*B14+ServerTypeB!$F$31)/100</f>
        <v>0.23240155523218767</v>
      </c>
      <c r="C16" s="104">
        <f>EXP(((C14*ServerTypeB!$C$31+ServerTypeB!$D$31)*C14+ServerTypeB!$E$31)*C14+ServerTypeB!$F$31)/100</f>
        <v>0.25274230455862517</v>
      </c>
      <c r="D16" s="104">
        <f>EXP(((D14*ServerTypeB!$C$31+ServerTypeB!$D$31)*D14+ServerTypeB!$E$31)*D14+ServerTypeB!$F$31)/100</f>
        <v>0.24848864986868979</v>
      </c>
      <c r="E16" s="104">
        <f>EXP(((E14*ServerTypeB!$C$31+ServerTypeB!$D$31)*E14+ServerTypeB!$E$31)*E14+ServerTypeB!$F$31)/100</f>
        <v>0.24583151518913474</v>
      </c>
      <c r="F16" s="104">
        <f>EXP(((F14*ServerTypeB!$C$31+ServerTypeB!$D$31)*F14+ServerTypeB!$E$31)*F14+ServerTypeB!$F$31)/100</f>
        <v>0.23664172784133836</v>
      </c>
      <c r="G16" s="54"/>
    </row>
    <row r="17" spans="1:9">
      <c r="A17" s="74" t="s">
        <v>77</v>
      </c>
      <c r="B17" s="19">
        <v>15</v>
      </c>
      <c r="C17" s="105">
        <v>15</v>
      </c>
      <c r="D17" s="105">
        <v>16</v>
      </c>
      <c r="E17" s="105">
        <v>17</v>
      </c>
      <c r="F17" s="105">
        <v>18</v>
      </c>
      <c r="G17" s="68"/>
      <c r="H17" s="47">
        <f t="shared" ref="H17:H18" si="1">F17-B17</f>
        <v>3</v>
      </c>
      <c r="I17" s="122">
        <v>0.2</v>
      </c>
    </row>
    <row r="18" spans="1:9">
      <c r="A18" s="74" t="s">
        <v>78</v>
      </c>
      <c r="B18" s="19">
        <v>2</v>
      </c>
      <c r="C18" s="105">
        <v>2</v>
      </c>
      <c r="D18" s="105">
        <v>2</v>
      </c>
      <c r="E18" s="105">
        <v>2</v>
      </c>
      <c r="F18" s="105">
        <v>2</v>
      </c>
      <c r="G18" s="68"/>
      <c r="H18" s="47">
        <f t="shared" si="1"/>
        <v>0</v>
      </c>
      <c r="I18" s="122">
        <v>0.1</v>
      </c>
    </row>
    <row r="19" spans="1:9">
      <c r="A19" s="74" t="s">
        <v>74</v>
      </c>
      <c r="B19" s="19">
        <f>B17+B18</f>
        <v>17</v>
      </c>
      <c r="C19" s="106">
        <f t="shared" ref="C19:F19" si="2">C17+C18</f>
        <v>17</v>
      </c>
      <c r="D19" s="106">
        <f t="shared" si="2"/>
        <v>18</v>
      </c>
      <c r="E19" s="106">
        <f t="shared" si="2"/>
        <v>19</v>
      </c>
      <c r="F19" s="106">
        <f t="shared" si="2"/>
        <v>20</v>
      </c>
      <c r="G19" s="68"/>
      <c r="H19" s="47">
        <f>F19-B19</f>
        <v>3</v>
      </c>
    </row>
    <row r="20" spans="1:9">
      <c r="A20" s="22" t="s">
        <v>99</v>
      </c>
      <c r="B20" s="12">
        <f>B11*B17+B12*B18</f>
        <v>817.29761529885059</v>
      </c>
      <c r="C20" s="103">
        <f>C21*4/365</f>
        <v>858.16249606379324</v>
      </c>
      <c r="D20" s="103">
        <f t="shared" ref="D20:F20" si="3">D21*4/365</f>
        <v>901.07062086698295</v>
      </c>
      <c r="E20" s="103">
        <f t="shared" si="3"/>
        <v>946.1241519103321</v>
      </c>
      <c r="F20" s="103">
        <f t="shared" si="3"/>
        <v>974.50787646764206</v>
      </c>
      <c r="G20" s="12"/>
    </row>
    <row r="21" spans="1:9" ht="18.75">
      <c r="A21" s="22" t="s">
        <v>107</v>
      </c>
      <c r="B21" s="12">
        <f>365*B20/4</f>
        <v>74578.40739602012</v>
      </c>
      <c r="C21" s="107">
        <f>B21*B22</f>
        <v>78307.32776582113</v>
      </c>
      <c r="D21" s="107">
        <f>C21*C22</f>
        <v>82222.694154112192</v>
      </c>
      <c r="E21" s="107">
        <f>D21*D22</f>
        <v>86333.828861817805</v>
      </c>
      <c r="F21" s="107">
        <f>E21*E22</f>
        <v>88923.843727672342</v>
      </c>
      <c r="G21" s="118">
        <f>SUM(C21:F21)</f>
        <v>335787.69450942345</v>
      </c>
    </row>
    <row r="22" spans="1:9" s="54" customFormat="1" ht="18.75">
      <c r="A22" s="22" t="s">
        <v>121</v>
      </c>
      <c r="B22" s="79">
        <v>1.05</v>
      </c>
      <c r="C22" s="108">
        <v>1.05</v>
      </c>
      <c r="D22" s="108">
        <v>1.05</v>
      </c>
      <c r="E22" s="108">
        <v>1.03</v>
      </c>
      <c r="F22" s="109" t="s">
        <v>123</v>
      </c>
      <c r="G22" s="77">
        <f>B22*C22*D22*E22</f>
        <v>1.1923537500000001</v>
      </c>
    </row>
    <row r="23" spans="1:9" ht="18.75">
      <c r="A23" s="22" t="s">
        <v>109</v>
      </c>
      <c r="B23" s="95">
        <v>5</v>
      </c>
      <c r="C23" s="116">
        <f>B23*B24</f>
        <v>5.15</v>
      </c>
      <c r="D23" s="116">
        <f>C23*C24</f>
        <v>5.3045000000000009</v>
      </c>
      <c r="E23" s="116">
        <f>D23*D24</f>
        <v>5.4636350000000009</v>
      </c>
      <c r="F23" s="116">
        <f>E23*E24</f>
        <v>5.6275440500000009</v>
      </c>
      <c r="G23" s="119"/>
    </row>
    <row r="24" spans="1:9" s="54" customFormat="1" ht="18.75">
      <c r="A24" s="22" t="s">
        <v>122</v>
      </c>
      <c r="B24" s="79">
        <v>1.03</v>
      </c>
      <c r="C24" s="108">
        <v>1.03</v>
      </c>
      <c r="D24" s="108">
        <v>1.03</v>
      </c>
      <c r="E24" s="108">
        <v>1.03</v>
      </c>
      <c r="F24" s="115" t="s">
        <v>123</v>
      </c>
      <c r="G24" s="77">
        <f>PRODUCT(B24:E24)</f>
        <v>1.1255088100000001</v>
      </c>
    </row>
    <row r="25" spans="1:9">
      <c r="A25" s="22" t="s">
        <v>94</v>
      </c>
      <c r="B25" s="69">
        <f ca="1">ServerTypeA!$B$217</f>
        <v>0.99943213380821072</v>
      </c>
      <c r="C25" s="110">
        <f ca="1">ServerTypeA!$B$249</f>
        <v>0.99892455791975943</v>
      </c>
      <c r="D25" s="110">
        <f ca="1">ServerTypeA!$B$281</f>
        <v>0.99892594936410151</v>
      </c>
      <c r="E25" s="111">
        <f ca="1">ServerTypeA!$B$313</f>
        <v>0.99905260637688842</v>
      </c>
      <c r="F25" s="110">
        <f ca="1">ServerTypeA!$B$345</f>
        <v>0.99942409724205417</v>
      </c>
      <c r="G25" s="54"/>
    </row>
    <row r="26" spans="1:9">
      <c r="A26" s="22" t="s">
        <v>95</v>
      </c>
      <c r="B26" s="69">
        <f ca="1">ServerTypeB!$B$217</f>
        <v>0.99999999999997757</v>
      </c>
      <c r="C26" s="110">
        <f ca="1">ServerTypeB!$B$249</f>
        <v>0.99999999999998379</v>
      </c>
      <c r="D26" s="110">
        <f ca="1">ServerTypeB!$B$281</f>
        <v>0.99999999999998335</v>
      </c>
      <c r="E26" s="111">
        <f ca="1">ServerTypeB!$B$313</f>
        <v>0.99999999999998279</v>
      </c>
      <c r="F26" s="110">
        <f ca="1">ServerTypeB!$B$345</f>
        <v>0.99999999999998546</v>
      </c>
      <c r="G26" s="54"/>
    </row>
    <row r="27" spans="1:9">
      <c r="A27" s="22" t="s">
        <v>96</v>
      </c>
      <c r="B27" s="69">
        <f ca="1">(B25*B11*B17+B26*B12*B18)/(B11*B17+B12*B18)</f>
        <v>0.99949197450971461</v>
      </c>
      <c r="C27" s="110">
        <f t="shared" ref="C27:F27" ca="1" si="4">(C25*C11*C17+C26*C12*C18)/(C11*C17+C12*C18)</f>
        <v>0.99903788604078614</v>
      </c>
      <c r="D27" s="110">
        <f t="shared" ca="1" si="4"/>
        <v>0.99903276048649836</v>
      </c>
      <c r="E27" s="110">
        <f t="shared" ca="1" si="4"/>
        <v>0.9991418015282687</v>
      </c>
      <c r="F27" s="110">
        <f t="shared" ca="1" si="4"/>
        <v>0.99947557431890077</v>
      </c>
      <c r="G27" s="54"/>
    </row>
    <row r="28" spans="1:9" ht="21">
      <c r="A28" s="22" t="s">
        <v>108</v>
      </c>
      <c r="B28" s="83">
        <f ca="1">IF(B27&lt;$D$3,$E$3,IF(B27&lt;$D$4,$E$4,IF(B27&lt;$D$5,$E$5,$E$6)))</f>
        <v>0</v>
      </c>
      <c r="C28" s="112">
        <f t="shared" ref="C28:F28" ca="1" si="5">IF(C27&lt;$D$3,$E$3,IF(C27&lt;$D$4,$E$4,IF(C27&lt;$D$5,$E$5,$E$6)))</f>
        <v>0</v>
      </c>
      <c r="D28" s="112">
        <f t="shared" ca="1" si="5"/>
        <v>0</v>
      </c>
      <c r="E28" s="112">
        <f t="shared" ca="1" si="5"/>
        <v>0</v>
      </c>
      <c r="F28" s="112">
        <f t="shared" ca="1" si="5"/>
        <v>0</v>
      </c>
      <c r="G28" s="54"/>
    </row>
    <row r="29" spans="1:9" ht="18.75">
      <c r="A29" s="75" t="s">
        <v>110</v>
      </c>
      <c r="B29" s="72">
        <f ca="1">IF(B27&lt;$D$3,$F$3,IF(B27&lt;$D$4,$F$4,IF(B27&lt;$D$5,$F$5,$F$6)))</f>
        <v>0</v>
      </c>
      <c r="C29" s="113">
        <f t="shared" ref="C29:F29" ca="1" si="6">IF(C27&lt;$D$3,$F$3,IF(C27&lt;$D$4,$F$4,IF(C27&lt;$D$5,$F$5,$F$6)))</f>
        <v>0</v>
      </c>
      <c r="D29" s="113">
        <f t="shared" ca="1" si="6"/>
        <v>0</v>
      </c>
      <c r="E29" s="113">
        <f t="shared" ca="1" si="6"/>
        <v>0</v>
      </c>
      <c r="F29" s="113">
        <f t="shared" ca="1" si="6"/>
        <v>0</v>
      </c>
      <c r="G29" s="120">
        <f ca="1">SUM(C29:F29)</f>
        <v>0</v>
      </c>
    </row>
    <row r="30" spans="1:9">
      <c r="A30" s="75" t="s">
        <v>111</v>
      </c>
      <c r="B30" s="92">
        <f ca="1">100%+B28</f>
        <v>1</v>
      </c>
      <c r="C30" s="114">
        <f t="shared" ref="C30:F30" ca="1" si="7">100%+C28</f>
        <v>1</v>
      </c>
      <c r="D30" s="114">
        <f t="shared" ca="1" si="7"/>
        <v>1</v>
      </c>
      <c r="E30" s="114">
        <f t="shared" ca="1" si="7"/>
        <v>1</v>
      </c>
      <c r="F30" s="114">
        <f t="shared" ca="1" si="7"/>
        <v>1</v>
      </c>
      <c r="G30" s="54"/>
    </row>
    <row r="31" spans="1:9" ht="21">
      <c r="A31" s="22" t="s">
        <v>112</v>
      </c>
      <c r="B31" s="98">
        <f ca="1">B30*B23-B29</f>
        <v>5</v>
      </c>
      <c r="C31" s="117">
        <f t="shared" ref="C31:F31" ca="1" si="8">C30*C23-C29</f>
        <v>5.15</v>
      </c>
      <c r="D31" s="117">
        <f t="shared" ca="1" si="8"/>
        <v>5.3045000000000009</v>
      </c>
      <c r="E31" s="117">
        <f t="shared" ca="1" si="8"/>
        <v>5.4636350000000009</v>
      </c>
      <c r="F31" s="117">
        <f t="shared" ca="1" si="8"/>
        <v>5.6275440500000009</v>
      </c>
      <c r="G31" s="78">
        <f ca="1">SUM(C31:F31)</f>
        <v>21.545679050000004</v>
      </c>
      <c r="I31" s="121">
        <f>I17*H17+I18*H18</f>
        <v>0.60000000000000009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Y115"/>
  <sheetViews>
    <sheetView workbookViewId="0">
      <selection activeCell="A6" sqref="A6"/>
    </sheetView>
  </sheetViews>
  <sheetFormatPr defaultRowHeight="15"/>
  <cols>
    <col min="1" max="1" width="16.85546875" customWidth="1"/>
    <col min="2" max="2" width="16.5703125" customWidth="1"/>
    <col min="3" max="3" width="19.5703125" customWidth="1"/>
    <col min="4" max="4" width="13.28515625" customWidth="1"/>
    <col min="5" max="5" width="20.5703125" customWidth="1"/>
  </cols>
  <sheetData>
    <row r="2" spans="1:25" ht="21">
      <c r="A2" s="84" t="s">
        <v>60</v>
      </c>
      <c r="B2" s="39"/>
      <c r="C2" s="39"/>
    </row>
    <row r="4" spans="1:25" ht="34.5" customHeight="1">
      <c r="A4" s="41" t="s">
        <v>61</v>
      </c>
      <c r="B4" s="41" t="s">
        <v>62</v>
      </c>
      <c r="C4" s="41" t="s">
        <v>100</v>
      </c>
    </row>
    <row r="5" spans="1:25" s="54" customFormat="1" ht="34.5" customHeight="1">
      <c r="A5" s="93">
        <v>60</v>
      </c>
      <c r="B5" s="94">
        <v>0</v>
      </c>
      <c r="C5" s="91">
        <f>1000000*B5</f>
        <v>0</v>
      </c>
    </row>
    <row r="6" spans="1:25" ht="44.25" customHeight="1">
      <c r="A6" s="38">
        <v>90</v>
      </c>
      <c r="B6" s="42">
        <v>0.05</v>
      </c>
      <c r="C6" s="91">
        <f>1000000*B6</f>
        <v>50000</v>
      </c>
    </row>
    <row r="7" spans="1:25" ht="57" customHeight="1">
      <c r="A7" s="38">
        <v>95</v>
      </c>
      <c r="B7" s="42">
        <v>0.1</v>
      </c>
      <c r="C7" s="91">
        <f t="shared" ref="C7:C9" si="0">1000000*B7</f>
        <v>100000</v>
      </c>
    </row>
    <row r="8" spans="1:25" ht="57.75" customHeight="1">
      <c r="A8" s="38">
        <v>98</v>
      </c>
      <c r="B8" s="42">
        <v>0.2</v>
      </c>
      <c r="C8" s="91">
        <f t="shared" si="0"/>
        <v>200000</v>
      </c>
    </row>
    <row r="9" spans="1:25">
      <c r="A9" s="88">
        <v>100</v>
      </c>
      <c r="B9" s="87">
        <v>0.5</v>
      </c>
      <c r="C9" s="91">
        <f t="shared" si="0"/>
        <v>500000</v>
      </c>
    </row>
    <row r="10" spans="1:25" s="54" customFormat="1">
      <c r="A10" s="85"/>
      <c r="B10" s="88"/>
      <c r="C10" s="87"/>
    </row>
    <row r="11" spans="1:25" s="54" customFormat="1">
      <c r="A11" s="85"/>
      <c r="B11" s="88"/>
      <c r="C11" s="87"/>
    </row>
    <row r="12" spans="1:25" s="54" customFormat="1">
      <c r="A12" s="85"/>
      <c r="B12" s="86"/>
      <c r="C12" s="87"/>
    </row>
    <row r="13" spans="1:25">
      <c r="A13" s="44" t="s">
        <v>63</v>
      </c>
    </row>
    <row r="14" spans="1:25" ht="30">
      <c r="A14" s="46" t="s">
        <v>19</v>
      </c>
      <c r="B14" s="43" t="s">
        <v>58</v>
      </c>
    </row>
    <row r="15" spans="1:25">
      <c r="A15" s="40">
        <v>0</v>
      </c>
      <c r="B15" s="82">
        <f t="shared" ref="B15:B46" si="1">IF(A15&lt;$A$5,0,IF(A15&lt;=$A$6,(A15-$A$5)*$B$6/($A$6-$A$5),IF(A15&lt;=$A$7,$B$6+(A15-$A$6)*($B$7-$B$6)/($A$7-$A$6),IF(A15&lt;=$A$8,$B$7+(A15-$A$7)*($B$8-$B$7)/($A$8-$A$7),$B$8+(A15-$A$8)*($B$9-$B$8)/(100-$A$8)))))</f>
        <v>0</v>
      </c>
      <c r="D15" s="44"/>
    </row>
    <row r="16" spans="1:25">
      <c r="A16" s="40">
        <v>1</v>
      </c>
      <c r="B16" s="82">
        <f t="shared" si="1"/>
        <v>0</v>
      </c>
      <c r="D16" s="49" t="s">
        <v>19</v>
      </c>
      <c r="E16" s="50">
        <v>0</v>
      </c>
      <c r="F16" s="51">
        <v>5</v>
      </c>
      <c r="G16" s="50">
        <v>10</v>
      </c>
      <c r="H16" s="51">
        <v>15</v>
      </c>
      <c r="I16" s="50">
        <v>20</v>
      </c>
      <c r="J16" s="51">
        <v>25</v>
      </c>
      <c r="K16" s="50">
        <v>30</v>
      </c>
      <c r="L16" s="51">
        <v>35</v>
      </c>
      <c r="M16" s="50">
        <v>40</v>
      </c>
      <c r="N16" s="51">
        <v>45</v>
      </c>
      <c r="O16" s="50">
        <v>50</v>
      </c>
      <c r="P16" s="51">
        <v>55</v>
      </c>
      <c r="Q16" s="50">
        <v>60</v>
      </c>
      <c r="R16" s="51">
        <v>65</v>
      </c>
      <c r="S16" s="50">
        <v>70</v>
      </c>
      <c r="T16" s="51">
        <v>75</v>
      </c>
      <c r="U16" s="50">
        <v>80</v>
      </c>
      <c r="V16" s="51">
        <v>85</v>
      </c>
      <c r="W16" s="50">
        <v>90</v>
      </c>
      <c r="X16" s="51">
        <v>95</v>
      </c>
      <c r="Y16" s="50">
        <v>100</v>
      </c>
    </row>
    <row r="17" spans="1:25" ht="30">
      <c r="A17" s="40">
        <v>2</v>
      </c>
      <c r="B17" s="82">
        <f t="shared" si="1"/>
        <v>0</v>
      </c>
      <c r="D17" s="52" t="s">
        <v>58</v>
      </c>
      <c r="E17" s="81">
        <f>IF(E16&lt;$A$5,0,IF(E16&lt;=$A$6,(E16-$A$5)*$B$6/($A$6-$A$5),IF(E16&lt;=$A$7,$B$6+(E16-$A$6)*($B$7-$B$6)/($A$7-$A$6),IF(E16&lt;=$A$8,$B$7+(E16-$A$7)*($B$8-$B$7)/($A$8-$A$7),$B$8+(E16-$A$8)*($B$9-$B$8)/(100-$A$8)))))</f>
        <v>0</v>
      </c>
      <c r="F17" s="81">
        <f t="shared" ref="F17:Y17" si="2">IF(F16&lt;$A$5,0,IF(F16&lt;=$A$6,(F16-$A$5)*$B$6/($A$6-$A$5),IF(F16&lt;=$A$7,$B$6+(F16-$A$6)*($B$7-$B$6)/($A$7-$A$6),IF(F16&lt;=$A$8,$B$7+(F16-$A$7)*($B$8-$B$7)/($A$8-$A$7),$B$8+(F16-$A$8)*($B$9-$B$8)/(100-$A$8)))))</f>
        <v>0</v>
      </c>
      <c r="G17" s="81">
        <f t="shared" si="2"/>
        <v>0</v>
      </c>
      <c r="H17" s="81">
        <f t="shared" si="2"/>
        <v>0</v>
      </c>
      <c r="I17" s="81">
        <f t="shared" si="2"/>
        <v>0</v>
      </c>
      <c r="J17" s="81">
        <f t="shared" si="2"/>
        <v>0</v>
      </c>
      <c r="K17" s="81">
        <f t="shared" si="2"/>
        <v>0</v>
      </c>
      <c r="L17" s="81">
        <f t="shared" si="2"/>
        <v>0</v>
      </c>
      <c r="M17" s="81">
        <f t="shared" si="2"/>
        <v>0</v>
      </c>
      <c r="N17" s="81">
        <f t="shared" si="2"/>
        <v>0</v>
      </c>
      <c r="O17" s="81">
        <f t="shared" si="2"/>
        <v>0</v>
      </c>
      <c r="P17" s="81">
        <f t="shared" si="2"/>
        <v>0</v>
      </c>
      <c r="Q17" s="81">
        <f t="shared" si="2"/>
        <v>0</v>
      </c>
      <c r="R17" s="81">
        <f t="shared" si="2"/>
        <v>8.3333333333333332E-3</v>
      </c>
      <c r="S17" s="81">
        <f t="shared" si="2"/>
        <v>1.6666666666666666E-2</v>
      </c>
      <c r="T17" s="81">
        <f t="shared" si="2"/>
        <v>2.5000000000000001E-2</v>
      </c>
      <c r="U17" s="81">
        <f t="shared" si="2"/>
        <v>3.3333333333333333E-2</v>
      </c>
      <c r="V17" s="81">
        <f t="shared" si="2"/>
        <v>4.1666666666666664E-2</v>
      </c>
      <c r="W17" s="81">
        <f t="shared" si="2"/>
        <v>0.05</v>
      </c>
      <c r="X17" s="81">
        <f t="shared" si="2"/>
        <v>0.1</v>
      </c>
      <c r="Y17" s="81">
        <f t="shared" si="2"/>
        <v>0.5</v>
      </c>
    </row>
    <row r="18" spans="1:25">
      <c r="A18" s="45">
        <v>3</v>
      </c>
      <c r="B18" s="82">
        <f t="shared" si="1"/>
        <v>0</v>
      </c>
      <c r="E18" s="12"/>
    </row>
    <row r="19" spans="1:25">
      <c r="A19" s="45">
        <v>4</v>
      </c>
      <c r="B19" s="82">
        <f t="shared" si="1"/>
        <v>0</v>
      </c>
      <c r="D19" s="44"/>
      <c r="E19" s="12"/>
    </row>
    <row r="20" spans="1:25">
      <c r="A20" s="45">
        <v>5</v>
      </c>
      <c r="B20" s="82">
        <f t="shared" si="1"/>
        <v>0</v>
      </c>
      <c r="D20" s="44"/>
      <c r="E20" s="12"/>
    </row>
    <row r="21" spans="1:25">
      <c r="A21" s="45">
        <v>6</v>
      </c>
      <c r="B21" s="82">
        <f t="shared" si="1"/>
        <v>0</v>
      </c>
      <c r="D21" s="44"/>
      <c r="E21" s="12"/>
    </row>
    <row r="22" spans="1:25">
      <c r="A22" s="45">
        <v>7</v>
      </c>
      <c r="B22" s="82">
        <f t="shared" si="1"/>
        <v>0</v>
      </c>
      <c r="D22" s="44"/>
      <c r="E22" s="12"/>
    </row>
    <row r="23" spans="1:25">
      <c r="A23" s="45">
        <v>8</v>
      </c>
      <c r="B23" s="82">
        <f t="shared" si="1"/>
        <v>0</v>
      </c>
      <c r="D23" s="44"/>
      <c r="E23" s="12"/>
    </row>
    <row r="24" spans="1:25">
      <c r="A24" s="45">
        <v>9</v>
      </c>
      <c r="B24" s="82">
        <f t="shared" si="1"/>
        <v>0</v>
      </c>
      <c r="D24" s="44"/>
      <c r="E24" s="12"/>
    </row>
    <row r="25" spans="1:25">
      <c r="A25" s="45">
        <v>10</v>
      </c>
      <c r="B25" s="82">
        <f t="shared" si="1"/>
        <v>0</v>
      </c>
      <c r="D25" s="44"/>
      <c r="E25" s="12"/>
    </row>
    <row r="26" spans="1:25">
      <c r="A26" s="45">
        <v>11</v>
      </c>
      <c r="B26" s="82">
        <f t="shared" si="1"/>
        <v>0</v>
      </c>
      <c r="D26" s="44"/>
      <c r="E26" s="12"/>
    </row>
    <row r="27" spans="1:25">
      <c r="A27" s="45">
        <v>12</v>
      </c>
      <c r="B27" s="82">
        <f t="shared" si="1"/>
        <v>0</v>
      </c>
      <c r="D27" s="44"/>
      <c r="E27" s="12"/>
    </row>
    <row r="28" spans="1:25">
      <c r="A28" s="45">
        <v>13</v>
      </c>
      <c r="B28" s="82">
        <f t="shared" si="1"/>
        <v>0</v>
      </c>
      <c r="D28" s="44"/>
      <c r="E28" s="12"/>
    </row>
    <row r="29" spans="1:25">
      <c r="A29" s="45">
        <v>14</v>
      </c>
      <c r="B29" s="82">
        <f t="shared" si="1"/>
        <v>0</v>
      </c>
      <c r="D29" s="44"/>
      <c r="E29" s="12"/>
    </row>
    <row r="30" spans="1:25">
      <c r="A30" s="45">
        <v>15</v>
      </c>
      <c r="B30" s="82">
        <f t="shared" si="1"/>
        <v>0</v>
      </c>
      <c r="D30" s="44"/>
      <c r="E30" s="12"/>
    </row>
    <row r="31" spans="1:25">
      <c r="A31" s="45">
        <v>16</v>
      </c>
      <c r="B31" s="82">
        <f t="shared" si="1"/>
        <v>0</v>
      </c>
      <c r="D31" s="44"/>
      <c r="E31" s="12"/>
    </row>
    <row r="32" spans="1:25">
      <c r="A32" s="45">
        <v>17</v>
      </c>
      <c r="B32" s="82">
        <f t="shared" si="1"/>
        <v>0</v>
      </c>
      <c r="D32" s="44"/>
      <c r="E32" s="12"/>
    </row>
    <row r="33" spans="1:5">
      <c r="A33" s="45">
        <v>18</v>
      </c>
      <c r="B33" s="82">
        <f t="shared" si="1"/>
        <v>0</v>
      </c>
      <c r="D33" s="44"/>
      <c r="E33" s="12"/>
    </row>
    <row r="34" spans="1:5" s="44" customFormat="1">
      <c r="A34" s="45">
        <v>19</v>
      </c>
      <c r="B34" s="82">
        <f t="shared" si="1"/>
        <v>0</v>
      </c>
      <c r="E34" s="12"/>
    </row>
    <row r="35" spans="1:5" s="44" customFormat="1">
      <c r="A35" s="45">
        <v>20</v>
      </c>
      <c r="B35" s="82">
        <f t="shared" si="1"/>
        <v>0</v>
      </c>
      <c r="E35" s="12"/>
    </row>
    <row r="36" spans="1:5">
      <c r="A36" s="45">
        <v>21</v>
      </c>
      <c r="B36" s="82">
        <f t="shared" si="1"/>
        <v>0</v>
      </c>
      <c r="D36" s="44"/>
      <c r="E36" s="12"/>
    </row>
    <row r="37" spans="1:5">
      <c r="A37" s="45">
        <v>22</v>
      </c>
      <c r="B37" s="82">
        <f t="shared" si="1"/>
        <v>0</v>
      </c>
      <c r="D37" s="44"/>
      <c r="E37" s="12"/>
    </row>
    <row r="38" spans="1:5">
      <c r="A38" s="45">
        <v>23</v>
      </c>
      <c r="B38" s="82">
        <f t="shared" si="1"/>
        <v>0</v>
      </c>
    </row>
    <row r="39" spans="1:5">
      <c r="A39" s="45">
        <v>24</v>
      </c>
      <c r="B39" s="82">
        <f t="shared" si="1"/>
        <v>0</v>
      </c>
    </row>
    <row r="40" spans="1:5">
      <c r="A40" s="45">
        <v>25</v>
      </c>
      <c r="B40" s="82">
        <f t="shared" si="1"/>
        <v>0</v>
      </c>
    </row>
    <row r="41" spans="1:5">
      <c r="A41" s="45">
        <v>26</v>
      </c>
      <c r="B41" s="82">
        <f t="shared" si="1"/>
        <v>0</v>
      </c>
    </row>
    <row r="42" spans="1:5">
      <c r="A42" s="45">
        <v>27</v>
      </c>
      <c r="B42" s="82">
        <f t="shared" si="1"/>
        <v>0</v>
      </c>
    </row>
    <row r="43" spans="1:5">
      <c r="A43" s="45">
        <v>28</v>
      </c>
      <c r="B43" s="82">
        <f t="shared" si="1"/>
        <v>0</v>
      </c>
    </row>
    <row r="44" spans="1:5">
      <c r="A44" s="45">
        <v>29</v>
      </c>
      <c r="B44" s="82">
        <f t="shared" si="1"/>
        <v>0</v>
      </c>
    </row>
    <row r="45" spans="1:5">
      <c r="A45" s="45">
        <v>30</v>
      </c>
      <c r="B45" s="82">
        <f t="shared" si="1"/>
        <v>0</v>
      </c>
    </row>
    <row r="46" spans="1:5">
      <c r="A46" s="45">
        <v>31</v>
      </c>
      <c r="B46" s="82">
        <f t="shared" si="1"/>
        <v>0</v>
      </c>
    </row>
    <row r="47" spans="1:5">
      <c r="A47" s="45">
        <v>32</v>
      </c>
      <c r="B47" s="82">
        <f t="shared" ref="B47:B78" si="3">IF(A47&lt;$A$5,0,IF(A47&lt;=$A$6,(A47-$A$5)*$B$6/($A$6-$A$5),IF(A47&lt;=$A$7,$B$6+(A47-$A$6)*($B$7-$B$6)/($A$7-$A$6),IF(A47&lt;=$A$8,$B$7+(A47-$A$7)*($B$8-$B$7)/($A$8-$A$7),$B$8+(A47-$A$8)*($B$9-$B$8)/(100-$A$8)))))</f>
        <v>0</v>
      </c>
    </row>
    <row r="48" spans="1:5">
      <c r="A48" s="45">
        <v>33</v>
      </c>
      <c r="B48" s="82">
        <f t="shared" si="3"/>
        <v>0</v>
      </c>
    </row>
    <row r="49" spans="1:2">
      <c r="A49" s="45">
        <v>34</v>
      </c>
      <c r="B49" s="82">
        <f t="shared" si="3"/>
        <v>0</v>
      </c>
    </row>
    <row r="50" spans="1:2">
      <c r="A50" s="45">
        <v>35</v>
      </c>
      <c r="B50" s="82">
        <f t="shared" si="3"/>
        <v>0</v>
      </c>
    </row>
    <row r="51" spans="1:2">
      <c r="A51" s="45">
        <v>36</v>
      </c>
      <c r="B51" s="82">
        <f t="shared" si="3"/>
        <v>0</v>
      </c>
    </row>
    <row r="52" spans="1:2">
      <c r="A52" s="45">
        <v>37</v>
      </c>
      <c r="B52" s="82">
        <f t="shared" si="3"/>
        <v>0</v>
      </c>
    </row>
    <row r="53" spans="1:2">
      <c r="A53" s="45">
        <v>38</v>
      </c>
      <c r="B53" s="82">
        <f t="shared" si="3"/>
        <v>0</v>
      </c>
    </row>
    <row r="54" spans="1:2">
      <c r="A54" s="45">
        <v>39</v>
      </c>
      <c r="B54" s="82">
        <f t="shared" si="3"/>
        <v>0</v>
      </c>
    </row>
    <row r="55" spans="1:2">
      <c r="A55" s="45">
        <v>40</v>
      </c>
      <c r="B55" s="82">
        <f t="shared" si="3"/>
        <v>0</v>
      </c>
    </row>
    <row r="56" spans="1:2">
      <c r="A56" s="45">
        <v>41</v>
      </c>
      <c r="B56" s="82">
        <f t="shared" si="3"/>
        <v>0</v>
      </c>
    </row>
    <row r="57" spans="1:2">
      <c r="A57" s="45">
        <v>42</v>
      </c>
      <c r="B57" s="82">
        <f t="shared" si="3"/>
        <v>0</v>
      </c>
    </row>
    <row r="58" spans="1:2">
      <c r="A58" s="45">
        <v>43</v>
      </c>
      <c r="B58" s="82">
        <f t="shared" si="3"/>
        <v>0</v>
      </c>
    </row>
    <row r="59" spans="1:2">
      <c r="A59" s="45">
        <v>44</v>
      </c>
      <c r="B59" s="82">
        <f t="shared" si="3"/>
        <v>0</v>
      </c>
    </row>
    <row r="60" spans="1:2">
      <c r="A60" s="45">
        <v>45</v>
      </c>
      <c r="B60" s="82">
        <f t="shared" si="3"/>
        <v>0</v>
      </c>
    </row>
    <row r="61" spans="1:2">
      <c r="A61" s="45">
        <v>46</v>
      </c>
      <c r="B61" s="82">
        <f t="shared" si="3"/>
        <v>0</v>
      </c>
    </row>
    <row r="62" spans="1:2">
      <c r="A62" s="45">
        <v>47</v>
      </c>
      <c r="B62" s="82">
        <f t="shared" si="3"/>
        <v>0</v>
      </c>
    </row>
    <row r="63" spans="1:2">
      <c r="A63" s="45">
        <v>48</v>
      </c>
      <c r="B63" s="82">
        <f t="shared" si="3"/>
        <v>0</v>
      </c>
    </row>
    <row r="64" spans="1:2">
      <c r="A64" s="45">
        <v>49</v>
      </c>
      <c r="B64" s="82">
        <f t="shared" si="3"/>
        <v>0</v>
      </c>
    </row>
    <row r="65" spans="1:2">
      <c r="A65" s="45">
        <v>50</v>
      </c>
      <c r="B65" s="82">
        <f t="shared" si="3"/>
        <v>0</v>
      </c>
    </row>
    <row r="66" spans="1:2">
      <c r="A66" s="45">
        <v>51</v>
      </c>
      <c r="B66" s="82">
        <f t="shared" si="3"/>
        <v>0</v>
      </c>
    </row>
    <row r="67" spans="1:2">
      <c r="A67" s="45">
        <v>52</v>
      </c>
      <c r="B67" s="82">
        <f t="shared" si="3"/>
        <v>0</v>
      </c>
    </row>
    <row r="68" spans="1:2">
      <c r="A68" s="45">
        <v>53</v>
      </c>
      <c r="B68" s="82">
        <f t="shared" si="3"/>
        <v>0</v>
      </c>
    </row>
    <row r="69" spans="1:2">
      <c r="A69" s="45">
        <v>54</v>
      </c>
      <c r="B69" s="82">
        <f t="shared" si="3"/>
        <v>0</v>
      </c>
    </row>
    <row r="70" spans="1:2">
      <c r="A70" s="45">
        <v>55</v>
      </c>
      <c r="B70" s="82">
        <f t="shared" si="3"/>
        <v>0</v>
      </c>
    </row>
    <row r="71" spans="1:2">
      <c r="A71" s="45">
        <v>56</v>
      </c>
      <c r="B71" s="82">
        <f t="shared" si="3"/>
        <v>0</v>
      </c>
    </row>
    <row r="72" spans="1:2">
      <c r="A72" s="45">
        <v>57</v>
      </c>
      <c r="B72" s="82">
        <f t="shared" si="3"/>
        <v>0</v>
      </c>
    </row>
    <row r="73" spans="1:2">
      <c r="A73" s="45">
        <v>58</v>
      </c>
      <c r="B73" s="82">
        <f t="shared" si="3"/>
        <v>0</v>
      </c>
    </row>
    <row r="74" spans="1:2">
      <c r="A74" s="45">
        <v>59</v>
      </c>
      <c r="B74" s="82">
        <f t="shared" si="3"/>
        <v>0</v>
      </c>
    </row>
    <row r="75" spans="1:2">
      <c r="A75" s="45">
        <v>60</v>
      </c>
      <c r="B75" s="82">
        <f t="shared" si="3"/>
        <v>0</v>
      </c>
    </row>
    <row r="76" spans="1:2">
      <c r="A76" s="45">
        <v>61</v>
      </c>
      <c r="B76" s="82">
        <f t="shared" si="3"/>
        <v>1.6666666666666668E-3</v>
      </c>
    </row>
    <row r="77" spans="1:2">
      <c r="A77" s="45">
        <v>62</v>
      </c>
      <c r="B77" s="82">
        <f t="shared" si="3"/>
        <v>3.3333333333333335E-3</v>
      </c>
    </row>
    <row r="78" spans="1:2">
      <c r="A78" s="45">
        <v>63</v>
      </c>
      <c r="B78" s="82">
        <f t="shared" si="3"/>
        <v>5.000000000000001E-3</v>
      </c>
    </row>
    <row r="79" spans="1:2">
      <c r="A79" s="45">
        <v>64</v>
      </c>
      <c r="B79" s="82">
        <f t="shared" ref="B79:B110" si="4">IF(A79&lt;$A$5,0,IF(A79&lt;=$A$6,(A79-$A$5)*$B$6/($A$6-$A$5),IF(A79&lt;=$A$7,$B$6+(A79-$A$6)*($B$7-$B$6)/($A$7-$A$6),IF(A79&lt;=$A$8,$B$7+(A79-$A$7)*($B$8-$B$7)/($A$8-$A$7),$B$8+(A79-$A$8)*($B$9-$B$8)/(100-$A$8)))))</f>
        <v>6.6666666666666671E-3</v>
      </c>
    </row>
    <row r="80" spans="1:2">
      <c r="A80" s="45">
        <v>65</v>
      </c>
      <c r="B80" s="82">
        <f t="shared" si="4"/>
        <v>8.3333333333333332E-3</v>
      </c>
    </row>
    <row r="81" spans="1:2">
      <c r="A81" s="45">
        <v>66</v>
      </c>
      <c r="B81" s="82">
        <f t="shared" si="4"/>
        <v>1.0000000000000002E-2</v>
      </c>
    </row>
    <row r="82" spans="1:2">
      <c r="A82" s="45">
        <v>67</v>
      </c>
      <c r="B82" s="82">
        <f t="shared" si="4"/>
        <v>1.1666666666666667E-2</v>
      </c>
    </row>
    <row r="83" spans="1:2">
      <c r="A83" s="45">
        <v>68</v>
      </c>
      <c r="B83" s="82">
        <f t="shared" si="4"/>
        <v>1.3333333333333334E-2</v>
      </c>
    </row>
    <row r="84" spans="1:2">
      <c r="A84" s="45">
        <v>69</v>
      </c>
      <c r="B84" s="82">
        <f t="shared" si="4"/>
        <v>1.5000000000000001E-2</v>
      </c>
    </row>
    <row r="85" spans="1:2">
      <c r="A85" s="45">
        <v>70</v>
      </c>
      <c r="B85" s="82">
        <f t="shared" si="4"/>
        <v>1.6666666666666666E-2</v>
      </c>
    </row>
    <row r="86" spans="1:2">
      <c r="A86" s="45">
        <v>71</v>
      </c>
      <c r="B86" s="82">
        <f t="shared" si="4"/>
        <v>1.8333333333333333E-2</v>
      </c>
    </row>
    <row r="87" spans="1:2">
      <c r="A87" s="45">
        <v>72</v>
      </c>
      <c r="B87" s="82">
        <f t="shared" si="4"/>
        <v>2.0000000000000004E-2</v>
      </c>
    </row>
    <row r="88" spans="1:2">
      <c r="A88" s="45">
        <v>73</v>
      </c>
      <c r="B88" s="82">
        <f t="shared" si="4"/>
        <v>2.1666666666666667E-2</v>
      </c>
    </row>
    <row r="89" spans="1:2">
      <c r="A89" s="45">
        <v>74</v>
      </c>
      <c r="B89" s="82">
        <f t="shared" si="4"/>
        <v>2.3333333333333334E-2</v>
      </c>
    </row>
    <row r="90" spans="1:2">
      <c r="A90" s="45">
        <v>75</v>
      </c>
      <c r="B90" s="82">
        <f t="shared" si="4"/>
        <v>2.5000000000000001E-2</v>
      </c>
    </row>
    <row r="91" spans="1:2">
      <c r="A91" s="45">
        <v>76</v>
      </c>
      <c r="B91" s="82">
        <f t="shared" si="4"/>
        <v>2.6666666666666668E-2</v>
      </c>
    </row>
    <row r="92" spans="1:2">
      <c r="A92" s="45">
        <v>77</v>
      </c>
      <c r="B92" s="82">
        <f t="shared" si="4"/>
        <v>2.8333333333333335E-2</v>
      </c>
    </row>
    <row r="93" spans="1:2">
      <c r="A93" s="45">
        <v>78</v>
      </c>
      <c r="B93" s="82">
        <f t="shared" si="4"/>
        <v>3.0000000000000002E-2</v>
      </c>
    </row>
    <row r="94" spans="1:2">
      <c r="A94" s="45">
        <v>79</v>
      </c>
      <c r="B94" s="82">
        <f t="shared" si="4"/>
        <v>3.1666666666666669E-2</v>
      </c>
    </row>
    <row r="95" spans="1:2">
      <c r="A95" s="45">
        <v>80</v>
      </c>
      <c r="B95" s="82">
        <f t="shared" si="4"/>
        <v>3.3333333333333333E-2</v>
      </c>
    </row>
    <row r="96" spans="1:2">
      <c r="A96" s="45">
        <v>81</v>
      </c>
      <c r="B96" s="82">
        <f t="shared" si="4"/>
        <v>3.5000000000000003E-2</v>
      </c>
    </row>
    <row r="97" spans="1:2">
      <c r="A97" s="45">
        <v>82</v>
      </c>
      <c r="B97" s="82">
        <f t="shared" si="4"/>
        <v>3.6666666666666667E-2</v>
      </c>
    </row>
    <row r="98" spans="1:2">
      <c r="A98" s="45">
        <v>83</v>
      </c>
      <c r="B98" s="82">
        <f t="shared" si="4"/>
        <v>3.8333333333333337E-2</v>
      </c>
    </row>
    <row r="99" spans="1:2">
      <c r="A99" s="45">
        <v>84</v>
      </c>
      <c r="B99" s="82">
        <f t="shared" si="4"/>
        <v>4.0000000000000008E-2</v>
      </c>
    </row>
    <row r="100" spans="1:2">
      <c r="A100" s="45">
        <v>85</v>
      </c>
      <c r="B100" s="82">
        <f t="shared" si="4"/>
        <v>4.1666666666666664E-2</v>
      </c>
    </row>
    <row r="101" spans="1:2">
      <c r="A101" s="45">
        <v>86</v>
      </c>
      <c r="B101" s="82">
        <f t="shared" si="4"/>
        <v>4.3333333333333335E-2</v>
      </c>
    </row>
    <row r="102" spans="1:2">
      <c r="A102" s="45">
        <v>87</v>
      </c>
      <c r="B102" s="82">
        <f t="shared" si="4"/>
        <v>4.5000000000000005E-2</v>
      </c>
    </row>
    <row r="103" spans="1:2">
      <c r="A103" s="45">
        <v>88</v>
      </c>
      <c r="B103" s="82">
        <f t="shared" si="4"/>
        <v>4.6666666666666669E-2</v>
      </c>
    </row>
    <row r="104" spans="1:2">
      <c r="A104" s="45">
        <v>89</v>
      </c>
      <c r="B104" s="82">
        <f t="shared" si="4"/>
        <v>4.8333333333333339E-2</v>
      </c>
    </row>
    <row r="105" spans="1:2">
      <c r="A105" s="45">
        <v>90</v>
      </c>
      <c r="B105" s="82">
        <f t="shared" si="4"/>
        <v>0.05</v>
      </c>
    </row>
    <row r="106" spans="1:2">
      <c r="A106" s="45">
        <v>91</v>
      </c>
      <c r="B106" s="82">
        <f t="shared" si="4"/>
        <v>6.0000000000000005E-2</v>
      </c>
    </row>
    <row r="107" spans="1:2">
      <c r="A107" s="45">
        <v>92</v>
      </c>
      <c r="B107" s="82">
        <f t="shared" si="4"/>
        <v>7.0000000000000007E-2</v>
      </c>
    </row>
    <row r="108" spans="1:2">
      <c r="A108" s="45">
        <v>93</v>
      </c>
      <c r="B108" s="82">
        <f t="shared" si="4"/>
        <v>8.0000000000000016E-2</v>
      </c>
    </row>
    <row r="109" spans="1:2">
      <c r="A109" s="45">
        <v>94</v>
      </c>
      <c r="B109" s="82">
        <f t="shared" si="4"/>
        <v>0.09</v>
      </c>
    </row>
    <row r="110" spans="1:2">
      <c r="A110" s="45">
        <v>95</v>
      </c>
      <c r="B110" s="82">
        <f t="shared" si="4"/>
        <v>0.1</v>
      </c>
    </row>
    <row r="111" spans="1:2">
      <c r="A111" s="45">
        <v>96</v>
      </c>
      <c r="B111" s="82">
        <f t="shared" ref="B111:B115" si="5">IF(A111&lt;$A$5,0,IF(A111&lt;=$A$6,(A111-$A$5)*$B$6/($A$6-$A$5),IF(A111&lt;=$A$7,$B$6+(A111-$A$6)*($B$7-$B$6)/($A$7-$A$6),IF(A111&lt;=$A$8,$B$7+(A111-$A$7)*($B$8-$B$7)/($A$8-$A$7),$B$8+(A111-$A$8)*($B$9-$B$8)/(100-$A$8)))))</f>
        <v>0.13333333333333333</v>
      </c>
    </row>
    <row r="112" spans="1:2">
      <c r="A112" s="45">
        <v>97</v>
      </c>
      <c r="B112" s="82">
        <f t="shared" si="5"/>
        <v>0.16666666666666669</v>
      </c>
    </row>
    <row r="113" spans="1:2">
      <c r="A113" s="45">
        <v>98</v>
      </c>
      <c r="B113" s="82">
        <f t="shared" si="5"/>
        <v>0.2</v>
      </c>
    </row>
    <row r="114" spans="1:2">
      <c r="A114" s="45">
        <v>99</v>
      </c>
      <c r="B114" s="82">
        <f t="shared" si="5"/>
        <v>0.35</v>
      </c>
    </row>
    <row r="115" spans="1:2">
      <c r="A115" s="45">
        <v>100</v>
      </c>
      <c r="B115" s="82">
        <f t="shared" si="5"/>
        <v>0.5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45"/>
  <sheetViews>
    <sheetView topLeftCell="A285" workbookViewId="0">
      <selection activeCell="B284" sqref="B284"/>
    </sheetView>
  </sheetViews>
  <sheetFormatPr defaultRowHeight="15"/>
  <cols>
    <col min="1" max="1" width="15.28515625" customWidth="1"/>
    <col min="2" max="2" width="20" style="25" customWidth="1"/>
    <col min="3" max="3" width="18.42578125" style="2" customWidth="1"/>
    <col min="4" max="4" width="18.140625" customWidth="1"/>
    <col min="5" max="5" width="13.140625" customWidth="1"/>
    <col min="6" max="6" width="17.85546875" customWidth="1"/>
    <col min="14" max="14" width="10.85546875" customWidth="1"/>
    <col min="27" max="27" width="13" customWidth="1"/>
    <col min="28" max="28" width="13.5703125" customWidth="1"/>
    <col min="29" max="29" width="11.140625" customWidth="1"/>
  </cols>
  <sheetData>
    <row r="1" spans="1:5">
      <c r="A1" s="54" t="s">
        <v>101</v>
      </c>
    </row>
    <row r="2" spans="1:5" ht="30">
      <c r="A2" s="3" t="s">
        <v>3</v>
      </c>
      <c r="B2" s="24" t="s">
        <v>0</v>
      </c>
      <c r="C2" s="1" t="s">
        <v>4</v>
      </c>
      <c r="D2" s="1" t="s">
        <v>1</v>
      </c>
      <c r="E2" s="1" t="s">
        <v>2</v>
      </c>
    </row>
    <row r="3" spans="1:5">
      <c r="A3" s="4">
        <v>0</v>
      </c>
      <c r="B3" s="76">
        <v>0.54705915111111103</v>
      </c>
      <c r="C3" s="5">
        <f t="shared" ref="C3:C26" si="0">LN(B3)</f>
        <v>-0.60319834509192838</v>
      </c>
      <c r="D3" s="76">
        <v>2.7099668858555774</v>
      </c>
      <c r="E3" s="76">
        <v>0.31307036950422445</v>
      </c>
    </row>
    <row r="4" spans="1:5">
      <c r="A4" s="4">
        <v>1</v>
      </c>
      <c r="B4" s="76">
        <v>0.30210809111111114</v>
      </c>
      <c r="C4" s="12">
        <f t="shared" si="0"/>
        <v>-1.1969704080580263</v>
      </c>
      <c r="D4" s="76">
        <v>2.5235961985898725</v>
      </c>
      <c r="E4" s="76">
        <v>0.36368963370782842</v>
      </c>
    </row>
    <row r="5" spans="1:5">
      <c r="A5" s="4">
        <v>2</v>
      </c>
      <c r="B5" s="76">
        <v>0.19123856888888888</v>
      </c>
      <c r="C5" s="12">
        <f t="shared" si="0"/>
        <v>-1.654233578577434</v>
      </c>
      <c r="D5" s="76">
        <v>2.4103539051329452</v>
      </c>
      <c r="E5" s="76">
        <v>0.39784694575620771</v>
      </c>
    </row>
    <row r="6" spans="1:5">
      <c r="A6" s="4">
        <v>3</v>
      </c>
      <c r="B6" s="76">
        <v>0.17781025555555557</v>
      </c>
      <c r="C6" s="12">
        <f t="shared" si="0"/>
        <v>-1.727038277275813</v>
      </c>
      <c r="D6" s="76">
        <v>2.3554325284855131</v>
      </c>
      <c r="E6" s="76">
        <v>0.40235056808525971</v>
      </c>
    </row>
    <row r="7" spans="1:5">
      <c r="A7" s="4">
        <v>4</v>
      </c>
      <c r="B7" s="76">
        <v>0.35924234000000005</v>
      </c>
      <c r="C7" s="12">
        <f t="shared" si="0"/>
        <v>-1.0237580764493497</v>
      </c>
      <c r="D7" s="76">
        <v>2.5455343176319518</v>
      </c>
      <c r="E7" s="76">
        <v>0.36443337757271332</v>
      </c>
    </row>
    <row r="8" spans="1:5">
      <c r="A8" s="4">
        <v>5</v>
      </c>
      <c r="B8" s="76">
        <v>0.95434750888888886</v>
      </c>
      <c r="C8" s="12">
        <f t="shared" si="0"/>
        <v>-4.6727408779576103E-2</v>
      </c>
      <c r="D8" s="76">
        <v>2.9667048094852944</v>
      </c>
      <c r="E8" s="76">
        <v>0.27281513621882036</v>
      </c>
    </row>
    <row r="9" spans="1:5">
      <c r="A9" s="4">
        <v>6</v>
      </c>
      <c r="B9" s="76">
        <v>1.3952391016858241</v>
      </c>
      <c r="C9" s="12">
        <f t="shared" si="0"/>
        <v>0.33306579964412708</v>
      </c>
      <c r="D9" s="76">
        <v>3.2003399019717085</v>
      </c>
      <c r="E9" s="76">
        <v>0.21703425578920937</v>
      </c>
    </row>
    <row r="10" spans="1:5">
      <c r="A10" s="4">
        <v>7</v>
      </c>
      <c r="B10" s="76">
        <v>1.6468302396934869</v>
      </c>
      <c r="C10" s="12">
        <f t="shared" si="0"/>
        <v>0.49885237344449007</v>
      </c>
      <c r="D10" s="76">
        <v>3.3054725489741754</v>
      </c>
      <c r="E10" s="76">
        <v>0.21636280362355084</v>
      </c>
    </row>
    <row r="11" spans="1:5">
      <c r="A11" s="4">
        <v>8</v>
      </c>
      <c r="B11" s="76">
        <v>1.8977111415325671</v>
      </c>
      <c r="C11" s="12">
        <f t="shared" si="0"/>
        <v>0.64064849763215714</v>
      </c>
      <c r="D11" s="76">
        <v>3.410283972316972</v>
      </c>
      <c r="E11" s="76">
        <v>0.21035771093276692</v>
      </c>
    </row>
    <row r="12" spans="1:5">
      <c r="A12" s="4">
        <v>9</v>
      </c>
      <c r="B12" s="76">
        <v>2.1127480528735636</v>
      </c>
      <c r="C12" s="12">
        <f t="shared" si="0"/>
        <v>0.74798949483443966</v>
      </c>
      <c r="D12" s="76">
        <v>3.4873616202523894</v>
      </c>
      <c r="E12" s="76">
        <v>0.19342711707443824</v>
      </c>
    </row>
    <row r="13" spans="1:5">
      <c r="A13" s="4">
        <v>10</v>
      </c>
      <c r="B13" s="76">
        <v>2.2471277933333327</v>
      </c>
      <c r="C13" s="12">
        <f t="shared" si="0"/>
        <v>0.80965286445351869</v>
      </c>
      <c r="D13" s="76">
        <v>3.54089835431619</v>
      </c>
      <c r="E13" s="76">
        <v>0.18034252326503716</v>
      </c>
    </row>
    <row r="14" spans="1:5">
      <c r="A14" s="4">
        <v>11</v>
      </c>
      <c r="B14" s="76">
        <v>2.3458744600000001</v>
      </c>
      <c r="C14" s="12">
        <f t="shared" si="0"/>
        <v>0.85265823643797989</v>
      </c>
      <c r="D14" s="76">
        <v>3.5532206829285915</v>
      </c>
      <c r="E14" s="76">
        <v>0.17363274427029793</v>
      </c>
    </row>
    <row r="15" spans="1:5">
      <c r="A15" s="4">
        <v>12</v>
      </c>
      <c r="B15" s="76">
        <v>2.6348075555555552</v>
      </c>
      <c r="C15" s="12">
        <f t="shared" si="0"/>
        <v>0.96881014538145638</v>
      </c>
      <c r="D15" s="76">
        <v>3.6276884433559631</v>
      </c>
      <c r="E15" s="76">
        <v>0.15289246454324834</v>
      </c>
    </row>
    <row r="16" spans="1:5">
      <c r="A16" s="4">
        <v>13</v>
      </c>
      <c r="B16" s="76">
        <v>2.5970738657471264</v>
      </c>
      <c r="C16" s="12">
        <f t="shared" si="0"/>
        <v>0.95438537499739029</v>
      </c>
      <c r="D16" s="76">
        <v>3.6105243224187764</v>
      </c>
      <c r="E16" s="76">
        <v>0.15004410960928849</v>
      </c>
    </row>
    <row r="17" spans="1:6">
      <c r="A17" s="4">
        <v>14</v>
      </c>
      <c r="B17" s="76">
        <v>2.6367986977777775</v>
      </c>
      <c r="C17" s="12">
        <f t="shared" si="0"/>
        <v>0.96956556686827644</v>
      </c>
      <c r="D17" s="76">
        <v>3.6332503197384241</v>
      </c>
      <c r="E17" s="76">
        <v>0.14402972793361166</v>
      </c>
    </row>
    <row r="18" spans="1:6">
      <c r="A18" s="4">
        <v>15</v>
      </c>
      <c r="B18" s="76">
        <v>2.6291948468199231</v>
      </c>
      <c r="C18" s="12">
        <f t="shared" si="0"/>
        <v>0.96667765742511191</v>
      </c>
      <c r="D18" s="76">
        <v>3.6228716333627742</v>
      </c>
      <c r="E18" s="76">
        <v>0.14434680768244537</v>
      </c>
    </row>
    <row r="19" spans="1:6">
      <c r="A19" s="4">
        <v>16</v>
      </c>
      <c r="B19" s="76">
        <v>2.7095263688888891</v>
      </c>
      <c r="C19" s="12">
        <f t="shared" si="0"/>
        <v>0.99677384798955271</v>
      </c>
      <c r="D19" s="76">
        <v>3.6419961621972994</v>
      </c>
      <c r="E19" s="76">
        <v>0.1414476054513947</v>
      </c>
    </row>
    <row r="20" spans="1:6">
      <c r="A20" s="4">
        <v>17</v>
      </c>
      <c r="B20" s="76">
        <v>2.6672917514942527</v>
      </c>
      <c r="C20" s="12">
        <f t="shared" si="0"/>
        <v>0.98106363235308713</v>
      </c>
      <c r="D20" s="76">
        <v>3.6540082379550967</v>
      </c>
      <c r="E20" s="76">
        <v>0.14762186971532201</v>
      </c>
    </row>
    <row r="21" spans="1:6">
      <c r="A21" s="4">
        <v>18</v>
      </c>
      <c r="B21" s="76">
        <v>3.6254902505747126</v>
      </c>
      <c r="C21" s="12">
        <f t="shared" si="0"/>
        <v>1.2879895207001775</v>
      </c>
      <c r="D21" s="76">
        <v>3.9019606981727253</v>
      </c>
      <c r="E21" s="76">
        <v>0.15143809019961327</v>
      </c>
    </row>
    <row r="22" spans="1:6">
      <c r="A22" s="4">
        <v>19</v>
      </c>
      <c r="B22" s="76">
        <v>4.399450104444445</v>
      </c>
      <c r="C22" s="12">
        <f t="shared" si="0"/>
        <v>1.4814795568514054</v>
      </c>
      <c r="D22" s="76">
        <v>4.0437752475805357</v>
      </c>
      <c r="E22" s="76">
        <v>0.11346381913674843</v>
      </c>
    </row>
    <row r="23" spans="1:6">
      <c r="A23" s="4">
        <v>20</v>
      </c>
      <c r="B23" s="76">
        <v>4.2813726177777767</v>
      </c>
      <c r="C23" s="12">
        <f t="shared" si="0"/>
        <v>1.4542736632670865</v>
      </c>
      <c r="D23" s="76">
        <v>4.0001882808346219</v>
      </c>
      <c r="E23" s="76">
        <v>0.12481640885781611</v>
      </c>
    </row>
    <row r="24" spans="1:6">
      <c r="A24" s="4">
        <v>21</v>
      </c>
      <c r="B24" s="76">
        <v>3.3526749333333328</v>
      </c>
      <c r="C24" s="12">
        <f t="shared" si="0"/>
        <v>1.2097585147775693</v>
      </c>
      <c r="D24" s="76">
        <v>3.7809956101622846</v>
      </c>
      <c r="E24" s="76">
        <v>0.16737413466411583</v>
      </c>
    </row>
    <row r="25" spans="1:6">
      <c r="A25" s="4">
        <v>22</v>
      </c>
      <c r="B25" s="76">
        <v>2.0333673111111108</v>
      </c>
      <c r="C25" s="12">
        <f t="shared" si="0"/>
        <v>0.70969319275405252</v>
      </c>
      <c r="D25" s="76">
        <v>3.4472118789166291</v>
      </c>
      <c r="E25" s="76">
        <v>0.23132652735301693</v>
      </c>
    </row>
    <row r="26" spans="1:6">
      <c r="A26" s="4">
        <v>23</v>
      </c>
      <c r="B26" s="76">
        <v>1.0004340733333335</v>
      </c>
      <c r="C26" s="12">
        <f t="shared" si="0"/>
        <v>4.3397915075787296E-4</v>
      </c>
      <c r="D26" s="76">
        <v>3.0199697376087351</v>
      </c>
      <c r="E26" s="76">
        <v>0.28172776675142158</v>
      </c>
    </row>
    <row r="28" spans="1:6">
      <c r="A28" s="54" t="s">
        <v>55</v>
      </c>
      <c r="B28" s="67">
        <f>SUM(B3:B26)</f>
        <v>48.744819081532569</v>
      </c>
    </row>
    <row r="29" spans="1:6">
      <c r="B29" s="25" t="s">
        <v>5</v>
      </c>
    </row>
    <row r="30" spans="1:6">
      <c r="C30" s="6" t="s">
        <v>7</v>
      </c>
      <c r="D30" s="7" t="s">
        <v>8</v>
      </c>
      <c r="E30" s="7" t="s">
        <v>9</v>
      </c>
      <c r="F30" s="8" t="s">
        <v>10</v>
      </c>
    </row>
    <row r="31" spans="1:6">
      <c r="B31" s="26" t="s">
        <v>11</v>
      </c>
      <c r="C31" s="21">
        <f t="array" ref="C31:F31">LINEST(D3:D26,B3:B26^{1,2,3})</f>
        <v>2.2406005797991412E-2</v>
      </c>
      <c r="D31" s="21">
        <v>-0.22547508165944907</v>
      </c>
      <c r="E31" s="21">
        <v>0.97180655080574763</v>
      </c>
      <c r="F31" s="21">
        <v>2.227493356121431</v>
      </c>
    </row>
    <row r="32" spans="1:6">
      <c r="B32" s="27"/>
      <c r="C32" s="11"/>
      <c r="D32" s="11"/>
      <c r="E32" s="11"/>
      <c r="F32" s="11"/>
    </row>
    <row r="34" spans="1:28">
      <c r="B34" s="25" t="s">
        <v>6</v>
      </c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</row>
    <row r="35" spans="1:28">
      <c r="C35" s="20" t="s">
        <v>13</v>
      </c>
      <c r="D35" s="20" t="s">
        <v>12</v>
      </c>
    </row>
    <row r="36" spans="1:28">
      <c r="B36" s="28" t="s">
        <v>11</v>
      </c>
      <c r="C36" s="2">
        <f t="array" ref="C36:D36">LINEST(E3:E26,C3:C26)</f>
        <v>-9.2492831809479994E-2</v>
      </c>
      <c r="D36">
        <v>0.25603830653932702</v>
      </c>
    </row>
    <row r="39" spans="1:28">
      <c r="A39" s="9" t="s">
        <v>14</v>
      </c>
      <c r="K39" s="9" t="s">
        <v>41</v>
      </c>
    </row>
    <row r="41" spans="1:28" ht="30">
      <c r="A41" s="29" t="s">
        <v>18</v>
      </c>
      <c r="B41" s="30" t="s">
        <v>15</v>
      </c>
      <c r="C41" s="29" t="s">
        <v>16</v>
      </c>
      <c r="D41" s="29" t="s">
        <v>19</v>
      </c>
      <c r="E41" s="29" t="s">
        <v>17</v>
      </c>
      <c r="F41" s="14" t="s">
        <v>45</v>
      </c>
      <c r="G41" s="14" t="s">
        <v>42</v>
      </c>
      <c r="H41" s="14" t="s">
        <v>43</v>
      </c>
      <c r="I41" s="14" t="s">
        <v>44</v>
      </c>
      <c r="J41" s="14" t="s">
        <v>46</v>
      </c>
      <c r="K41" s="14" t="s">
        <v>47</v>
      </c>
      <c r="L41" s="54" t="s">
        <v>79</v>
      </c>
      <c r="M41" s="54" t="s">
        <v>80</v>
      </c>
      <c r="N41" s="54" t="s">
        <v>81</v>
      </c>
      <c r="O41" s="54" t="s">
        <v>82</v>
      </c>
      <c r="P41" s="54" t="s">
        <v>83</v>
      </c>
      <c r="Q41" s="54" t="s">
        <v>84</v>
      </c>
      <c r="R41" s="54" t="s">
        <v>85</v>
      </c>
      <c r="S41" s="54" t="s">
        <v>86</v>
      </c>
      <c r="T41" s="54" t="s">
        <v>48</v>
      </c>
      <c r="U41" s="54" t="s">
        <v>87</v>
      </c>
      <c r="V41" s="54" t="s">
        <v>88</v>
      </c>
      <c r="W41" s="54" t="s">
        <v>89</v>
      </c>
      <c r="X41" s="54" t="s">
        <v>90</v>
      </c>
      <c r="Y41" s="54" t="s">
        <v>91</v>
      </c>
      <c r="Z41" s="54" t="s">
        <v>92</v>
      </c>
      <c r="AA41" s="54" t="s">
        <v>93</v>
      </c>
    </row>
    <row r="42" spans="1:28">
      <c r="A42" s="11">
        <v>0.1</v>
      </c>
      <c r="B42" s="12">
        <f t="shared" ref="B42:B73" si="1">LN(A42)</f>
        <v>-2.3025850929940455</v>
      </c>
      <c r="C42" s="12">
        <f t="shared" ref="C42:C73" si="2">((A42*$C$31+$D$31)*A42+$E$31)*A42+$F$31</f>
        <v>2.3224416663912093</v>
      </c>
      <c r="D42" s="12">
        <f t="shared" ref="D42:D73" si="3">EXP(C42)</f>
        <v>10.200550265072231</v>
      </c>
      <c r="E42" s="12">
        <f t="shared" ref="E42:E73" si="4">$C$36*B42+$D$36</f>
        <v>0.46901092227264113</v>
      </c>
      <c r="F42" s="12">
        <v>0</v>
      </c>
      <c r="G42" s="12">
        <f t="shared" ref="G42:U42" si="5">NORMDIST(LN(G$41),$C42,$E42,TRUE)</f>
        <v>1.3582543138794811E-3</v>
      </c>
      <c r="H42" s="12">
        <f t="shared" si="5"/>
        <v>0.2560029696190006</v>
      </c>
      <c r="I42" s="12">
        <f t="shared" si="5"/>
        <v>0.6676515624681636</v>
      </c>
      <c r="J42" s="12">
        <f t="shared" si="5"/>
        <v>0.87510214497711847</v>
      </c>
      <c r="K42" s="12">
        <f t="shared" si="5"/>
        <v>0.94405469350121307</v>
      </c>
      <c r="L42" s="31">
        <f t="shared" si="5"/>
        <v>0.97910306325776753</v>
      </c>
      <c r="M42" s="31">
        <f t="shared" si="5"/>
        <v>0.99189367610555113</v>
      </c>
      <c r="N42" s="31">
        <f t="shared" si="5"/>
        <v>0.99671820052461557</v>
      </c>
      <c r="O42" s="32">
        <f t="shared" si="5"/>
        <v>0.99861393876809712</v>
      </c>
      <c r="P42" s="31">
        <f t="shared" si="5"/>
        <v>0.99939069682285653</v>
      </c>
      <c r="Q42" s="31">
        <f t="shared" si="5"/>
        <v>0.99972202762651929</v>
      </c>
      <c r="R42" s="31">
        <f t="shared" si="5"/>
        <v>0.99986878088223263</v>
      </c>
      <c r="S42" s="31">
        <f t="shared" si="5"/>
        <v>0.99993608567306258</v>
      </c>
      <c r="T42" s="31">
        <f t="shared" si="5"/>
        <v>0.99996796053222026</v>
      </c>
      <c r="U42" s="31">
        <f t="shared" si="5"/>
        <v>0.9999835089710839</v>
      </c>
      <c r="V42" s="31">
        <f t="shared" ref="V42:Z42" si="6">NORMDIST(LN(V$41),$C42,$E42,TRUE)</f>
        <v>0.99999130279452952</v>
      </c>
      <c r="W42" s="31">
        <f t="shared" si="6"/>
        <v>0.99999530893755773</v>
      </c>
      <c r="X42" s="31">
        <f t="shared" si="6"/>
        <v>0.99999741656277796</v>
      </c>
      <c r="Y42" s="31">
        <f t="shared" si="6"/>
        <v>0.99999854952130973</v>
      </c>
      <c r="Z42" s="31">
        <f t="shared" si="6"/>
        <v>0.99999917085657253</v>
      </c>
      <c r="AA42" s="31">
        <v>1</v>
      </c>
    </row>
    <row r="43" spans="1:28">
      <c r="A43" s="11">
        <v>0.2</v>
      </c>
      <c r="B43" s="12">
        <f t="shared" si="1"/>
        <v>-1.6094379124341003</v>
      </c>
      <c r="C43" s="12">
        <f t="shared" si="2"/>
        <v>2.4130149110625867</v>
      </c>
      <c r="D43" s="12">
        <f t="shared" si="3"/>
        <v>11.167579700704446</v>
      </c>
      <c r="E43" s="12">
        <f t="shared" si="4"/>
        <v>0.40489977668189486</v>
      </c>
      <c r="F43" s="12">
        <v>0</v>
      </c>
      <c r="G43" s="12">
        <f t="shared" ref="G43:Z55" si="7">NORMDIST(LN(G$41),$C43,$E43,TRUE)</f>
        <v>1.092832127467247E-4</v>
      </c>
      <c r="H43" s="12">
        <f t="shared" si="7"/>
        <v>0.16274573917958612</v>
      </c>
      <c r="I43" s="12">
        <f t="shared" si="7"/>
        <v>0.60963751630857144</v>
      </c>
      <c r="J43" s="12">
        <f t="shared" si="7"/>
        <v>0.86636592785116373</v>
      </c>
      <c r="K43" s="12">
        <f t="shared" si="7"/>
        <v>0.94714479486368164</v>
      </c>
      <c r="L43" s="31">
        <f t="shared" si="7"/>
        <v>0.98358605790169262</v>
      </c>
      <c r="M43" s="31">
        <f t="shared" si="7"/>
        <v>0.99478233385856396</v>
      </c>
      <c r="N43" s="32">
        <f t="shared" si="7"/>
        <v>0.99827724728717759</v>
      </c>
      <c r="O43" s="31">
        <f t="shared" si="7"/>
        <v>0.99940649614935695</v>
      </c>
      <c r="P43" s="31">
        <f t="shared" si="7"/>
        <v>0.99978660558344357</v>
      </c>
      <c r="Q43" s="31">
        <f t="shared" si="7"/>
        <v>0.99992005182510257</v>
      </c>
      <c r="R43" s="31">
        <f t="shared" si="7"/>
        <v>0.99996886210161484</v>
      </c>
      <c r="S43" s="31">
        <f t="shared" si="7"/>
        <v>0.99998742466441748</v>
      </c>
      <c r="T43" s="31">
        <f t="shared" si="7"/>
        <v>0.99999474705531899</v>
      </c>
      <c r="U43" s="31">
        <f t="shared" si="7"/>
        <v>0.99999773588479257</v>
      </c>
      <c r="V43" s="31">
        <f t="shared" si="7"/>
        <v>0.9999989952888515</v>
      </c>
      <c r="W43" s="31">
        <f t="shared" si="7"/>
        <v>0.99999954191583063</v>
      </c>
      <c r="X43" s="31">
        <f t="shared" si="7"/>
        <v>0.99999978580803073</v>
      </c>
      <c r="Y43" s="31">
        <f t="shared" si="7"/>
        <v>0.99999989746289619</v>
      </c>
      <c r="Z43" s="31">
        <f t="shared" si="7"/>
        <v>0.99999994982218288</v>
      </c>
      <c r="AA43" s="31">
        <v>1</v>
      </c>
    </row>
    <row r="44" spans="1:28">
      <c r="A44" s="11">
        <v>0.3</v>
      </c>
      <c r="B44" s="12">
        <f t="shared" si="1"/>
        <v>-1.2039728043259361</v>
      </c>
      <c r="C44" s="12">
        <f t="shared" si="2"/>
        <v>2.4993475261703506</v>
      </c>
      <c r="D44" s="12">
        <f t="shared" si="3"/>
        <v>12.174547794828797</v>
      </c>
      <c r="E44" s="12">
        <f t="shared" si="4"/>
        <v>0.36739716063303379</v>
      </c>
      <c r="F44" s="12">
        <v>0</v>
      </c>
      <c r="G44" s="12">
        <f t="shared" si="7"/>
        <v>8.2055293744165425E-6</v>
      </c>
      <c r="H44" s="12">
        <f t="shared" si="7"/>
        <v>9.3653890679215479E-2</v>
      </c>
      <c r="I44" s="12">
        <f t="shared" si="7"/>
        <v>0.52862163189101041</v>
      </c>
      <c r="J44" s="12">
        <f t="shared" si="7"/>
        <v>0.83833365395468984</v>
      </c>
      <c r="K44" s="12">
        <f t="shared" si="7"/>
        <v>0.93918053014433889</v>
      </c>
      <c r="L44" s="31">
        <f t="shared" si="7"/>
        <v>0.98287208778110047</v>
      </c>
      <c r="M44" s="31">
        <f t="shared" si="7"/>
        <v>0.99516623511944902</v>
      </c>
      <c r="N44" s="32">
        <f t="shared" si="7"/>
        <v>0.99859822652095898</v>
      </c>
      <c r="O44" s="31">
        <f t="shared" si="7"/>
        <v>0.99957797452152564</v>
      </c>
      <c r="P44" s="31">
        <f t="shared" si="7"/>
        <v>0.99986763099119336</v>
      </c>
      <c r="Q44" s="31">
        <f t="shared" si="7"/>
        <v>0.99995673330004342</v>
      </c>
      <c r="R44" s="31">
        <f t="shared" si="7"/>
        <v>0.99998527958426542</v>
      </c>
      <c r="S44" s="31">
        <f t="shared" si="7"/>
        <v>0.99999479680873127</v>
      </c>
      <c r="T44" s="31">
        <f t="shared" si="7"/>
        <v>0.99999809333378775</v>
      </c>
      <c r="U44" s="31">
        <f t="shared" si="7"/>
        <v>0.99999927725285587</v>
      </c>
      <c r="V44" s="31">
        <f t="shared" si="7"/>
        <v>0.99999971719758063</v>
      </c>
      <c r="W44" s="31">
        <f t="shared" si="7"/>
        <v>0.99999988600328304</v>
      </c>
      <c r="X44" s="31">
        <f t="shared" si="7"/>
        <v>0.99999995275023323</v>
      </c>
      <c r="Y44" s="31">
        <f t="shared" si="7"/>
        <v>0.99999997989743838</v>
      </c>
      <c r="Z44" s="31">
        <f t="shared" si="7"/>
        <v>0.99999999123497607</v>
      </c>
      <c r="AA44" s="31">
        <v>1</v>
      </c>
    </row>
    <row r="45" spans="1:28">
      <c r="A45" s="11">
        <v>0.4</v>
      </c>
      <c r="B45" s="12">
        <f t="shared" si="1"/>
        <v>-0.916290731874155</v>
      </c>
      <c r="C45" s="12">
        <f t="shared" si="2"/>
        <v>2.5815739477492894</v>
      </c>
      <c r="D45" s="12">
        <f t="shared" si="3"/>
        <v>13.217926120852658</v>
      </c>
      <c r="E45" s="12">
        <f t="shared" si="4"/>
        <v>0.34078863109114854</v>
      </c>
      <c r="F45" s="12">
        <v>0</v>
      </c>
      <c r="G45" s="12">
        <f t="shared" si="7"/>
        <v>5.1307210324758046E-7</v>
      </c>
      <c r="H45" s="12">
        <f t="shared" si="7"/>
        <v>4.8174008096887766E-2</v>
      </c>
      <c r="I45" s="12">
        <f t="shared" si="7"/>
        <v>0.43491642977453882</v>
      </c>
      <c r="J45" s="12">
        <f t="shared" si="7"/>
        <v>0.79487771247921368</v>
      </c>
      <c r="K45" s="12">
        <f t="shared" si="7"/>
        <v>0.92328344670253304</v>
      </c>
      <c r="L45" s="31">
        <f t="shared" si="7"/>
        <v>0.97937767635978923</v>
      </c>
      <c r="M45" s="31">
        <f t="shared" si="7"/>
        <v>0.99458671033461798</v>
      </c>
      <c r="N45" s="32">
        <f t="shared" si="7"/>
        <v>0.99856135414359604</v>
      </c>
      <c r="O45" s="31">
        <f t="shared" si="7"/>
        <v>0.99960641911558334</v>
      </c>
      <c r="P45" s="31">
        <f t="shared" si="7"/>
        <v>0.99988834839829277</v>
      </c>
      <c r="Q45" s="31">
        <f t="shared" si="7"/>
        <v>0.99996706995420503</v>
      </c>
      <c r="R45" s="31">
        <f t="shared" si="7"/>
        <v>0.99998989969480268</v>
      </c>
      <c r="S45" s="31">
        <f t="shared" si="7"/>
        <v>0.99999678125233915</v>
      </c>
      <c r="T45" s="31">
        <f t="shared" si="7"/>
        <v>0.9999989358861392</v>
      </c>
      <c r="U45" s="31">
        <f t="shared" si="7"/>
        <v>0.99999963569646966</v>
      </c>
      <c r="V45" s="31">
        <f t="shared" si="7"/>
        <v>0.9999998710855621</v>
      </c>
      <c r="W45" s="31">
        <f t="shared" si="7"/>
        <v>0.99999995293469446</v>
      </c>
      <c r="X45" s="31">
        <f t="shared" si="7"/>
        <v>0.9999999823034641</v>
      </c>
      <c r="Y45" s="31">
        <f t="shared" si="7"/>
        <v>0.99999999315880372</v>
      </c>
      <c r="Z45" s="31">
        <f t="shared" si="7"/>
        <v>0.99999999728514677</v>
      </c>
      <c r="AA45" s="31">
        <v>1</v>
      </c>
    </row>
    <row r="46" spans="1:28">
      <c r="A46" s="11">
        <v>0.5</v>
      </c>
      <c r="B46" s="12">
        <f t="shared" si="1"/>
        <v>-0.69314718055994529</v>
      </c>
      <c r="C46" s="12">
        <f t="shared" si="2"/>
        <v>2.6598286118341914</v>
      </c>
      <c r="D46" s="12">
        <f t="shared" si="3"/>
        <v>14.293839093868021</v>
      </c>
      <c r="E46" s="12">
        <f t="shared" si="4"/>
        <v>0.32014945213007329</v>
      </c>
      <c r="F46" s="12">
        <v>0</v>
      </c>
      <c r="G46" s="12">
        <f t="shared" si="7"/>
        <v>2.5755776324220264E-8</v>
      </c>
      <c r="H46" s="12">
        <f t="shared" si="7"/>
        <v>2.1981068270288784E-2</v>
      </c>
      <c r="I46" s="12">
        <f t="shared" si="7"/>
        <v>0.33765675122020145</v>
      </c>
      <c r="J46" s="12">
        <f t="shared" si="7"/>
        <v>0.73634515144207258</v>
      </c>
      <c r="K46" s="12">
        <f t="shared" si="7"/>
        <v>0.8988640463580011</v>
      </c>
      <c r="L46" s="31">
        <f t="shared" si="7"/>
        <v>0.97308563943831095</v>
      </c>
      <c r="M46" s="31">
        <f t="shared" si="7"/>
        <v>0.99320826731805334</v>
      </c>
      <c r="N46" s="32">
        <f t="shared" si="7"/>
        <v>0.99829572381229958</v>
      </c>
      <c r="O46" s="31">
        <f t="shared" si="7"/>
        <v>0.99956463440341692</v>
      </c>
      <c r="P46" s="31">
        <f t="shared" si="7"/>
        <v>0.99988547040456</v>
      </c>
      <c r="Q46" s="31">
        <f t="shared" si="7"/>
        <v>0.99996880826767875</v>
      </c>
      <c r="R46" s="31">
        <f t="shared" si="7"/>
        <v>0.99999118754314287</v>
      </c>
      <c r="S46" s="31">
        <f t="shared" si="7"/>
        <v>0.99999741659467256</v>
      </c>
      <c r="T46" s="31">
        <f t="shared" si="7"/>
        <v>0.99999921474849307</v>
      </c>
      <c r="U46" s="31">
        <f t="shared" si="7"/>
        <v>0.999999752823446</v>
      </c>
      <c r="V46" s="31">
        <f t="shared" si="7"/>
        <v>0.99999991954710088</v>
      </c>
      <c r="W46" s="31">
        <f t="shared" si="7"/>
        <v>0.99999997296521459</v>
      </c>
      <c r="X46" s="31">
        <f t="shared" si="7"/>
        <v>0.9999999906361029</v>
      </c>
      <c r="Y46" s="31">
        <f t="shared" si="7"/>
        <v>0.99999999666216688</v>
      </c>
      <c r="Z46" s="31">
        <f t="shared" si="7"/>
        <v>0.99999999877736589</v>
      </c>
      <c r="AA46" s="31">
        <v>1</v>
      </c>
    </row>
    <row r="47" spans="1:28">
      <c r="A47" s="11">
        <v>0.6</v>
      </c>
      <c r="B47" s="12">
        <f t="shared" si="1"/>
        <v>-0.51082562376599072</v>
      </c>
      <c r="C47" s="12">
        <f t="shared" si="2"/>
        <v>2.7342459544598441</v>
      </c>
      <c r="D47" s="12">
        <f t="shared" si="3"/>
        <v>15.398128167387586</v>
      </c>
      <c r="E47" s="12">
        <f t="shared" si="4"/>
        <v>0.30328601504228753</v>
      </c>
      <c r="F47" s="12">
        <v>0</v>
      </c>
      <c r="G47" s="12">
        <f t="shared" si="7"/>
        <v>1.0224854355202557E-9</v>
      </c>
      <c r="H47" s="12">
        <f t="shared" si="7"/>
        <v>8.8501111572335533E-3</v>
      </c>
      <c r="I47" s="12">
        <f t="shared" si="7"/>
        <v>0.24587536062199034</v>
      </c>
      <c r="J47" s="12">
        <f t="shared" si="7"/>
        <v>0.66344925815729017</v>
      </c>
      <c r="K47" s="12">
        <f t="shared" si="7"/>
        <v>0.86447206716809544</v>
      </c>
      <c r="L47" s="31">
        <f t="shared" si="7"/>
        <v>0.963277499672339</v>
      </c>
      <c r="M47" s="31">
        <f t="shared" si="7"/>
        <v>0.99086144380100694</v>
      </c>
      <c r="N47" s="32">
        <f t="shared" si="7"/>
        <v>0.9977844253352075</v>
      </c>
      <c r="O47" s="31">
        <f t="shared" si="7"/>
        <v>0.99946039301241785</v>
      </c>
      <c r="P47" s="31">
        <f t="shared" si="7"/>
        <v>0.99986583853650335</v>
      </c>
      <c r="Q47" s="31">
        <f t="shared" si="7"/>
        <v>0.99996566522987229</v>
      </c>
      <c r="R47" s="31">
        <f t="shared" si="7"/>
        <v>0.99999091899228121</v>
      </c>
      <c r="S47" s="31">
        <f t="shared" si="7"/>
        <v>0.99999751390889391</v>
      </c>
      <c r="T47" s="31">
        <f t="shared" si="7"/>
        <v>0.99999929534774668</v>
      </c>
      <c r="U47" s="31">
        <f t="shared" si="7"/>
        <v>0.99999979333923583</v>
      </c>
      <c r="V47" s="31">
        <f t="shared" si="7"/>
        <v>0.99999993734903792</v>
      </c>
      <c r="W47" s="31">
        <f t="shared" si="7"/>
        <v>0.9999999803914984</v>
      </c>
      <c r="X47" s="31">
        <f t="shared" si="7"/>
        <v>0.99999999367264225</v>
      </c>
      <c r="Y47" s="31">
        <f t="shared" si="7"/>
        <v>0.99999999789785543</v>
      </c>
      <c r="Z47" s="31">
        <f t="shared" si="7"/>
        <v>0.99999999928192129</v>
      </c>
      <c r="AA47" s="31">
        <v>1</v>
      </c>
    </row>
    <row r="48" spans="1:28">
      <c r="A48" s="11">
        <v>0.7</v>
      </c>
      <c r="B48" s="12">
        <f t="shared" si="1"/>
        <v>-0.35667494393873245</v>
      </c>
      <c r="C48" s="12">
        <f t="shared" si="2"/>
        <v>2.8049604116610354</v>
      </c>
      <c r="D48" s="12">
        <f t="shared" si="3"/>
        <v>16.526421639530341</v>
      </c>
      <c r="E48" s="12">
        <f t="shared" si="4"/>
        <v>0.28902818213970793</v>
      </c>
      <c r="F48" s="12">
        <v>0</v>
      </c>
      <c r="G48" s="12">
        <f t="shared" si="7"/>
        <v>3.1900117158531223E-11</v>
      </c>
      <c r="H48" s="12">
        <f t="shared" si="7"/>
        <v>3.133293851469432E-3</v>
      </c>
      <c r="I48" s="12">
        <f t="shared" si="7"/>
        <v>0.16699565225461788</v>
      </c>
      <c r="J48" s="12">
        <f t="shared" si="7"/>
        <v>0.5784949135391092</v>
      </c>
      <c r="K48" s="12">
        <f t="shared" si="7"/>
        <v>0.81865887419854366</v>
      </c>
      <c r="L48" s="31">
        <f t="shared" si="7"/>
        <v>0.94883870018343486</v>
      </c>
      <c r="M48" s="31">
        <f t="shared" si="7"/>
        <v>0.98718293774947097</v>
      </c>
      <c r="N48" s="31">
        <f t="shared" si="7"/>
        <v>0.99694142282420017</v>
      </c>
      <c r="O48" s="32">
        <f t="shared" si="7"/>
        <v>0.99927777093433012</v>
      </c>
      <c r="P48" s="31">
        <f t="shared" si="7"/>
        <v>0.99982768127096322</v>
      </c>
      <c r="Q48" s="31">
        <f t="shared" si="7"/>
        <v>0.99995797744420645</v>
      </c>
      <c r="R48" s="31">
        <f t="shared" si="7"/>
        <v>0.99998946078820961</v>
      </c>
      <c r="S48" s="31">
        <f t="shared" si="7"/>
        <v>0.99999727318551535</v>
      </c>
      <c r="T48" s="31">
        <f t="shared" si="7"/>
        <v>0.99999927124524779</v>
      </c>
      <c r="U48" s="31">
        <f t="shared" si="7"/>
        <v>0.99999979878009904</v>
      </c>
      <c r="V48" s="31">
        <f t="shared" si="7"/>
        <v>0.99999994262407443</v>
      </c>
      <c r="W48" s="31">
        <f t="shared" si="7"/>
        <v>0.99999998311897875</v>
      </c>
      <c r="X48" s="31">
        <f t="shared" si="7"/>
        <v>0.99999999488050773</v>
      </c>
      <c r="Y48" s="31">
        <f t="shared" si="7"/>
        <v>0.99999999840148734</v>
      </c>
      <c r="Z48" s="31">
        <f t="shared" si="7"/>
        <v>0.99999999948672591</v>
      </c>
      <c r="AA48" s="31">
        <v>1</v>
      </c>
    </row>
    <row r="49" spans="1:27">
      <c r="A49" s="11">
        <v>0.8</v>
      </c>
      <c r="B49" s="12">
        <f t="shared" si="1"/>
        <v>-0.22314355131420971</v>
      </c>
      <c r="C49" s="12">
        <f t="shared" si="2"/>
        <v>2.8721064194725532</v>
      </c>
      <c r="D49" s="12">
        <f t="shared" si="3"/>
        <v>17.674208313650141</v>
      </c>
      <c r="E49" s="12">
        <f t="shared" si="4"/>
        <v>0.27667748550040228</v>
      </c>
      <c r="F49" s="12">
        <v>0</v>
      </c>
      <c r="G49" s="12">
        <f t="shared" si="7"/>
        <v>7.8062555655750231E-13</v>
      </c>
      <c r="H49" s="12">
        <f t="shared" si="7"/>
        <v>9.7348551436593489E-4</v>
      </c>
      <c r="I49" s="12">
        <f t="shared" si="7"/>
        <v>0.10529970733099714</v>
      </c>
      <c r="J49" s="12">
        <f t="shared" si="7"/>
        <v>0.48572021828982637</v>
      </c>
      <c r="K49" s="12">
        <f t="shared" si="7"/>
        <v>0.76059341712729744</v>
      </c>
      <c r="L49" s="31">
        <f t="shared" si="7"/>
        <v>0.92839437196658747</v>
      </c>
      <c r="M49" s="31">
        <f t="shared" si="7"/>
        <v>0.98163016736125219</v>
      </c>
      <c r="N49" s="31">
        <f t="shared" si="7"/>
        <v>0.99561797381704631</v>
      </c>
      <c r="O49" s="32">
        <f t="shared" si="7"/>
        <v>0.99898269632054637</v>
      </c>
      <c r="P49" s="31">
        <f t="shared" si="7"/>
        <v>0.99976411589396263</v>
      </c>
      <c r="Q49" s="31">
        <f t="shared" si="7"/>
        <v>0.99994455147882255</v>
      </c>
      <c r="R49" s="31">
        <f t="shared" si="7"/>
        <v>0.99998667315173217</v>
      </c>
      <c r="S49" s="31">
        <f t="shared" si="7"/>
        <v>0.9999967094065626</v>
      </c>
      <c r="T49" s="31">
        <f t="shared" si="7"/>
        <v>0.99999916324030602</v>
      </c>
      <c r="U49" s="31">
        <f t="shared" si="7"/>
        <v>0.99999978063509609</v>
      </c>
      <c r="V49" s="31">
        <f t="shared" si="7"/>
        <v>0.99999994069981168</v>
      </c>
      <c r="W49" s="31">
        <f t="shared" si="7"/>
        <v>0.9999999834759602</v>
      </c>
      <c r="X49" s="31">
        <f t="shared" si="7"/>
        <v>0.99999999525699301</v>
      </c>
      <c r="Y49" s="31">
        <f t="shared" si="7"/>
        <v>0.99999999859883093</v>
      </c>
      <c r="Z49" s="31">
        <f t="shared" si="7"/>
        <v>0.99999999957439967</v>
      </c>
      <c r="AA49" s="31">
        <v>1</v>
      </c>
    </row>
    <row r="50" spans="1:27">
      <c r="A50" s="11">
        <v>0.9</v>
      </c>
      <c r="B50" s="12">
        <f t="shared" si="1"/>
        <v>-0.10536051565782628</v>
      </c>
      <c r="C50" s="12">
        <f t="shared" si="2"/>
        <v>2.9358184139291859</v>
      </c>
      <c r="D50" s="12">
        <f t="shared" si="3"/>
        <v>18.836913220572818</v>
      </c>
      <c r="E50" s="12">
        <f t="shared" si="4"/>
        <v>0.26578339899342646</v>
      </c>
      <c r="F50" s="12">
        <v>0</v>
      </c>
      <c r="G50" s="12">
        <f t="shared" si="7"/>
        <v>1.4991110821203398E-14</v>
      </c>
      <c r="H50" s="12">
        <f t="shared" si="7"/>
        <v>2.6520508310845514E-4</v>
      </c>
      <c r="I50" s="12">
        <f t="shared" si="7"/>
        <v>6.1421785292971376E-2</v>
      </c>
      <c r="J50" s="12">
        <f t="shared" si="7"/>
        <v>0.39089650791415553</v>
      </c>
      <c r="K50" s="12">
        <f t="shared" si="7"/>
        <v>0.6905914041058876</v>
      </c>
      <c r="L50" s="31">
        <f t="shared" si="7"/>
        <v>0.90046879676710445</v>
      </c>
      <c r="M50" s="31">
        <f t="shared" si="7"/>
        <v>0.97347673456022021</v>
      </c>
      <c r="N50" s="31">
        <f t="shared" si="7"/>
        <v>0.9935920697574383</v>
      </c>
      <c r="O50" s="32">
        <f t="shared" si="7"/>
        <v>0.99852006371431024</v>
      </c>
      <c r="P50" s="31">
        <f t="shared" si="7"/>
        <v>0.99966293320886945</v>
      </c>
      <c r="Q50" s="31">
        <f t="shared" si="7"/>
        <v>0.9999228816087139</v>
      </c>
      <c r="R50" s="31">
        <f t="shared" si="7"/>
        <v>0.99998207929895533</v>
      </c>
      <c r="S50" s="31">
        <f t="shared" si="7"/>
        <v>0.99999574264226465</v>
      </c>
      <c r="T50" s="31">
        <f t="shared" si="7"/>
        <v>0.99999896213425443</v>
      </c>
      <c r="U50" s="31">
        <f t="shared" si="7"/>
        <v>0.99999973984711832</v>
      </c>
      <c r="V50" s="31">
        <f t="shared" si="7"/>
        <v>0.99999993288935163</v>
      </c>
      <c r="W50" s="31">
        <f t="shared" si="7"/>
        <v>0.99999998217989794</v>
      </c>
      <c r="X50" s="31">
        <f t="shared" si="7"/>
        <v>0.99999999513067861</v>
      </c>
      <c r="Y50" s="31">
        <f t="shared" si="7"/>
        <v>0.99999999863156219</v>
      </c>
      <c r="Z50" s="31">
        <f t="shared" si="7"/>
        <v>0.99999999960475894</v>
      </c>
      <c r="AA50" s="31">
        <v>1</v>
      </c>
    </row>
    <row r="51" spans="1:27">
      <c r="A51" s="11">
        <v>1</v>
      </c>
      <c r="B51" s="12">
        <f t="shared" si="1"/>
        <v>0</v>
      </c>
      <c r="C51" s="12">
        <f t="shared" si="2"/>
        <v>2.9962308310657209</v>
      </c>
      <c r="D51" s="12">
        <f t="shared" si="3"/>
        <v>20.009973636243643</v>
      </c>
      <c r="E51" s="12">
        <f t="shared" si="4"/>
        <v>0.25603830653932702</v>
      </c>
      <c r="F51" s="12">
        <v>0</v>
      </c>
      <c r="G51" s="12">
        <f t="shared" si="7"/>
        <v>2.2637022362799514E-16</v>
      </c>
      <c r="H51" s="12">
        <f t="shared" si="7"/>
        <v>6.336238518001025E-5</v>
      </c>
      <c r="I51" s="12">
        <f t="shared" si="7"/>
        <v>3.3058900570317462E-2</v>
      </c>
      <c r="J51" s="12">
        <f t="shared" si="7"/>
        <v>0.30032146763319711</v>
      </c>
      <c r="K51" s="12">
        <f t="shared" si="7"/>
        <v>0.61045806926021928</v>
      </c>
      <c r="L51" s="31">
        <f t="shared" si="7"/>
        <v>0.86371334496007068</v>
      </c>
      <c r="M51" s="31">
        <f t="shared" si="7"/>
        <v>0.96182114187591861</v>
      </c>
      <c r="N51" s="31">
        <f t="shared" si="7"/>
        <v>0.99055318428899597</v>
      </c>
      <c r="O51" s="32">
        <f t="shared" si="7"/>
        <v>0.99780741064257972</v>
      </c>
      <c r="P51" s="31">
        <f t="shared" si="7"/>
        <v>0.99950497859727172</v>
      </c>
      <c r="Q51" s="31">
        <f t="shared" si="7"/>
        <v>0.99988884956833068</v>
      </c>
      <c r="R51" s="31">
        <f t="shared" si="7"/>
        <v>0.99997483822056832</v>
      </c>
      <c r="S51" s="31">
        <f t="shared" si="7"/>
        <v>0.99999420886007107</v>
      </c>
      <c r="T51" s="31">
        <f t="shared" si="7"/>
        <v>0.9999986379183573</v>
      </c>
      <c r="U51" s="31">
        <f t="shared" si="7"/>
        <v>0.99999967162444447</v>
      </c>
      <c r="V51" s="31">
        <f t="shared" si="7"/>
        <v>0.99999991871884752</v>
      </c>
      <c r="W51" s="31">
        <f t="shared" si="7"/>
        <v>0.99999997932747819</v>
      </c>
      <c r="X51" s="31">
        <f t="shared" si="7"/>
        <v>0.99999999459667488</v>
      </c>
      <c r="Y51" s="31">
        <f t="shared" si="7"/>
        <v>0.99999999854887789</v>
      </c>
      <c r="Z51" s="31">
        <f t="shared" si="7"/>
        <v>0.99999999959975705</v>
      </c>
      <c r="AA51" s="31">
        <v>1</v>
      </c>
    </row>
    <row r="52" spans="1:27">
      <c r="A52" s="11">
        <v>1.1000000000000001</v>
      </c>
      <c r="B52" s="12">
        <f t="shared" si="1"/>
        <v>9.5310179804324935E-2</v>
      </c>
      <c r="C52" s="12">
        <f t="shared" si="2"/>
        <v>3.0534781069169465</v>
      </c>
      <c r="D52" s="12">
        <f t="shared" si="3"/>
        <v>21.188913714797138</v>
      </c>
      <c r="E52" s="12">
        <f t="shared" si="4"/>
        <v>0.24722279810895431</v>
      </c>
      <c r="F52" s="12">
        <v>0</v>
      </c>
      <c r="G52" s="12">
        <f t="shared" si="7"/>
        <v>2.6953887870879812E-18</v>
      </c>
      <c r="H52" s="12">
        <f t="shared" si="7"/>
        <v>1.3288802586997051E-5</v>
      </c>
      <c r="I52" s="12">
        <f t="shared" si="7"/>
        <v>1.6392272944021347E-2</v>
      </c>
      <c r="J52" s="12">
        <f t="shared" si="7"/>
        <v>0.21955297702275178</v>
      </c>
      <c r="K52" s="12">
        <f t="shared" si="7"/>
        <v>0.52350571569266346</v>
      </c>
      <c r="L52" s="31">
        <f t="shared" si="7"/>
        <v>0.81719228852867465</v>
      </c>
      <c r="M52" s="31">
        <f t="shared" si="7"/>
        <v>0.94562695451285228</v>
      </c>
      <c r="N52" s="31">
        <f t="shared" si="7"/>
        <v>0.98608851459830671</v>
      </c>
      <c r="O52" s="31">
        <f t="shared" si="7"/>
        <v>0.9967266814353728</v>
      </c>
      <c r="P52" s="32">
        <f t="shared" si="7"/>
        <v>0.99926162515213457</v>
      </c>
      <c r="Q52" s="31">
        <f t="shared" si="7"/>
        <v>0.99983612724259863</v>
      </c>
      <c r="R52" s="31">
        <f t="shared" si="7"/>
        <v>0.99996362683024076</v>
      </c>
      <c r="S52" s="31">
        <f t="shared" si="7"/>
        <v>0.99999184157276066</v>
      </c>
      <c r="T52" s="31">
        <f t="shared" si="7"/>
        <v>0.99999813861140796</v>
      </c>
      <c r="U52" s="31">
        <f t="shared" si="7"/>
        <v>0.99999956623294939</v>
      </c>
      <c r="V52" s="31">
        <f t="shared" si="7"/>
        <v>0.99999989649936749</v>
      </c>
      <c r="W52" s="31">
        <f t="shared" si="7"/>
        <v>0.99999997467763502</v>
      </c>
      <c r="X52" s="31">
        <f t="shared" si="7"/>
        <v>0.99999999364330294</v>
      </c>
      <c r="Y52" s="31">
        <f t="shared" si="7"/>
        <v>0.99999999836242148</v>
      </c>
      <c r="Z52" s="31">
        <f t="shared" si="7"/>
        <v>0.99999999956713836</v>
      </c>
      <c r="AA52" s="31">
        <v>1</v>
      </c>
    </row>
    <row r="53" spans="1:27">
      <c r="A53" s="11">
        <v>1.2</v>
      </c>
      <c r="B53" s="12">
        <f t="shared" si="1"/>
        <v>0.18232155679395459</v>
      </c>
      <c r="C53" s="12">
        <f t="shared" si="2"/>
        <v>3.1076946775176504</v>
      </c>
      <c r="D53" s="12">
        <f t="shared" si="3"/>
        <v>22.369416195707334</v>
      </c>
      <c r="E53" s="12">
        <f t="shared" si="4"/>
        <v>0.23917486945154123</v>
      </c>
      <c r="F53" s="12">
        <v>0</v>
      </c>
      <c r="G53" s="12">
        <f t="shared" si="7"/>
        <v>2.5389540502861141E-20</v>
      </c>
      <c r="H53" s="12">
        <f t="shared" si="7"/>
        <v>2.4502018322047903E-6</v>
      </c>
      <c r="I53" s="12">
        <f t="shared" si="7"/>
        <v>7.4825197697133694E-3</v>
      </c>
      <c r="J53" s="12">
        <f t="shared" si="7"/>
        <v>0.15234689920287114</v>
      </c>
      <c r="K53" s="12">
        <f t="shared" si="7"/>
        <v>0.43417930303422281</v>
      </c>
      <c r="L53" s="31">
        <f t="shared" si="7"/>
        <v>0.76067566445097734</v>
      </c>
      <c r="M53" s="31">
        <f t="shared" si="7"/>
        <v>0.92380503958704896</v>
      </c>
      <c r="N53" s="31">
        <f t="shared" si="7"/>
        <v>0.97967642218900508</v>
      </c>
      <c r="O53" s="31">
        <f t="shared" si="7"/>
        <v>0.9951151866499961</v>
      </c>
      <c r="P53" s="32">
        <f t="shared" si="7"/>
        <v>0.99889149889511897</v>
      </c>
      <c r="Q53" s="31">
        <f t="shared" si="7"/>
        <v>0.99975532240771514</v>
      </c>
      <c r="R53" s="31">
        <f t="shared" si="7"/>
        <v>0.99994645222567291</v>
      </c>
      <c r="S53" s="31">
        <f t="shared" si="7"/>
        <v>0.99998823542983684</v>
      </c>
      <c r="T53" s="31">
        <f t="shared" si="7"/>
        <v>0.99999738414380368</v>
      </c>
      <c r="U53" s="31">
        <f t="shared" si="7"/>
        <v>0.99999940825395806</v>
      </c>
      <c r="V53" s="31">
        <f t="shared" si="7"/>
        <v>0.99999986335407176</v>
      </c>
      <c r="W53" s="31">
        <f t="shared" si="7"/>
        <v>0.99999996772268018</v>
      </c>
      <c r="X53" s="31">
        <f t="shared" si="7"/>
        <v>0.99999999219170821</v>
      </c>
      <c r="Y53" s="31">
        <f t="shared" si="7"/>
        <v>0.9999999980643417</v>
      </c>
      <c r="Z53" s="31">
        <f t="shared" si="7"/>
        <v>0.99999999950819773</v>
      </c>
      <c r="AA53" s="31">
        <v>1</v>
      </c>
    </row>
    <row r="54" spans="1:27">
      <c r="A54" s="11">
        <v>1.3</v>
      </c>
      <c r="B54" s="12">
        <f t="shared" si="1"/>
        <v>0.26236426446749106</v>
      </c>
      <c r="C54" s="12">
        <f t="shared" si="2"/>
        <v>3.1590149789026212</v>
      </c>
      <c r="D54" s="12">
        <f t="shared" si="3"/>
        <v>23.547389825927134</v>
      </c>
      <c r="E54" s="12">
        <f t="shared" si="4"/>
        <v>0.23177149275311745</v>
      </c>
      <c r="F54" s="12">
        <v>0</v>
      </c>
      <c r="G54" s="12">
        <f t="shared" si="7"/>
        <v>1.8984355426404214E-22</v>
      </c>
      <c r="H54" s="12">
        <f t="shared" si="7"/>
        <v>3.9793145756306103E-7</v>
      </c>
      <c r="I54" s="12">
        <f t="shared" si="7"/>
        <v>3.1439885985753424E-3</v>
      </c>
      <c r="J54" s="12">
        <f t="shared" si="7"/>
        <v>0.10016139570486915</v>
      </c>
      <c r="K54" s="12">
        <f t="shared" si="7"/>
        <v>0.34735758081728219</v>
      </c>
      <c r="L54" s="31">
        <f t="shared" si="7"/>
        <v>0.69486286138882181</v>
      </c>
      <c r="M54" s="31">
        <f t="shared" si="7"/>
        <v>0.89533839867732712</v>
      </c>
      <c r="N54" s="31">
        <f t="shared" si="7"/>
        <v>0.97069283512561433</v>
      </c>
      <c r="O54" s="31">
        <f t="shared" si="7"/>
        <v>0.99275714583809216</v>
      </c>
      <c r="P54" s="32">
        <f t="shared" si="7"/>
        <v>0.99833661609205615</v>
      </c>
      <c r="Q54" s="31">
        <f t="shared" si="7"/>
        <v>0.99963287277213708</v>
      </c>
      <c r="R54" s="31">
        <f t="shared" si="7"/>
        <v>0.99992039441523817</v>
      </c>
      <c r="S54" s="31">
        <f t="shared" si="7"/>
        <v>0.99998279347309449</v>
      </c>
      <c r="T54" s="31">
        <f t="shared" si="7"/>
        <v>0.99999625656670621</v>
      </c>
      <c r="U54" s="31">
        <f t="shared" si="7"/>
        <v>0.99999917495986712</v>
      </c>
      <c r="V54" s="31">
        <f t="shared" si="7"/>
        <v>0.99999981500379165</v>
      </c>
      <c r="W54" s="31">
        <f t="shared" si="7"/>
        <v>0.99999995768047545</v>
      </c>
      <c r="X54" s="31">
        <f t="shared" si="7"/>
        <v>0.9999999901060751</v>
      </c>
      <c r="Y54" s="31">
        <f t="shared" si="7"/>
        <v>0.99999999763357217</v>
      </c>
      <c r="Z54" s="31">
        <f t="shared" si="7"/>
        <v>0.99999999942064877</v>
      </c>
      <c r="AA54" s="31">
        <v>1</v>
      </c>
    </row>
    <row r="55" spans="1:27">
      <c r="A55" s="11">
        <v>1.4</v>
      </c>
      <c r="B55" s="12">
        <f t="shared" si="1"/>
        <v>0.33647223662121289</v>
      </c>
      <c r="C55" s="12">
        <f t="shared" si="2"/>
        <v>3.2075734471066459</v>
      </c>
      <c r="D55" s="12">
        <f t="shared" si="3"/>
        <v>24.719031353842652</v>
      </c>
      <c r="E55" s="12">
        <f t="shared" si="4"/>
        <v>0.22491703654896161</v>
      </c>
      <c r="F55" s="12">
        <v>0</v>
      </c>
      <c r="G55" s="12">
        <f t="shared" si="7"/>
        <v>1.1305173634485776E-24</v>
      </c>
      <c r="H55" s="12">
        <f t="shared" si="7"/>
        <v>5.7047203781505807E-8</v>
      </c>
      <c r="I55" s="12">
        <f t="shared" si="7"/>
        <v>1.2165518107007944E-3</v>
      </c>
      <c r="J55" s="12">
        <f t="shared" si="7"/>
        <v>6.2323732028483958E-2</v>
      </c>
      <c r="K55" s="12">
        <f t="shared" si="7"/>
        <v>0.26752360037462797</v>
      </c>
      <c r="L55" s="31">
        <f t="shared" si="7"/>
        <v>0.62146085297882503</v>
      </c>
      <c r="M55" s="31">
        <f t="shared" si="7"/>
        <v>0.85943701838677478</v>
      </c>
      <c r="N55" s="31">
        <f t="shared" si="7"/>
        <v>0.95843540538005001</v>
      </c>
      <c r="O55" s="31">
        <f t="shared" si="7"/>
        <v>0.98937758280921961</v>
      </c>
      <c r="P55" s="32">
        <f t="shared" si="7"/>
        <v>0.99751819841472988</v>
      </c>
      <c r="Q55" s="31">
        <f t="shared" si="7"/>
        <v>0.99944970165664027</v>
      </c>
      <c r="R55" s="31">
        <f t="shared" si="7"/>
        <v>0.99988127618880918</v>
      </c>
      <c r="S55" s="31">
        <f t="shared" si="7"/>
        <v>0.99997465733637314</v>
      </c>
      <c r="T55" s="31">
        <f t="shared" si="7"/>
        <v>0.99999458673962371</v>
      </c>
      <c r="U55" s="31">
        <f t="shared" si="7"/>
        <v>0.9999988339942727</v>
      </c>
      <c r="V55" s="31">
        <f t="shared" ref="V55:Z55" si="8">NORMDIST(LN(V$41),$C55,$E55,TRUE)</f>
        <v>0.99999974540577086</v>
      </c>
      <c r="W55" s="31">
        <f t="shared" si="8"/>
        <v>0.99999994344985788</v>
      </c>
      <c r="X55" s="31">
        <f t="shared" si="8"/>
        <v>0.99999998719233696</v>
      </c>
      <c r="Y55" s="31">
        <f t="shared" si="8"/>
        <v>0.9999999970378598</v>
      </c>
      <c r="Z55" s="31">
        <f t="shared" si="8"/>
        <v>0.99999999929978833</v>
      </c>
      <c r="AA55" s="31">
        <v>1</v>
      </c>
    </row>
    <row r="56" spans="1:27">
      <c r="A56" s="11">
        <v>1.5</v>
      </c>
      <c r="B56" s="12">
        <f t="shared" si="1"/>
        <v>0.40546510810816438</v>
      </c>
      <c r="C56" s="12">
        <f t="shared" si="2"/>
        <v>3.253504518164513</v>
      </c>
      <c r="D56" s="12">
        <f t="shared" si="3"/>
        <v>25.880881191004871</v>
      </c>
      <c r="E56" s="12">
        <f t="shared" si="4"/>
        <v>0.21853569049046595</v>
      </c>
      <c r="F56" s="12">
        <v>0</v>
      </c>
      <c r="G56" s="12">
        <f t="shared" ref="G56:Z68" si="9">NORMDIST(LN(G$41),$C56,$E56,TRUE)</f>
        <v>5.377727004369739E-27</v>
      </c>
      <c r="H56" s="12">
        <f t="shared" si="9"/>
        <v>7.2350469922239067E-9</v>
      </c>
      <c r="I56" s="12">
        <f t="shared" si="9"/>
        <v>4.3385881297264284E-4</v>
      </c>
      <c r="J56" s="12">
        <f t="shared" si="9"/>
        <v>3.6681094092984812E-2</v>
      </c>
      <c r="K56" s="12">
        <f t="shared" si="9"/>
        <v>0.19804915668787593</v>
      </c>
      <c r="L56" s="31">
        <f t="shared" si="9"/>
        <v>0.54307177361098979</v>
      </c>
      <c r="M56" s="31">
        <f t="shared" si="9"/>
        <v>0.81569736216702404</v>
      </c>
      <c r="N56" s="31">
        <f t="shared" si="9"/>
        <v>0.94216765825376481</v>
      </c>
      <c r="O56" s="31">
        <f t="shared" si="9"/>
        <v>0.98464053485591152</v>
      </c>
      <c r="P56" s="31">
        <f t="shared" si="9"/>
        <v>0.99633256371703172</v>
      </c>
      <c r="Q56" s="32">
        <f t="shared" si="9"/>
        <v>0.99917967333209234</v>
      </c>
      <c r="R56" s="31">
        <f t="shared" si="9"/>
        <v>0.99982325891479662</v>
      </c>
      <c r="S56" s="31">
        <f t="shared" si="9"/>
        <v>0.99996261930582275</v>
      </c>
      <c r="T56" s="31">
        <f t="shared" si="9"/>
        <v>0.9999921373649221</v>
      </c>
      <c r="U56" s="31">
        <f t="shared" si="9"/>
        <v>0.99999834039744262</v>
      </c>
      <c r="V56" s="31">
        <f t="shared" si="9"/>
        <v>0.99999964627996496</v>
      </c>
      <c r="W56" s="31">
        <f t="shared" si="9"/>
        <v>0.99999992354531664</v>
      </c>
      <c r="X56" s="31">
        <f t="shared" si="9"/>
        <v>0.99999998319195571</v>
      </c>
      <c r="Y56" s="31">
        <f t="shared" si="9"/>
        <v>0.99999999623418279</v>
      </c>
      <c r="Z56" s="31">
        <f t="shared" si="9"/>
        <v>0.99999999913902882</v>
      </c>
      <c r="AA56" s="31">
        <v>1</v>
      </c>
    </row>
    <row r="57" spans="1:27">
      <c r="A57" s="11">
        <v>1.6</v>
      </c>
      <c r="B57" s="12">
        <f t="shared" si="1"/>
        <v>0.47000362924573563</v>
      </c>
      <c r="C57" s="12">
        <f t="shared" si="2"/>
        <v>3.2969426281110108</v>
      </c>
      <c r="D57" s="12">
        <f t="shared" si="3"/>
        <v>27.029872089549002</v>
      </c>
      <c r="E57" s="12">
        <f t="shared" si="4"/>
        <v>0.21256633990965601</v>
      </c>
      <c r="F57" s="12">
        <v>0</v>
      </c>
      <c r="G57" s="12">
        <f t="shared" si="9"/>
        <v>2.0485548130467415E-29</v>
      </c>
      <c r="H57" s="12">
        <f t="shared" si="9"/>
        <v>8.1350809843631672E-10</v>
      </c>
      <c r="I57" s="12">
        <f t="shared" si="9"/>
        <v>1.4275201855995512E-4</v>
      </c>
      <c r="J57" s="12">
        <f t="shared" si="9"/>
        <v>2.0417324498481104E-2</v>
      </c>
      <c r="K57" s="12">
        <f t="shared" si="9"/>
        <v>0.14078664347980396</v>
      </c>
      <c r="L57" s="31">
        <f t="shared" si="9"/>
        <v>0.46289716752247845</v>
      </c>
      <c r="M57" s="31">
        <f t="shared" si="9"/>
        <v>0.76423337898472499</v>
      </c>
      <c r="N57" s="31">
        <f t="shared" si="9"/>
        <v>0.92118140119322989</v>
      </c>
      <c r="O57" s="31">
        <f t="shared" si="9"/>
        <v>0.97815334585345903</v>
      </c>
      <c r="P57" s="31">
        <f t="shared" si="9"/>
        <v>0.99464759360578725</v>
      </c>
      <c r="Q57" s="32">
        <f t="shared" si="9"/>
        <v>0.99878791460031735</v>
      </c>
      <c r="R57" s="31">
        <f t="shared" si="9"/>
        <v>0.99973836715451614</v>
      </c>
      <c r="S57" s="31">
        <f t="shared" si="9"/>
        <v>0.99994501546448578</v>
      </c>
      <c r="T57" s="31">
        <f t="shared" si="9"/>
        <v>0.99998858218838793</v>
      </c>
      <c r="U57" s="31">
        <f t="shared" si="9"/>
        <v>0.99999763297531352</v>
      </c>
      <c r="V57" s="31">
        <f t="shared" si="9"/>
        <v>0.99999950653771097</v>
      </c>
      <c r="W57" s="31">
        <f t="shared" si="9"/>
        <v>0.99999989601843808</v>
      </c>
      <c r="X57" s="31">
        <f t="shared" si="9"/>
        <v>0.99999997777365357</v>
      </c>
      <c r="Y57" s="31">
        <f t="shared" si="9"/>
        <v>0.9999999951686267</v>
      </c>
      <c r="Z57" s="31">
        <f t="shared" si="9"/>
        <v>0.99999999893020586</v>
      </c>
      <c r="AA57" s="31">
        <v>1</v>
      </c>
    </row>
    <row r="58" spans="1:27">
      <c r="A58" s="11">
        <v>1.7</v>
      </c>
      <c r="B58" s="12">
        <f t="shared" si="1"/>
        <v>0.53062825106217038</v>
      </c>
      <c r="C58" s="12">
        <f t="shared" si="2"/>
        <v>3.3380222129809258</v>
      </c>
      <c r="D58" s="12">
        <f t="shared" si="3"/>
        <v>28.163370438106774</v>
      </c>
      <c r="E58" s="12">
        <f t="shared" si="4"/>
        <v>0.20695899696047518</v>
      </c>
      <c r="F58" s="12">
        <v>0</v>
      </c>
      <c r="G58" s="12">
        <f t="shared" si="9"/>
        <v>6.2607342866531202E-32</v>
      </c>
      <c r="H58" s="12">
        <f t="shared" si="9"/>
        <v>8.1253198802544112E-11</v>
      </c>
      <c r="I58" s="12">
        <f t="shared" si="9"/>
        <v>4.3382711505612903E-5</v>
      </c>
      <c r="J58" s="12">
        <f t="shared" si="9"/>
        <v>1.0749369869429204E-2</v>
      </c>
      <c r="K58" s="12">
        <f t="shared" si="9"/>
        <v>9.6038769471883612E-2</v>
      </c>
      <c r="L58" s="31">
        <f t="shared" si="9"/>
        <v>0.38432073628365959</v>
      </c>
      <c r="M58" s="31">
        <f t="shared" si="9"/>
        <v>0.70574706705481693</v>
      </c>
      <c r="N58" s="31">
        <f t="shared" si="9"/>
        <v>0.89487114057475292</v>
      </c>
      <c r="O58" s="31">
        <f t="shared" si="9"/>
        <v>0.96947815350084965</v>
      </c>
      <c r="P58" s="31">
        <f t="shared" si="9"/>
        <v>0.99230030630942245</v>
      </c>
      <c r="Q58" s="32">
        <f t="shared" si="9"/>
        <v>0.99822909044307551</v>
      </c>
      <c r="R58" s="31">
        <f t="shared" si="9"/>
        <v>0.99961594849537572</v>
      </c>
      <c r="S58" s="31">
        <f t="shared" si="9"/>
        <v>0.99991959941382191</v>
      </c>
      <c r="T58" s="31">
        <f t="shared" si="9"/>
        <v>0.99998348116021574</v>
      </c>
      <c r="U58" s="31">
        <f t="shared" si="9"/>
        <v>0.99999663000251027</v>
      </c>
      <c r="V58" s="31">
        <f t="shared" si="9"/>
        <v>0.999999311622493</v>
      </c>
      <c r="W58" s="31">
        <f t="shared" si="9"/>
        <v>0.99999985837006178</v>
      </c>
      <c r="X58" s="31">
        <f t="shared" si="9"/>
        <v>0.9999999705245044</v>
      </c>
      <c r="Y58" s="31">
        <f t="shared" si="9"/>
        <v>0.99999999377618332</v>
      </c>
      <c r="Z58" s="31">
        <f t="shared" si="9"/>
        <v>0.99999999866382239</v>
      </c>
      <c r="AA58" s="31">
        <v>1</v>
      </c>
    </row>
    <row r="59" spans="1:27">
      <c r="A59" s="11">
        <v>1.8</v>
      </c>
      <c r="B59" s="12">
        <f t="shared" si="1"/>
        <v>0.58778666490211906</v>
      </c>
      <c r="C59" s="12">
        <f t="shared" si="2"/>
        <v>3.3768777088090474</v>
      </c>
      <c r="D59" s="12">
        <f t="shared" si="3"/>
        <v>29.279210027939506</v>
      </c>
      <c r="E59" s="12">
        <f t="shared" si="4"/>
        <v>0.20167225340268014</v>
      </c>
      <c r="F59" s="12">
        <v>0</v>
      </c>
      <c r="G59" s="12">
        <f t="shared" si="9"/>
        <v>1.536663815536934E-34</v>
      </c>
      <c r="H59" s="12">
        <f t="shared" si="9"/>
        <v>7.2206838624870322E-12</v>
      </c>
      <c r="I59" s="12">
        <f t="shared" si="9"/>
        <v>1.2190380466070572E-5</v>
      </c>
      <c r="J59" s="12">
        <f t="shared" si="9"/>
        <v>5.3546219538971318E-3</v>
      </c>
      <c r="K59" s="12">
        <f t="shared" si="9"/>
        <v>6.28451510977589E-2</v>
      </c>
      <c r="L59" s="31">
        <f t="shared" si="9"/>
        <v>0.31046596877441113</v>
      </c>
      <c r="M59" s="31">
        <f t="shared" si="9"/>
        <v>0.6415175404315232</v>
      </c>
      <c r="N59" s="31">
        <f t="shared" si="9"/>
        <v>0.8628104790778367</v>
      </c>
      <c r="O59" s="31">
        <f t="shared" si="9"/>
        <v>0.95815061915260369</v>
      </c>
      <c r="P59" s="31">
        <f t="shared" si="9"/>
        <v>0.98909598286396627</v>
      </c>
      <c r="Q59" s="31">
        <f t="shared" si="9"/>
        <v>0.9974457247516304</v>
      </c>
      <c r="R59" s="32">
        <f t="shared" si="9"/>
        <v>0.99944207528293094</v>
      </c>
      <c r="S59" s="31">
        <f t="shared" si="9"/>
        <v>0.99988339566104667</v>
      </c>
      <c r="T59" s="31">
        <f t="shared" si="9"/>
        <v>0.99997625118853439</v>
      </c>
      <c r="U59" s="31">
        <f t="shared" si="9"/>
        <v>0.99999522419367914</v>
      </c>
      <c r="V59" s="31">
        <f t="shared" si="9"/>
        <v>0.99999904275308549</v>
      </c>
      <c r="W59" s="31">
        <f t="shared" si="9"/>
        <v>0.9999998074540265</v>
      </c>
      <c r="X59" s="31">
        <f t="shared" si="9"/>
        <v>0.99999996094084231</v>
      </c>
      <c r="Y59" s="31">
        <f t="shared" si="9"/>
        <v>0.99999999198062328</v>
      </c>
      <c r="Z59" s="31">
        <f t="shared" si="9"/>
        <v>0.99999999832928277</v>
      </c>
      <c r="AA59" s="31">
        <v>1</v>
      </c>
    </row>
    <row r="60" spans="1:27">
      <c r="A60" s="11">
        <v>1.9</v>
      </c>
      <c r="B60" s="12">
        <f t="shared" si="1"/>
        <v>0.64185388617239469</v>
      </c>
      <c r="C60" s="12">
        <f t="shared" si="2"/>
        <v>3.4136435516301633</v>
      </c>
      <c r="D60" s="12">
        <f t="shared" si="3"/>
        <v>30.375718376316822</v>
      </c>
      <c r="E60" s="12">
        <f t="shared" si="4"/>
        <v>0.19667142299932261</v>
      </c>
      <c r="F60" s="12">
        <v>0</v>
      </c>
      <c r="G60" s="12">
        <f t="shared" si="9"/>
        <v>3.0292487650764092E-37</v>
      </c>
      <c r="H60" s="12">
        <f t="shared" si="9"/>
        <v>5.7158460567334667E-13</v>
      </c>
      <c r="I60" s="12">
        <f t="shared" si="9"/>
        <v>3.1701377918302853E-6</v>
      </c>
      <c r="J60" s="12">
        <f t="shared" si="9"/>
        <v>2.5246005573194008E-3</v>
      </c>
      <c r="K60" s="12">
        <f t="shared" si="9"/>
        <v>3.9442039377171056E-2</v>
      </c>
      <c r="L60" s="31">
        <f t="shared" si="9"/>
        <v>0.24382699299249588</v>
      </c>
      <c r="M60" s="31">
        <f t="shared" si="9"/>
        <v>0.57330528172758377</v>
      </c>
      <c r="N60" s="31">
        <f t="shared" si="9"/>
        <v>0.82481867615324522</v>
      </c>
      <c r="O60" s="31">
        <f t="shared" si="9"/>
        <v>0.94370470139434093</v>
      </c>
      <c r="P60" s="31">
        <f t="shared" si="9"/>
        <v>0.98480910286012524</v>
      </c>
      <c r="Q60" s="31">
        <f t="shared" si="9"/>
        <v>0.99636663433183992</v>
      </c>
      <c r="R60" s="32">
        <f t="shared" si="9"/>
        <v>0.99919888941096724</v>
      </c>
      <c r="S60" s="31">
        <f t="shared" si="9"/>
        <v>0.99983253002609007</v>
      </c>
      <c r="T60" s="31">
        <f t="shared" si="9"/>
        <v>0.99996613166697013</v>
      </c>
      <c r="U60" s="31">
        <f t="shared" si="9"/>
        <v>0.99999327678725947</v>
      </c>
      <c r="V60" s="31">
        <f t="shared" si="9"/>
        <v>0.99999867605019299</v>
      </c>
      <c r="W60" s="31">
        <f t="shared" si="9"/>
        <v>0.99999973936889919</v>
      </c>
      <c r="X60" s="31">
        <f t="shared" si="9"/>
        <v>0.99999994841842199</v>
      </c>
      <c r="Y60" s="31">
        <f t="shared" si="9"/>
        <v>0.99999998969434156</v>
      </c>
      <c r="Z60" s="31">
        <f t="shared" si="9"/>
        <v>0.99999999791509986</v>
      </c>
      <c r="AA60" s="31">
        <v>1</v>
      </c>
    </row>
    <row r="61" spans="1:27">
      <c r="A61" s="11">
        <v>2</v>
      </c>
      <c r="B61" s="12">
        <f t="shared" si="1"/>
        <v>0.69314718055994529</v>
      </c>
      <c r="C61" s="12">
        <f t="shared" si="2"/>
        <v>3.4484541774790611</v>
      </c>
      <c r="D61" s="12">
        <f t="shared" si="3"/>
        <v>31.451735909666382</v>
      </c>
      <c r="E61" s="12">
        <f t="shared" si="4"/>
        <v>0.19192716094858076</v>
      </c>
      <c r="F61" s="12">
        <v>0</v>
      </c>
      <c r="G61" s="12">
        <f t="shared" si="9"/>
        <v>4.7910995329339182E-40</v>
      </c>
      <c r="H61" s="12">
        <f t="shared" si="9"/>
        <v>4.0327851882455048E-14</v>
      </c>
      <c r="I61" s="12">
        <f t="shared" si="9"/>
        <v>7.6343653065968908E-7</v>
      </c>
      <c r="J61" s="12">
        <f t="shared" si="9"/>
        <v>1.1269493833773181E-3</v>
      </c>
      <c r="K61" s="12">
        <f t="shared" si="9"/>
        <v>2.3739151084754662E-2</v>
      </c>
      <c r="L61" s="31">
        <f t="shared" si="9"/>
        <v>0.18604232399407339</v>
      </c>
      <c r="M61" s="31">
        <f t="shared" si="9"/>
        <v>0.50318724539363036</v>
      </c>
      <c r="N61" s="31">
        <f t="shared" si="9"/>
        <v>0.78100644132966979</v>
      </c>
      <c r="O61" s="31">
        <f t="shared" si="9"/>
        <v>0.92570115120520957</v>
      </c>
      <c r="P61" s="31">
        <f t="shared" si="9"/>
        <v>0.97918607393751311</v>
      </c>
      <c r="Q61" s="31">
        <f t="shared" si="9"/>
        <v>0.99490549318095378</v>
      </c>
      <c r="R61" s="32">
        <f t="shared" si="9"/>
        <v>0.99886387800434251</v>
      </c>
      <c r="S61" s="31">
        <f t="shared" si="9"/>
        <v>0.99976203071685521</v>
      </c>
      <c r="T61" s="31">
        <f t="shared" si="9"/>
        <v>0.99995214306163838</v>
      </c>
      <c r="U61" s="31">
        <f t="shared" si="9"/>
        <v>0.99999061038937997</v>
      </c>
      <c r="V61" s="31">
        <f t="shared" si="9"/>
        <v>0.99999818148229092</v>
      </c>
      <c r="W61" s="31">
        <f t="shared" si="9"/>
        <v>0.99999964932706042</v>
      </c>
      <c r="X61" s="31">
        <f t="shared" si="9"/>
        <v>0.99999993223994332</v>
      </c>
      <c r="Y61" s="31">
        <f t="shared" si="9"/>
        <v>0.99999998681781843</v>
      </c>
      <c r="Z61" s="31">
        <f t="shared" si="9"/>
        <v>0.99999999740900902</v>
      </c>
      <c r="AA61" s="31">
        <v>1</v>
      </c>
    </row>
    <row r="62" spans="1:27">
      <c r="A62" s="11">
        <v>2.1</v>
      </c>
      <c r="B62" s="12">
        <f t="shared" si="1"/>
        <v>0.74193734472937733</v>
      </c>
      <c r="C62" s="12">
        <f t="shared" si="2"/>
        <v>3.4814440223905292</v>
      </c>
      <c r="D62" s="12">
        <f t="shared" si="3"/>
        <v>32.506628500144387</v>
      </c>
      <c r="E62" s="12">
        <f t="shared" si="4"/>
        <v>0.18741442050010054</v>
      </c>
      <c r="F62" s="12">
        <v>0</v>
      </c>
      <c r="G62" s="12">
        <f t="shared" si="9"/>
        <v>6.0655866132065469E-43</v>
      </c>
      <c r="H62" s="12">
        <f t="shared" si="9"/>
        <v>2.5357922694985603E-15</v>
      </c>
      <c r="I62" s="12">
        <f t="shared" si="9"/>
        <v>1.7029733936255566E-7</v>
      </c>
      <c r="J62" s="12">
        <f t="shared" si="9"/>
        <v>4.7634432061804954E-4</v>
      </c>
      <c r="K62" s="12">
        <f t="shared" si="9"/>
        <v>1.3700431267079316E-2</v>
      </c>
      <c r="L62" s="31">
        <f t="shared" si="9"/>
        <v>0.13783592345977791</v>
      </c>
      <c r="M62" s="31">
        <f t="shared" si="9"/>
        <v>0.43335281316174956</v>
      </c>
      <c r="N62" s="31">
        <f t="shared" si="9"/>
        <v>0.73179344345150554</v>
      </c>
      <c r="O62" s="31">
        <f t="shared" si="9"/>
        <v>0.90375670908288841</v>
      </c>
      <c r="P62" s="31">
        <f t="shared" si="9"/>
        <v>0.9719494473286926</v>
      </c>
      <c r="Q62" s="31">
        <f t="shared" si="9"/>
        <v>0.99295946927720913</v>
      </c>
      <c r="R62" s="32">
        <f t="shared" si="9"/>
        <v>0.99840904573751321</v>
      </c>
      <c r="S62" s="31">
        <f t="shared" si="9"/>
        <v>0.99966558749729029</v>
      </c>
      <c r="T62" s="31">
        <f t="shared" si="9"/>
        <v>0.99993303535631139</v>
      </c>
      <c r="U62" s="31">
        <f t="shared" si="9"/>
        <v>0.99998699992276219</v>
      </c>
      <c r="V62" s="31">
        <f t="shared" si="9"/>
        <v>0.9999975215084268</v>
      </c>
      <c r="W62" s="31">
        <f t="shared" si="9"/>
        <v>0.99999953148057896</v>
      </c>
      <c r="X62" s="31">
        <f t="shared" si="9"/>
        <v>0.9999999115563466</v>
      </c>
      <c r="Y62" s="31">
        <f t="shared" si="9"/>
        <v>0.99999998323806749</v>
      </c>
      <c r="Z62" s="31">
        <f t="shared" si="9"/>
        <v>0.99999999679788143</v>
      </c>
      <c r="AA62" s="31">
        <v>1</v>
      </c>
    </row>
    <row r="63" spans="1:27">
      <c r="A63" s="11">
        <v>2.2000000000000002</v>
      </c>
      <c r="B63" s="12">
        <f t="shared" si="1"/>
        <v>0.78845736036427028</v>
      </c>
      <c r="C63" s="12">
        <f t="shared" si="2"/>
        <v>3.5127475223993549</v>
      </c>
      <c r="D63" s="12">
        <f t="shared" si="3"/>
        <v>33.540294013072618</v>
      </c>
      <c r="E63" s="12">
        <f t="shared" si="4"/>
        <v>0.18311165251820802</v>
      </c>
      <c r="F63" s="12">
        <v>0</v>
      </c>
      <c r="G63" s="12">
        <f t="shared" si="9"/>
        <v>6.1239098523097474E-46</v>
      </c>
      <c r="H63" s="12">
        <f t="shared" si="9"/>
        <v>1.4197865135647501E-16</v>
      </c>
      <c r="I63" s="12">
        <f t="shared" si="9"/>
        <v>3.5178484439473312E-8</v>
      </c>
      <c r="J63" s="12">
        <f t="shared" si="9"/>
        <v>1.9062627744825811E-4</v>
      </c>
      <c r="K63" s="12">
        <f t="shared" si="9"/>
        <v>7.5798062115171039E-3</v>
      </c>
      <c r="L63" s="31">
        <f t="shared" si="9"/>
        <v>9.9106076595521508E-2</v>
      </c>
      <c r="M63" s="31">
        <f t="shared" si="9"/>
        <v>0.36589644057486426</v>
      </c>
      <c r="N63" s="31">
        <f t="shared" si="9"/>
        <v>0.67789502123320433</v>
      </c>
      <c r="O63" s="31">
        <f t="shared" si="9"/>
        <v>0.87757090460473686</v>
      </c>
      <c r="P63" s="31">
        <f t="shared" si="9"/>
        <v>0.96280307422166378</v>
      </c>
      <c r="Q63" s="31">
        <f t="shared" si="9"/>
        <v>0.99040778933932772</v>
      </c>
      <c r="R63" s="31">
        <f t="shared" si="9"/>
        <v>0.99779991890324715</v>
      </c>
      <c r="S63" s="32">
        <f t="shared" si="9"/>
        <v>0.99953524718838538</v>
      </c>
      <c r="T63" s="31">
        <f t="shared" si="9"/>
        <v>0.99990722091888462</v>
      </c>
      <c r="U63" s="31">
        <f t="shared" si="9"/>
        <v>0.99998216056263334</v>
      </c>
      <c r="V63" s="31">
        <f t="shared" si="9"/>
        <v>0.9999966492191521</v>
      </c>
      <c r="W63" s="31">
        <f t="shared" si="9"/>
        <v>0.99999937866856881</v>
      </c>
      <c r="X63" s="31">
        <f t="shared" si="9"/>
        <v>0.99999988535617845</v>
      </c>
      <c r="Y63" s="31">
        <f t="shared" si="9"/>
        <v>0.99999997882514813</v>
      </c>
      <c r="Z63" s="31">
        <f t="shared" si="9"/>
        <v>0.99999999606729451</v>
      </c>
      <c r="AA63" s="31">
        <v>1</v>
      </c>
    </row>
    <row r="64" spans="1:27">
      <c r="A64" s="11">
        <v>2.2999999999999998</v>
      </c>
      <c r="B64" s="12">
        <f t="shared" si="1"/>
        <v>0.83290912293510388</v>
      </c>
      <c r="C64" s="12">
        <f t="shared" si="2"/>
        <v>3.5424991135403263</v>
      </c>
      <c r="D64" s="12">
        <f t="shared" si="3"/>
        <v>34.553163657770973</v>
      </c>
      <c r="E64" s="12">
        <f t="shared" si="4"/>
        <v>0.17900018311910898</v>
      </c>
      <c r="F64" s="12">
        <v>0</v>
      </c>
      <c r="G64" s="12">
        <f t="shared" si="9"/>
        <v>4.9046448109662564E-49</v>
      </c>
      <c r="H64" s="12">
        <f t="shared" si="9"/>
        <v>7.0657294544177229E-18</v>
      </c>
      <c r="I64" s="12">
        <f t="shared" si="9"/>
        <v>6.7238726518832953E-9</v>
      </c>
      <c r="J64" s="12">
        <f t="shared" si="9"/>
        <v>7.2189127361177441E-5</v>
      </c>
      <c r="K64" s="12">
        <f t="shared" si="9"/>
        <v>4.0182247901550117E-3</v>
      </c>
      <c r="L64" s="31">
        <f t="shared" si="9"/>
        <v>6.9113597689334894E-2</v>
      </c>
      <c r="M64" s="31">
        <f t="shared" si="9"/>
        <v>0.30263955708780865</v>
      </c>
      <c r="N64" s="31">
        <f t="shared" si="9"/>
        <v>0.62028081255314638</v>
      </c>
      <c r="O64" s="31">
        <f t="shared" si="9"/>
        <v>0.84694791579239759</v>
      </c>
      <c r="P64" s="31">
        <f t="shared" si="9"/>
        <v>0.95143754177972739</v>
      </c>
      <c r="Q64" s="31">
        <f t="shared" si="9"/>
        <v>0.98711000388338799</v>
      </c>
      <c r="R64" s="31">
        <f t="shared" si="9"/>
        <v>0.99699427830526888</v>
      </c>
      <c r="S64" s="32">
        <f t="shared" si="9"/>
        <v>0.99936101116532483</v>
      </c>
      <c r="T64" s="31">
        <f t="shared" si="9"/>
        <v>0.99987268318299938</v>
      </c>
      <c r="U64" s="31">
        <f t="shared" si="9"/>
        <v>0.99997573089044534</v>
      </c>
      <c r="V64" s="31">
        <f t="shared" si="9"/>
        <v>0.99999550565268081</v>
      </c>
      <c r="W64" s="31">
        <f t="shared" si="9"/>
        <v>0.99999918203524651</v>
      </c>
      <c r="X64" s="31">
        <f t="shared" si="9"/>
        <v>0.99999985241474332</v>
      </c>
      <c r="Y64" s="31">
        <f t="shared" si="9"/>
        <v>0.99999997342551628</v>
      </c>
      <c r="Z64" s="31">
        <f t="shared" si="9"/>
        <v>0.9999999952005908</v>
      </c>
      <c r="AA64" s="31">
        <v>1</v>
      </c>
    </row>
    <row r="65" spans="1:27">
      <c r="A65" s="11">
        <v>2.4</v>
      </c>
      <c r="B65" s="12">
        <f t="shared" si="1"/>
        <v>0.87546873735389985</v>
      </c>
      <c r="C65" s="12">
        <f t="shared" si="2"/>
        <v>3.5708332318482316</v>
      </c>
      <c r="D65" s="12">
        <f t="shared" si="3"/>
        <v>35.54619904075507</v>
      </c>
      <c r="E65" s="12">
        <f t="shared" si="4"/>
        <v>0.17506372386079494</v>
      </c>
      <c r="F65" s="12">
        <v>0</v>
      </c>
      <c r="G65" s="12">
        <f t="shared" si="9"/>
        <v>3.0943623369038806E-52</v>
      </c>
      <c r="H65" s="12">
        <f t="shared" si="9"/>
        <v>3.1167221746766763E-19</v>
      </c>
      <c r="I65" s="12">
        <f t="shared" si="9"/>
        <v>1.1873417782501712E-9</v>
      </c>
      <c r="J65" s="12">
        <f t="shared" si="9"/>
        <v>2.5844712995715113E-5</v>
      </c>
      <c r="K65" s="12">
        <f t="shared" si="9"/>
        <v>2.039515041985851E-3</v>
      </c>
      <c r="L65" s="31">
        <f t="shared" si="9"/>
        <v>4.671171610730962E-2</v>
      </c>
      <c r="M65" s="31">
        <f t="shared" si="9"/>
        <v>0.24500421512957171</v>
      </c>
      <c r="N65" s="31">
        <f t="shared" si="9"/>
        <v>0.56011218819114095</v>
      </c>
      <c r="O65" s="31">
        <f t="shared" si="9"/>
        <v>0.81181198642471197</v>
      </c>
      <c r="P65" s="31">
        <f t="shared" si="9"/>
        <v>0.93753527606075349</v>
      </c>
      <c r="Q65" s="31">
        <f t="shared" si="9"/>
        <v>0.9829036617275595</v>
      </c>
      <c r="R65" s="31">
        <f t="shared" si="9"/>
        <v>0.99594047391324114</v>
      </c>
      <c r="S65" s="32">
        <f t="shared" si="9"/>
        <v>0.99913028389745107</v>
      </c>
      <c r="T65" s="31">
        <f t="shared" si="9"/>
        <v>0.99982684813855238</v>
      </c>
      <c r="U65" s="31">
        <f t="shared" si="9"/>
        <v>0.99996724857326758</v>
      </c>
      <c r="V65" s="31">
        <f t="shared" si="9"/>
        <v>0.99999401580716607</v>
      </c>
      <c r="W65" s="31">
        <f t="shared" si="9"/>
        <v>0.99999893043657906</v>
      </c>
      <c r="X65" s="31">
        <f t="shared" si="9"/>
        <v>0.99999981121142267</v>
      </c>
      <c r="Y65" s="31">
        <f t="shared" si="9"/>
        <v>0.99999996685060988</v>
      </c>
      <c r="Z65" s="31">
        <f t="shared" si="9"/>
        <v>0.99999999417723073</v>
      </c>
      <c r="AA65" s="31">
        <v>1</v>
      </c>
    </row>
    <row r="66" spans="1:27">
      <c r="A66" s="11">
        <v>2.5</v>
      </c>
      <c r="B66" s="12">
        <f t="shared" si="1"/>
        <v>0.91629073187415511</v>
      </c>
      <c r="C66" s="12">
        <f t="shared" si="2"/>
        <v>3.5978843133578593</v>
      </c>
      <c r="D66" s="12">
        <f t="shared" si="3"/>
        <v>36.520885899432329</v>
      </c>
      <c r="E66" s="12">
        <f t="shared" si="4"/>
        <v>0.17128798198750544</v>
      </c>
      <c r="F66" s="12">
        <v>0</v>
      </c>
      <c r="G66" s="12">
        <f t="shared" si="9"/>
        <v>1.524303133558724E-55</v>
      </c>
      <c r="H66" s="12">
        <f t="shared" si="9"/>
        <v>1.2137760509315399E-20</v>
      </c>
      <c r="I66" s="12">
        <f t="shared" si="9"/>
        <v>1.9326201530922709E-10</v>
      </c>
      <c r="J66" s="12">
        <f t="shared" si="9"/>
        <v>8.7343106063286768E-6</v>
      </c>
      <c r="K66" s="12">
        <f t="shared" si="9"/>
        <v>9.8998712846742887E-4</v>
      </c>
      <c r="L66" s="31">
        <f t="shared" si="9"/>
        <v>3.0567587501046267E-2</v>
      </c>
      <c r="M66" s="31">
        <f t="shared" si="9"/>
        <v>0.19394800221290565</v>
      </c>
      <c r="N66" s="31">
        <f t="shared" si="9"/>
        <v>0.49866764959543164</v>
      </c>
      <c r="O66" s="31">
        <f t="shared" si="9"/>
        <v>0.7722161555972018</v>
      </c>
      <c r="P66" s="31">
        <f t="shared" si="9"/>
        <v>0.92077492168951691</v>
      </c>
      <c r="Q66" s="31">
        <f t="shared" si="9"/>
        <v>0.97760107382419192</v>
      </c>
      <c r="R66" s="31">
        <f t="shared" si="9"/>
        <v>0.99457512465295617</v>
      </c>
      <c r="S66" s="32">
        <f t="shared" si="9"/>
        <v>0.99882709970999151</v>
      </c>
      <c r="T66" s="31">
        <f t="shared" si="9"/>
        <v>0.99976639947447921</v>
      </c>
      <c r="U66" s="31">
        <f t="shared" si="9"/>
        <v>0.99995611455952349</v>
      </c>
      <c r="V66" s="31">
        <f t="shared" si="9"/>
        <v>0.99999208263108597</v>
      </c>
      <c r="W66" s="31">
        <f t="shared" si="9"/>
        <v>0.99999860952734809</v>
      </c>
      <c r="X66" s="31">
        <f t="shared" si="9"/>
        <v>0.99999975979881195</v>
      </c>
      <c r="Y66" s="31">
        <f t="shared" si="9"/>
        <v>0.99999995885853599</v>
      </c>
      <c r="Z66" s="31">
        <f t="shared" si="9"/>
        <v>0.99999999297019559</v>
      </c>
      <c r="AA66" s="31">
        <v>1</v>
      </c>
    </row>
    <row r="67" spans="1:27">
      <c r="A67" s="11">
        <v>2.6</v>
      </c>
      <c r="B67" s="12">
        <f t="shared" si="1"/>
        <v>0.95551144502743635</v>
      </c>
      <c r="C67" s="12">
        <f t="shared" si="2"/>
        <v>3.6237867941039958</v>
      </c>
      <c r="D67" s="12">
        <f t="shared" si="3"/>
        <v>37.479225548783241</v>
      </c>
      <c r="E67" s="12">
        <f t="shared" si="4"/>
        <v>0.16766034716237116</v>
      </c>
      <c r="F67" s="12">
        <v>0</v>
      </c>
      <c r="G67" s="12">
        <f t="shared" si="9"/>
        <v>5.7993431170907365E-59</v>
      </c>
      <c r="H67" s="12">
        <f t="shared" si="9"/>
        <v>4.1517385378884819E-22</v>
      </c>
      <c r="I67" s="12">
        <f t="shared" si="9"/>
        <v>2.8903425748306697E-11</v>
      </c>
      <c r="J67" s="12">
        <f t="shared" si="9"/>
        <v>2.7804320962276918E-6</v>
      </c>
      <c r="K67" s="12">
        <f t="shared" si="9"/>
        <v>4.58804461541229E-4</v>
      </c>
      <c r="L67" s="31">
        <f t="shared" si="9"/>
        <v>1.9342326906899965E-2</v>
      </c>
      <c r="M67" s="31">
        <f t="shared" si="9"/>
        <v>0.149957635571768</v>
      </c>
      <c r="N67" s="31">
        <f t="shared" si="9"/>
        <v>0.43726553200267138</v>
      </c>
      <c r="O67" s="31">
        <f t="shared" si="9"/>
        <v>0.72834522517200628</v>
      </c>
      <c r="P67" s="31">
        <f t="shared" si="9"/>
        <v>0.90083498472944545</v>
      </c>
      <c r="Q67" s="31">
        <f t="shared" si="9"/>
        <v>0.97098486161038955</v>
      </c>
      <c r="R67" s="31">
        <f t="shared" si="9"/>
        <v>0.99281995107644305</v>
      </c>
      <c r="S67" s="31">
        <f t="shared" si="9"/>
        <v>0.99843102561645736</v>
      </c>
      <c r="T67" s="32">
        <f t="shared" si="9"/>
        <v>0.99968700940164668</v>
      </c>
      <c r="U67" s="31">
        <f t="shared" si="9"/>
        <v>0.99994153982674328</v>
      </c>
      <c r="V67" s="31">
        <f t="shared" si="9"/>
        <v>0.99998957792474585</v>
      </c>
      <c r="W67" s="31">
        <f t="shared" si="9"/>
        <v>0.99999820035653098</v>
      </c>
      <c r="X67" s="31">
        <f t="shared" si="9"/>
        <v>0.9999996955999384</v>
      </c>
      <c r="Y67" s="31">
        <f t="shared" si="9"/>
        <v>0.99999994912583856</v>
      </c>
      <c r="Z67" s="31">
        <f t="shared" si="9"/>
        <v>0.99999999154210228</v>
      </c>
      <c r="AA67" s="31">
        <v>1</v>
      </c>
    </row>
    <row r="68" spans="1:27">
      <c r="A68" s="11">
        <v>2.7</v>
      </c>
      <c r="B68" s="12">
        <f t="shared" si="1"/>
        <v>0.99325177301028345</v>
      </c>
      <c r="C68" s="12">
        <f t="shared" si="2"/>
        <v>3.648675110121431</v>
      </c>
      <c r="D68" s="12">
        <f t="shared" si="3"/>
        <v>38.423725106423596</v>
      </c>
      <c r="E68" s="12">
        <f t="shared" si="4"/>
        <v>0.16416963735381906</v>
      </c>
      <c r="F68" s="12">
        <v>0</v>
      </c>
      <c r="G68" s="12">
        <f t="shared" si="9"/>
        <v>1.6819340201486517E-62</v>
      </c>
      <c r="H68" s="12">
        <f t="shared" si="9"/>
        <v>1.239169873735288E-23</v>
      </c>
      <c r="I68" s="12">
        <f t="shared" si="9"/>
        <v>3.9552592835976331E-12</v>
      </c>
      <c r="J68" s="12">
        <f t="shared" si="9"/>
        <v>8.3133686867853385E-7</v>
      </c>
      <c r="K68" s="12">
        <f t="shared" si="9"/>
        <v>2.0256383190120353E-4</v>
      </c>
      <c r="L68" s="31">
        <f t="shared" si="9"/>
        <v>1.1815124896519924E-2</v>
      </c>
      <c r="M68" s="31">
        <f t="shared" si="9"/>
        <v>0.11309001579041067</v>
      </c>
      <c r="N68" s="31">
        <f t="shared" si="9"/>
        <v>0.37719180927906049</v>
      </c>
      <c r="O68" s="31">
        <f t="shared" si="9"/>
        <v>0.68051472221163856</v>
      </c>
      <c r="P68" s="31">
        <f t="shared" si="9"/>
        <v>0.87739721621289024</v>
      </c>
      <c r="Q68" s="31">
        <f t="shared" si="9"/>
        <v>0.96280205426192911</v>
      </c>
      <c r="R68" s="31">
        <f t="shared" si="9"/>
        <v>0.99057742496451717</v>
      </c>
      <c r="S68" s="31">
        <f t="shared" si="9"/>
        <v>0.997915597568798</v>
      </c>
      <c r="T68" s="32">
        <f t="shared" si="9"/>
        <v>0.99958294414438154</v>
      </c>
      <c r="U68" s="31">
        <f t="shared" si="9"/>
        <v>0.99992246571692422</v>
      </c>
      <c r="V68" s="31">
        <f t="shared" ref="V68:Z68" si="10">NORMDIST(LN(V$41),$C68,$E68,TRUE)</f>
        <v>0.99998632852867175</v>
      </c>
      <c r="W68" s="31">
        <f t="shared" si="10"/>
        <v>0.99999767721643962</v>
      </c>
      <c r="X68" s="31">
        <f t="shared" si="10"/>
        <v>0.99999961509726143</v>
      </c>
      <c r="Y68" s="31">
        <f t="shared" si="10"/>
        <v>0.99999993720475044</v>
      </c>
      <c r="Z68" s="31">
        <f t="shared" si="10"/>
        <v>0.99999998983950589</v>
      </c>
      <c r="AA68" s="31">
        <v>1</v>
      </c>
    </row>
    <row r="69" spans="1:27">
      <c r="A69" s="11">
        <v>2.8</v>
      </c>
      <c r="B69" s="12">
        <f t="shared" si="1"/>
        <v>1.0296194171811581</v>
      </c>
      <c r="C69" s="12">
        <f t="shared" si="2"/>
        <v>3.6726836974449508</v>
      </c>
      <c r="D69" s="12">
        <f t="shared" si="3"/>
        <v>39.357387576969359</v>
      </c>
      <c r="E69" s="12">
        <f t="shared" si="4"/>
        <v>0.16080589095821535</v>
      </c>
      <c r="F69" s="12">
        <v>0</v>
      </c>
      <c r="G69" s="12">
        <f t="shared" ref="G69:Z81" si="11">NORMDIST(LN(G$41),$C69,$E69,TRUE)</f>
        <v>3.6613667083419106E-66</v>
      </c>
      <c r="H69" s="12">
        <f t="shared" si="11"/>
        <v>3.2014838861642734E-25</v>
      </c>
      <c r="I69" s="12">
        <f t="shared" si="11"/>
        <v>4.9265370227205344E-13</v>
      </c>
      <c r="J69" s="12">
        <f t="shared" si="11"/>
        <v>2.3260618954042185E-7</v>
      </c>
      <c r="K69" s="12">
        <f t="shared" si="11"/>
        <v>8.4955385388774118E-5</v>
      </c>
      <c r="L69" s="31">
        <f t="shared" si="11"/>
        <v>6.9520919343752929E-3</v>
      </c>
      <c r="M69" s="31">
        <f t="shared" si="11"/>
        <v>8.3045257520142024E-2</v>
      </c>
      <c r="N69" s="31">
        <f t="shared" si="11"/>
        <v>0.31963822964098032</v>
      </c>
      <c r="O69" s="31">
        <f t="shared" si="11"/>
        <v>0.62916794046677837</v>
      </c>
      <c r="P69" s="31">
        <f t="shared" si="11"/>
        <v>0.85015077289551733</v>
      </c>
      <c r="Q69" s="31">
        <f t="shared" si="11"/>
        <v>0.95275663496049301</v>
      </c>
      <c r="R69" s="31">
        <f t="shared" si="11"/>
        <v>0.98772484563492335</v>
      </c>
      <c r="S69" s="31">
        <f t="shared" si="11"/>
        <v>0.99724609004645171</v>
      </c>
      <c r="T69" s="32">
        <f t="shared" si="11"/>
        <v>0.99944648326318464</v>
      </c>
      <c r="U69" s="31">
        <f t="shared" si="11"/>
        <v>0.9998974441418873</v>
      </c>
      <c r="V69" s="31">
        <f t="shared" si="11"/>
        <v>0.99998209526875148</v>
      </c>
      <c r="W69" s="31">
        <f t="shared" si="11"/>
        <v>0.99999700434310479</v>
      </c>
      <c r="X69" s="31">
        <f t="shared" si="11"/>
        <v>0.99999951335779158</v>
      </c>
      <c r="Y69" s="31">
        <f t="shared" si="11"/>
        <v>0.99999992245851332</v>
      </c>
      <c r="Z69" s="31">
        <f t="shared" si="11"/>
        <v>0.99999998778450339</v>
      </c>
      <c r="AA69" s="31">
        <v>1</v>
      </c>
    </row>
    <row r="70" spans="1:27">
      <c r="A70" s="11">
        <v>2.9</v>
      </c>
      <c r="B70" s="12">
        <f t="shared" si="1"/>
        <v>1.0647107369924282</v>
      </c>
      <c r="C70" s="12">
        <f t="shared" si="2"/>
        <v>3.6959469921093451</v>
      </c>
      <c r="D70" s="12">
        <f t="shared" si="3"/>
        <v>40.283702879341469</v>
      </c>
      <c r="E70" s="12">
        <f t="shared" si="4"/>
        <v>0.15756019541693889</v>
      </c>
      <c r="F70" s="12">
        <v>0</v>
      </c>
      <c r="G70" s="12">
        <f t="shared" si="11"/>
        <v>5.8755049055997033E-70</v>
      </c>
      <c r="H70" s="12">
        <f t="shared" si="11"/>
        <v>7.0907914864541967E-27</v>
      </c>
      <c r="I70" s="12">
        <f t="shared" si="11"/>
        <v>5.5494180103257718E-14</v>
      </c>
      <c r="J70" s="12">
        <f t="shared" si="11"/>
        <v>6.062420753945891E-8</v>
      </c>
      <c r="K70" s="12">
        <f t="shared" si="11"/>
        <v>3.3725025349928828E-5</v>
      </c>
      <c r="L70" s="31">
        <f t="shared" si="11"/>
        <v>3.9297573502550254E-3</v>
      </c>
      <c r="M70" s="31">
        <f t="shared" si="11"/>
        <v>5.9255899730242589E-2</v>
      </c>
      <c r="N70" s="31">
        <f t="shared" si="11"/>
        <v>0.26565320536751214</v>
      </c>
      <c r="O70" s="31">
        <f t="shared" si="11"/>
        <v>0.57487290149355563</v>
      </c>
      <c r="P70" s="31">
        <f t="shared" si="11"/>
        <v>0.81879877337406937</v>
      </c>
      <c r="Q70" s="31">
        <f t="shared" si="11"/>
        <v>0.94050066142459865</v>
      </c>
      <c r="R70" s="31">
        <f t="shared" si="11"/>
        <v>0.98410636698527854</v>
      </c>
      <c r="S70" s="31">
        <f t="shared" si="11"/>
        <v>0.99637633617157495</v>
      </c>
      <c r="T70" s="32">
        <f t="shared" si="11"/>
        <v>0.99926706123134357</v>
      </c>
      <c r="U70" s="31">
        <f t="shared" si="11"/>
        <v>0.9998644562473934</v>
      </c>
      <c r="V70" s="31">
        <f t="shared" si="11"/>
        <v>0.9999765406167237</v>
      </c>
      <c r="W70" s="31">
        <f t="shared" si="11"/>
        <v>0.99999613081201977</v>
      </c>
      <c r="X70" s="31">
        <f t="shared" si="11"/>
        <v>0.99999938329417715</v>
      </c>
      <c r="Y70" s="31">
        <f t="shared" si="11"/>
        <v>0.9999999039623223</v>
      </c>
      <c r="Z70" s="31">
        <f t="shared" si="11"/>
        <v>0.99999998526211109</v>
      </c>
      <c r="AA70" s="31">
        <v>1</v>
      </c>
    </row>
    <row r="71" spans="1:27">
      <c r="A71" s="11">
        <v>3</v>
      </c>
      <c r="B71" s="12">
        <f t="shared" si="1"/>
        <v>1.0986122886681098</v>
      </c>
      <c r="C71" s="12">
        <f t="shared" si="2"/>
        <v>3.7185994301494003</v>
      </c>
      <c r="D71" s="12">
        <f t="shared" si="3"/>
        <v>41.206640895464268</v>
      </c>
      <c r="E71" s="12">
        <f t="shared" si="4"/>
        <v>0.15442454489971966</v>
      </c>
      <c r="F71" s="12">
        <v>0</v>
      </c>
      <c r="G71" s="12">
        <f t="shared" si="11"/>
        <v>6.8072306513858326E-74</v>
      </c>
      <c r="H71" s="12">
        <f t="shared" si="11"/>
        <v>1.3310502241183106E-28</v>
      </c>
      <c r="I71" s="12">
        <f t="shared" si="11"/>
        <v>5.6094160755806658E-15</v>
      </c>
      <c r="J71" s="12">
        <f t="shared" si="11"/>
        <v>1.4635581988838803E-8</v>
      </c>
      <c r="K71" s="12">
        <f t="shared" si="11"/>
        <v>1.2616004317234086E-5</v>
      </c>
      <c r="L71" s="31">
        <f t="shared" si="11"/>
        <v>2.1268500254760792E-3</v>
      </c>
      <c r="M71" s="31">
        <f t="shared" si="11"/>
        <v>4.0978895678670302E-2</v>
      </c>
      <c r="N71" s="31">
        <f t="shared" si="11"/>
        <v>0.21610549434663029</v>
      </c>
      <c r="O71" s="31">
        <f t="shared" si="11"/>
        <v>0.51832027601881658</v>
      </c>
      <c r="P71" s="31">
        <f t="shared" si="11"/>
        <v>0.78306942355492604</v>
      </c>
      <c r="Q71" s="31">
        <f t="shared" si="11"/>
        <v>0.92562444152292822</v>
      </c>
      <c r="R71" s="31">
        <f t="shared" si="11"/>
        <v>0.97952240699101178</v>
      </c>
      <c r="S71" s="31">
        <f t="shared" si="11"/>
        <v>0.99524419590188651</v>
      </c>
      <c r="T71" s="31">
        <f t="shared" si="11"/>
        <v>0.99902999146094573</v>
      </c>
      <c r="U71" s="32">
        <f t="shared" si="11"/>
        <v>0.99982063547818845</v>
      </c>
      <c r="V71" s="31">
        <f t="shared" si="11"/>
        <v>0.99996917846167388</v>
      </c>
      <c r="W71" s="31">
        <f t="shared" si="11"/>
        <v>0.99999498254039765</v>
      </c>
      <c r="X71" s="31">
        <f t="shared" si="11"/>
        <v>0.99999921451382634</v>
      </c>
      <c r="Y71" s="31">
        <f t="shared" si="11"/>
        <v>0.99999988034847342</v>
      </c>
      <c r="Z71" s="31">
        <f t="shared" si="11"/>
        <v>0.99999998210073171</v>
      </c>
      <c r="AA71" s="31">
        <v>1</v>
      </c>
    </row>
    <row r="72" spans="1:27">
      <c r="A72" s="11">
        <v>3.1</v>
      </c>
      <c r="B72" s="12">
        <f t="shared" si="1"/>
        <v>1.1314021114911006</v>
      </c>
      <c r="C72" s="12">
        <f t="shared" si="2"/>
        <v>3.7407754475999053</v>
      </c>
      <c r="D72" s="12">
        <f t="shared" si="3"/>
        <v>42.130647610863733</v>
      </c>
      <c r="E72" s="12">
        <f t="shared" si="4"/>
        <v>0.15139172133229012</v>
      </c>
      <c r="F72" s="12">
        <v>0</v>
      </c>
      <c r="G72" s="12">
        <f t="shared" si="11"/>
        <v>5.5599309029751635E-78</v>
      </c>
      <c r="H72" s="12">
        <f t="shared" si="11"/>
        <v>2.0895164818897228E-30</v>
      </c>
      <c r="I72" s="12">
        <f t="shared" si="11"/>
        <v>5.0413882289100715E-16</v>
      </c>
      <c r="J72" s="12">
        <f t="shared" si="11"/>
        <v>3.2507319107025175E-9</v>
      </c>
      <c r="K72" s="12">
        <f t="shared" si="11"/>
        <v>4.4235369610623465E-6</v>
      </c>
      <c r="L72" s="31">
        <f t="shared" si="11"/>
        <v>1.0976381807731306E-3</v>
      </c>
      <c r="M72" s="31">
        <f t="shared" si="11"/>
        <v>2.7380677842363976E-2</v>
      </c>
      <c r="N72" s="31">
        <f t="shared" si="11"/>
        <v>0.17165917613275672</v>
      </c>
      <c r="O72" s="31">
        <f t="shared" si="11"/>
        <v>0.46032201879284462</v>
      </c>
      <c r="P72" s="31">
        <f t="shared" si="11"/>
        <v>0.74273434734002697</v>
      </c>
      <c r="Q72" s="31">
        <f t="shared" si="11"/>
        <v>0.90764679706199192</v>
      </c>
      <c r="R72" s="31">
        <f t="shared" si="11"/>
        <v>0.97371579043210987</v>
      </c>
      <c r="S72" s="31">
        <f t="shared" si="11"/>
        <v>0.99376509817055514</v>
      </c>
      <c r="T72" s="31">
        <f t="shared" si="11"/>
        <v>0.99871455683878252</v>
      </c>
      <c r="U72" s="32">
        <f t="shared" si="11"/>
        <v>0.99976183995609147</v>
      </c>
      <c r="V72" s="31">
        <f t="shared" si="11"/>
        <v>0.99995929497735669</v>
      </c>
      <c r="W72" s="31">
        <f t="shared" si="11"/>
        <v>0.99999344953631686</v>
      </c>
      <c r="X72" s="31">
        <f t="shared" si="11"/>
        <v>0.99999899146276716</v>
      </c>
      <c r="Y72" s="31">
        <f t="shared" si="11"/>
        <v>0.99999984955810384</v>
      </c>
      <c r="Z72" s="31">
        <f t="shared" si="11"/>
        <v>0.99999997804094198</v>
      </c>
      <c r="AA72" s="31">
        <v>1</v>
      </c>
    </row>
    <row r="73" spans="1:27">
      <c r="A73" s="11">
        <v>3.2</v>
      </c>
      <c r="B73" s="12">
        <f t="shared" si="1"/>
        <v>1.1631508098056809</v>
      </c>
      <c r="C73" s="12">
        <f t="shared" si="2"/>
        <v>3.7626094804956476</v>
      </c>
      <c r="D73" s="12">
        <f t="shared" si="3"/>
        <v>43.060645412205972</v>
      </c>
      <c r="E73" s="12">
        <f t="shared" si="4"/>
        <v>0.14845519431890974</v>
      </c>
      <c r="F73" s="12">
        <v>0</v>
      </c>
      <c r="G73" s="12">
        <f t="shared" si="11"/>
        <v>3.1158846291668329E-82</v>
      </c>
      <c r="H73" s="12">
        <f t="shared" si="11"/>
        <v>2.7010428334225228E-32</v>
      </c>
      <c r="I73" s="12">
        <f t="shared" si="11"/>
        <v>3.9852334757669493E-17</v>
      </c>
      <c r="J73" s="12">
        <f t="shared" si="11"/>
        <v>6.5899870970820919E-10</v>
      </c>
      <c r="K73" s="12">
        <f t="shared" si="11"/>
        <v>1.4444826501591734E-6</v>
      </c>
      <c r="L73" s="31">
        <f t="shared" si="11"/>
        <v>5.375292225295869E-4</v>
      </c>
      <c r="M73" s="31">
        <f t="shared" si="11"/>
        <v>1.7609405018205737E-2</v>
      </c>
      <c r="N73" s="31">
        <f t="shared" si="11"/>
        <v>0.13275791812028581</v>
      </c>
      <c r="O73" s="31">
        <f t="shared" si="11"/>
        <v>0.40180880968170019</v>
      </c>
      <c r="P73" s="31">
        <f t="shared" si="11"/>
        <v>0.69763700528059558</v>
      </c>
      <c r="Q73" s="31">
        <f t="shared" si="11"/>
        <v>0.88600729249376609</v>
      </c>
      <c r="R73" s="31">
        <f t="shared" si="11"/>
        <v>0.96635394932620167</v>
      </c>
      <c r="S73" s="31">
        <f t="shared" si="11"/>
        <v>0.99182284098584039</v>
      </c>
      <c r="T73" s="31">
        <f t="shared" si="11"/>
        <v>0.99829113034200623</v>
      </c>
      <c r="U73" s="32">
        <f t="shared" si="11"/>
        <v>0.9996819837612213</v>
      </c>
      <c r="V73" s="31">
        <f t="shared" si="11"/>
        <v>0.99994582188108327</v>
      </c>
      <c r="W73" s="31">
        <f t="shared" si="11"/>
        <v>0.99999136516315446</v>
      </c>
      <c r="X73" s="31">
        <f t="shared" si="11"/>
        <v>0.99999869039038924</v>
      </c>
      <c r="Y73" s="31">
        <f t="shared" si="11"/>
        <v>0.99999980843217395</v>
      </c>
      <c r="Z73" s="31">
        <f t="shared" si="11"/>
        <v>0.99999997268399732</v>
      </c>
      <c r="AA73" s="31">
        <v>1</v>
      </c>
    </row>
    <row r="74" spans="1:27">
      <c r="A74" s="11">
        <v>3.3</v>
      </c>
      <c r="B74" s="12">
        <f t="shared" ref="B74:B101" si="12">LN(A74)</f>
        <v>1.1939224684724346</v>
      </c>
      <c r="C74" s="12">
        <f t="shared" ref="C74:C101" si="13">((A74*$C$31+$D$31)*A74+$E$31)*A74+$F$31</f>
        <v>3.7842359648714154</v>
      </c>
      <c r="D74" s="12">
        <f t="shared" ref="D74:D101" si="14">EXP(C74)</f>
        <v>44.002038609163776</v>
      </c>
      <c r="E74" s="12">
        <f t="shared" ref="E74:E101" si="15">$C$36*B74+$D$36</f>
        <v>0.14560903646934695</v>
      </c>
      <c r="F74" s="12">
        <v>0</v>
      </c>
      <c r="G74" s="12">
        <f t="shared" si="11"/>
        <v>1.1620358189754968E-86</v>
      </c>
      <c r="H74" s="12">
        <f t="shared" si="11"/>
        <v>2.824487441144723E-34</v>
      </c>
      <c r="I74" s="12">
        <f t="shared" si="11"/>
        <v>2.736410443619252E-18</v>
      </c>
      <c r="J74" s="12">
        <f t="shared" si="11"/>
        <v>1.2079361833703403E-10</v>
      </c>
      <c r="K74" s="12">
        <f t="shared" si="11"/>
        <v>4.3597365784187048E-7</v>
      </c>
      <c r="L74" s="31">
        <f t="shared" si="11"/>
        <v>2.4832816151398873E-4</v>
      </c>
      <c r="M74" s="31">
        <f t="shared" si="11"/>
        <v>1.0851677935619808E-2</v>
      </c>
      <c r="N74" s="31">
        <f t="shared" si="11"/>
        <v>9.9617000848387649E-2</v>
      </c>
      <c r="O74" s="31">
        <f t="shared" si="11"/>
        <v>0.34382254177056437</v>
      </c>
      <c r="P74" s="31">
        <f t="shared" si="11"/>
        <v>0.64773389664480008</v>
      </c>
      <c r="Q74" s="31">
        <f t="shared" si="11"/>
        <v>0.86006355590481443</v>
      </c>
      <c r="R74" s="31">
        <f t="shared" si="11"/>
        <v>0.95700662283987925</v>
      </c>
      <c r="S74" s="31">
        <f t="shared" si="11"/>
        <v>0.98925650344895133</v>
      </c>
      <c r="T74" s="31">
        <f t="shared" si="11"/>
        <v>0.9977167987324671</v>
      </c>
      <c r="U74" s="32">
        <f t="shared" si="11"/>
        <v>0.99957197682752796</v>
      </c>
      <c r="V74" s="31">
        <f t="shared" si="11"/>
        <v>0.99992712976521836</v>
      </c>
      <c r="W74" s="31">
        <f t="shared" si="11"/>
        <v>0.99998847168496108</v>
      </c>
      <c r="X74" s="31">
        <f t="shared" si="11"/>
        <v>0.99999827423669552</v>
      </c>
      <c r="Y74" s="31">
        <f t="shared" si="11"/>
        <v>0.99999975201839597</v>
      </c>
      <c r="Z74" s="31">
        <f t="shared" si="11"/>
        <v>0.99999996540417802</v>
      </c>
      <c r="AA74" s="31">
        <v>1</v>
      </c>
    </row>
    <row r="75" spans="1:27">
      <c r="A75" s="11">
        <v>3.4</v>
      </c>
      <c r="B75" s="12">
        <f t="shared" si="12"/>
        <v>1.2237754316221157</v>
      </c>
      <c r="C75" s="12">
        <f t="shared" si="13"/>
        <v>3.8057893367619959</v>
      </c>
      <c r="D75" s="12">
        <f t="shared" si="14"/>
        <v>44.960725263547815</v>
      </c>
      <c r="E75" s="12">
        <f t="shared" si="15"/>
        <v>0.14284785136972888</v>
      </c>
      <c r="F75" s="12">
        <v>0</v>
      </c>
      <c r="G75" s="12">
        <f t="shared" si="11"/>
        <v>2.7864058990851043E-91</v>
      </c>
      <c r="H75" s="12">
        <f t="shared" si="11"/>
        <v>2.3413889379144568E-36</v>
      </c>
      <c r="I75" s="12">
        <f t="shared" si="11"/>
        <v>1.608623308048538E-19</v>
      </c>
      <c r="J75" s="12">
        <f t="shared" si="11"/>
        <v>1.98023683101407E-11</v>
      </c>
      <c r="K75" s="12">
        <f t="shared" si="11"/>
        <v>1.2054722372123179E-7</v>
      </c>
      <c r="L75" s="31">
        <f t="shared" si="11"/>
        <v>1.0748035094931829E-4</v>
      </c>
      <c r="M75" s="31">
        <f t="shared" si="11"/>
        <v>6.3732488634391515E-3</v>
      </c>
      <c r="N75" s="31">
        <f t="shared" si="11"/>
        <v>7.2222784232311321E-2</v>
      </c>
      <c r="O75" s="31">
        <f t="shared" si="11"/>
        <v>0.28749836244392357</v>
      </c>
      <c r="P75" s="31">
        <f t="shared" si="11"/>
        <v>0.59315025368561314</v>
      </c>
      <c r="Q75" s="31">
        <f t="shared" si="11"/>
        <v>0.82909858247601176</v>
      </c>
      <c r="R75" s="31">
        <f t="shared" si="11"/>
        <v>0.94511892547891208</v>
      </c>
      <c r="S75" s="31">
        <f t="shared" si="11"/>
        <v>0.98584189660324562</v>
      </c>
      <c r="T75" s="31">
        <f t="shared" si="11"/>
        <v>0.99692866219536169</v>
      </c>
      <c r="U75" s="32">
        <f t="shared" si="11"/>
        <v>0.99941802079250208</v>
      </c>
      <c r="V75" s="31">
        <f t="shared" si="11"/>
        <v>0.99990068471947868</v>
      </c>
      <c r="W75" s="31">
        <f t="shared" si="11"/>
        <v>0.99998436170634852</v>
      </c>
      <c r="X75" s="31">
        <f t="shared" si="11"/>
        <v>0.99999768381370191</v>
      </c>
      <c r="Y75" s="31">
        <f t="shared" si="11"/>
        <v>0.99999967236284626</v>
      </c>
      <c r="Z75" s="31">
        <f t="shared" si="11"/>
        <v>0.99999995519491447</v>
      </c>
      <c r="AA75" s="31">
        <v>1</v>
      </c>
    </row>
    <row r="76" spans="1:27">
      <c r="A76" s="11">
        <v>3.5</v>
      </c>
      <c r="B76" s="12">
        <f t="shared" si="12"/>
        <v>1.2527629684953681</v>
      </c>
      <c r="C76" s="12">
        <f t="shared" si="13"/>
        <v>3.8274040322021783</v>
      </c>
      <c r="D76" s="12">
        <f t="shared" si="14"/>
        <v>45.943116442900589</v>
      </c>
      <c r="E76" s="12">
        <f t="shared" si="15"/>
        <v>0.14016671199714006</v>
      </c>
      <c r="F76" s="12">
        <v>0</v>
      </c>
      <c r="G76" s="12">
        <f t="shared" si="11"/>
        <v>4.1335681470150972E-96</v>
      </c>
      <c r="H76" s="12">
        <f t="shared" si="11"/>
        <v>1.50366484881224E-38</v>
      </c>
      <c r="I76" s="12">
        <f t="shared" si="11"/>
        <v>7.9630702305120814E-21</v>
      </c>
      <c r="J76" s="12">
        <f t="shared" si="11"/>
        <v>2.8669683550463891E-12</v>
      </c>
      <c r="K76" s="12">
        <f t="shared" si="11"/>
        <v>3.0221564352079076E-8</v>
      </c>
      <c r="L76" s="31">
        <f t="shared" si="11"/>
        <v>4.3230177628639233E-5</v>
      </c>
      <c r="M76" s="31">
        <f t="shared" si="11"/>
        <v>3.5445906865056998E-3</v>
      </c>
      <c r="N76" s="31">
        <f t="shared" si="11"/>
        <v>5.0340830593061381E-2</v>
      </c>
      <c r="O76" s="31">
        <f t="shared" si="11"/>
        <v>0.23402967627164628</v>
      </c>
      <c r="P76" s="31">
        <f t="shared" si="11"/>
        <v>0.53424961601596666</v>
      </c>
      <c r="Q76" s="31">
        <f t="shared" si="11"/>
        <v>0.79234520220138438</v>
      </c>
      <c r="R76" s="31">
        <f t="shared" si="11"/>
        <v>0.92998067672388185</v>
      </c>
      <c r="S76" s="31">
        <f t="shared" si="11"/>
        <v>0.98126547862715086</v>
      </c>
      <c r="T76" s="31">
        <f t="shared" si="11"/>
        <v>0.99583351462690417</v>
      </c>
      <c r="U76" s="31">
        <f t="shared" si="11"/>
        <v>0.99919883189936765</v>
      </c>
      <c r="V76" s="32">
        <f t="shared" si="11"/>
        <v>0.99986246682461832</v>
      </c>
      <c r="W76" s="31">
        <f t="shared" si="11"/>
        <v>0.99997837629837361</v>
      </c>
      <c r="X76" s="31">
        <f t="shared" si="11"/>
        <v>0.99999682216882457</v>
      </c>
      <c r="Y76" s="31">
        <f t="shared" si="11"/>
        <v>0.99999955633898963</v>
      </c>
      <c r="Z76" s="31">
        <f t="shared" si="11"/>
        <v>0.99999994039003459</v>
      </c>
      <c r="AA76" s="31">
        <v>1</v>
      </c>
    </row>
    <row r="77" spans="1:27">
      <c r="A77" s="11">
        <v>3.6</v>
      </c>
      <c r="B77" s="12">
        <f t="shared" si="12"/>
        <v>1.2809338454620642</v>
      </c>
      <c r="C77" s="12">
        <f t="shared" si="13"/>
        <v>3.8492144872267495</v>
      </c>
      <c r="D77" s="12">
        <f t="shared" si="14"/>
        <v>46.956164074433666</v>
      </c>
      <c r="E77" s="12">
        <f t="shared" si="15"/>
        <v>0.13756110781193387</v>
      </c>
      <c r="F77" s="12">
        <v>0</v>
      </c>
      <c r="G77" s="12">
        <f t="shared" si="11"/>
        <v>3.6340121122941947E-101</v>
      </c>
      <c r="H77" s="12">
        <f t="shared" si="11"/>
        <v>7.2894146258703848E-41</v>
      </c>
      <c r="I77" s="12">
        <f t="shared" si="11"/>
        <v>3.2573107601868741E-22</v>
      </c>
      <c r="J77" s="12">
        <f t="shared" si="11"/>
        <v>3.6129284873774495E-13</v>
      </c>
      <c r="K77" s="12">
        <f t="shared" si="11"/>
        <v>6.7880492242730204E-9</v>
      </c>
      <c r="L77" s="31">
        <f t="shared" si="11"/>
        <v>1.6006060728379623E-5</v>
      </c>
      <c r="M77" s="31">
        <f t="shared" si="11"/>
        <v>1.852884364692331E-3</v>
      </c>
      <c r="N77" s="31">
        <f t="shared" si="11"/>
        <v>3.3535171563020993E-2</v>
      </c>
      <c r="O77" s="31">
        <f t="shared" si="11"/>
        <v>0.18460985647543726</v>
      </c>
      <c r="P77" s="31">
        <f t="shared" si="11"/>
        <v>0.47171236988495358</v>
      </c>
      <c r="Q77" s="31">
        <f t="shared" si="11"/>
        <v>0.74903748108105062</v>
      </c>
      <c r="R77" s="31">
        <f t="shared" si="11"/>
        <v>0.91069496622394075</v>
      </c>
      <c r="S77" s="31">
        <f t="shared" si="11"/>
        <v>0.97508818650896567</v>
      </c>
      <c r="T77" s="31">
        <f t="shared" si="11"/>
        <v>0.99429189212878499</v>
      </c>
      <c r="U77" s="31">
        <f t="shared" si="11"/>
        <v>0.99888105729250187</v>
      </c>
      <c r="V77" s="32">
        <f t="shared" si="11"/>
        <v>0.99980596646710751</v>
      </c>
      <c r="W77" s="31">
        <f t="shared" si="11"/>
        <v>0.99996942350619644</v>
      </c>
      <c r="X77" s="31">
        <f t="shared" si="11"/>
        <v>0.99999552609279796</v>
      </c>
      <c r="Y77" s="31">
        <f t="shared" si="11"/>
        <v>0.99999938163066315</v>
      </c>
      <c r="Z77" s="31">
        <f t="shared" si="11"/>
        <v>0.99999991814195077</v>
      </c>
      <c r="AA77" s="31">
        <v>1</v>
      </c>
    </row>
    <row r="78" spans="1:27">
      <c r="A78" s="11">
        <v>3.7</v>
      </c>
      <c r="B78" s="12">
        <f t="shared" si="12"/>
        <v>1.3083328196501789</v>
      </c>
      <c r="C78" s="12">
        <f t="shared" si="13"/>
        <v>3.8713551378704985</v>
      </c>
      <c r="D78" s="12">
        <f t="shared" si="14"/>
        <v>48.007398664357346</v>
      </c>
      <c r="E78" s="12">
        <f t="shared" si="15"/>
        <v>0.13502689910060028</v>
      </c>
      <c r="F78" s="12">
        <v>0</v>
      </c>
      <c r="G78" s="12">
        <f t="shared" si="11"/>
        <v>1.8048427129632678E-106</v>
      </c>
      <c r="H78" s="12">
        <f t="shared" si="11"/>
        <v>2.5905779142758108E-43</v>
      </c>
      <c r="I78" s="12">
        <f t="shared" si="11"/>
        <v>1.0776463501599234E-23</v>
      </c>
      <c r="J78" s="12">
        <f t="shared" si="11"/>
        <v>3.8977225736179041E-14</v>
      </c>
      <c r="K78" s="12">
        <f t="shared" si="11"/>
        <v>1.3472704922197679E-9</v>
      </c>
      <c r="L78" s="31">
        <f t="shared" si="11"/>
        <v>5.3955659287119317E-6</v>
      </c>
      <c r="M78" s="31">
        <f t="shared" si="11"/>
        <v>9.0235488610956871E-4</v>
      </c>
      <c r="N78" s="31">
        <f t="shared" si="11"/>
        <v>2.1201514702647639E-2</v>
      </c>
      <c r="O78" s="31">
        <f t="shared" si="11"/>
        <v>0.14034721181665388</v>
      </c>
      <c r="P78" s="31">
        <f t="shared" si="11"/>
        <v>0.40661152529319955</v>
      </c>
      <c r="Q78" s="31">
        <f t="shared" si="11"/>
        <v>0.69850094346550329</v>
      </c>
      <c r="R78" s="31">
        <f t="shared" si="11"/>
        <v>0.88615272336448347</v>
      </c>
      <c r="S78" s="31">
        <f t="shared" si="11"/>
        <v>0.96669646926599428</v>
      </c>
      <c r="T78" s="31">
        <f t="shared" si="11"/>
        <v>0.99209341355453851</v>
      </c>
      <c r="U78" s="31">
        <f t="shared" si="11"/>
        <v>0.99841162385824356</v>
      </c>
      <c r="V78" s="32">
        <f t="shared" si="11"/>
        <v>0.99972041946605783</v>
      </c>
      <c r="W78" s="31">
        <f t="shared" si="11"/>
        <v>0.99995564713339646</v>
      </c>
      <c r="X78" s="31">
        <f t="shared" si="11"/>
        <v>0.99999351270525416</v>
      </c>
      <c r="Y78" s="31">
        <f t="shared" si="11"/>
        <v>0.9999991090511311</v>
      </c>
      <c r="Z78" s="31">
        <f t="shared" si="11"/>
        <v>0.99999988341043611</v>
      </c>
      <c r="AA78" s="31">
        <v>1</v>
      </c>
    </row>
    <row r="79" spans="1:27">
      <c r="A79" s="11">
        <v>3.8</v>
      </c>
      <c r="B79" s="12">
        <f t="shared" si="12"/>
        <v>1.33500106673234</v>
      </c>
      <c r="C79" s="12">
        <f t="shared" si="13"/>
        <v>3.8939604201682121</v>
      </c>
      <c r="D79" s="12">
        <f t="shared" si="14"/>
        <v>49.104978273913694</v>
      </c>
      <c r="E79" s="12">
        <f t="shared" si="15"/>
        <v>0.13256027740857632</v>
      </c>
      <c r="F79" s="12">
        <v>0</v>
      </c>
      <c r="G79" s="12">
        <f t="shared" si="11"/>
        <v>4.8016949941515085E-112</v>
      </c>
      <c r="H79" s="12">
        <f t="shared" si="11"/>
        <v>6.5312926879350731E-46</v>
      </c>
      <c r="I79" s="12">
        <f t="shared" si="11"/>
        <v>2.8143973933355599E-25</v>
      </c>
      <c r="J79" s="12">
        <f t="shared" si="11"/>
        <v>3.5321807017103613E-15</v>
      </c>
      <c r="K79" s="12">
        <f t="shared" si="11"/>
        <v>2.325788140397539E-10</v>
      </c>
      <c r="L79" s="31">
        <f t="shared" si="11"/>
        <v>1.6349401419368803E-6</v>
      </c>
      <c r="M79" s="31">
        <f t="shared" si="11"/>
        <v>4.0520435906332697E-4</v>
      </c>
      <c r="N79" s="31">
        <f t="shared" si="11"/>
        <v>1.2615876258575964E-2</v>
      </c>
      <c r="O79" s="31">
        <f t="shared" si="11"/>
        <v>0.10215597243158148</v>
      </c>
      <c r="P79" s="31">
        <f t="shared" si="11"/>
        <v>0.34046482054882876</v>
      </c>
      <c r="Q79" s="31">
        <f t="shared" si="11"/>
        <v>0.64029344525231058</v>
      </c>
      <c r="R79" s="31">
        <f t="shared" si="11"/>
        <v>0.85502634425263935</v>
      </c>
      <c r="S79" s="31">
        <f t="shared" si="11"/>
        <v>0.95523857503383702</v>
      </c>
      <c r="T79" s="31">
        <f t="shared" si="11"/>
        <v>0.98891884762268134</v>
      </c>
      <c r="U79" s="31">
        <f t="shared" si="11"/>
        <v>0.99770485202037951</v>
      </c>
      <c r="V79" s="32">
        <f t="shared" si="11"/>
        <v>0.99958764835102376</v>
      </c>
      <c r="W79" s="31">
        <f t="shared" si="11"/>
        <v>0.99993380752432737</v>
      </c>
      <c r="X79" s="31">
        <f t="shared" si="11"/>
        <v>0.99999027634796844</v>
      </c>
      <c r="Y79" s="31">
        <f t="shared" si="11"/>
        <v>0.9999986673622776</v>
      </c>
      <c r="Z79" s="31">
        <f t="shared" si="11"/>
        <v>0.9999998269298338</v>
      </c>
      <c r="AA79" s="31">
        <v>1</v>
      </c>
    </row>
    <row r="80" spans="1:27">
      <c r="A80" s="11">
        <v>3.9</v>
      </c>
      <c r="B80" s="12">
        <f t="shared" si="12"/>
        <v>1.3609765531356006</v>
      </c>
      <c r="C80" s="12">
        <f t="shared" si="13"/>
        <v>3.9171647701546788</v>
      </c>
      <c r="D80" s="12">
        <f t="shared" si="14"/>
        <v>50.257750314202383</v>
      </c>
      <c r="E80" s="12">
        <f t="shared" si="15"/>
        <v>0.13015773111351009</v>
      </c>
      <c r="F80" s="12">
        <v>0</v>
      </c>
      <c r="G80" s="12">
        <f t="shared" si="11"/>
        <v>6.4514054731941003E-118</v>
      </c>
      <c r="H80" s="12">
        <f t="shared" si="11"/>
        <v>1.1259449122874266E-48</v>
      </c>
      <c r="I80" s="12">
        <f t="shared" si="11"/>
        <v>5.6451278461020169E-27</v>
      </c>
      <c r="J80" s="12">
        <f t="shared" si="11"/>
        <v>2.6313697490692745E-16</v>
      </c>
      <c r="K80" s="12">
        <f t="shared" si="11"/>
        <v>3.4293678681682304E-11</v>
      </c>
      <c r="L80" s="31">
        <f t="shared" si="11"/>
        <v>4.3880890698844155E-7</v>
      </c>
      <c r="M80" s="31">
        <f t="shared" si="11"/>
        <v>1.6577338715295653E-4</v>
      </c>
      <c r="N80" s="31">
        <f t="shared" si="11"/>
        <v>6.9969041451081182E-3</v>
      </c>
      <c r="O80" s="31">
        <f t="shared" si="11"/>
        <v>7.0635876058856351E-2</v>
      </c>
      <c r="P80" s="31">
        <f t="shared" si="11"/>
        <v>0.27523242348957755</v>
      </c>
      <c r="Q80" s="31">
        <f t="shared" si="11"/>
        <v>0.57440322193666671</v>
      </c>
      <c r="R80" s="31">
        <f t="shared" si="11"/>
        <v>0.81580473405663756</v>
      </c>
      <c r="S80" s="31">
        <f t="shared" si="11"/>
        <v>0.93954709925753122</v>
      </c>
      <c r="T80" s="31">
        <f t="shared" si="11"/>
        <v>0.98428247590438889</v>
      </c>
      <c r="U80" s="31">
        <f t="shared" si="11"/>
        <v>0.99662063076360885</v>
      </c>
      <c r="V80" s="31">
        <f t="shared" si="11"/>
        <v>0.9993763168824773</v>
      </c>
      <c r="W80" s="32">
        <f t="shared" si="11"/>
        <v>0.99989809606315272</v>
      </c>
      <c r="X80" s="31">
        <f t="shared" si="11"/>
        <v>0.9999848835485341</v>
      </c>
      <c r="Y80" s="31">
        <f t="shared" si="11"/>
        <v>0.99999792222392392</v>
      </c>
      <c r="Z80" s="31">
        <f t="shared" si="11"/>
        <v>0.99999973096166617</v>
      </c>
      <c r="AA80" s="31">
        <v>1</v>
      </c>
    </row>
    <row r="81" spans="1:27">
      <c r="A81" s="11">
        <v>4</v>
      </c>
      <c r="B81" s="12">
        <f t="shared" si="12"/>
        <v>1.3862943611198906</v>
      </c>
      <c r="C81" s="12">
        <f t="shared" si="13"/>
        <v>3.9411026238646869</v>
      </c>
      <c r="D81" s="12">
        <f t="shared" si="14"/>
        <v>51.475327945738833</v>
      </c>
      <c r="E81" s="12">
        <f t="shared" si="15"/>
        <v>0.12781601535783446</v>
      </c>
      <c r="F81" s="12">
        <v>0</v>
      </c>
      <c r="G81" s="12">
        <f t="shared" si="11"/>
        <v>4.1009318455415771E-124</v>
      </c>
      <c r="H81" s="12">
        <f t="shared" si="11"/>
        <v>1.2737159098826926E-51</v>
      </c>
      <c r="I81" s="12">
        <f t="shared" si="11"/>
        <v>8.4316027167539911E-29</v>
      </c>
      <c r="J81" s="12">
        <f t="shared" si="11"/>
        <v>1.5724592747465458E-17</v>
      </c>
      <c r="K81" s="12">
        <f t="shared" si="11"/>
        <v>4.2304061441457889E-12</v>
      </c>
      <c r="L81" s="31">
        <f t="shared" si="11"/>
        <v>1.025594569427982E-7</v>
      </c>
      <c r="M81" s="31">
        <f t="shared" si="11"/>
        <v>6.0928591768982798E-5</v>
      </c>
      <c r="N81" s="31">
        <f t="shared" si="11"/>
        <v>3.5755099238716781E-3</v>
      </c>
      <c r="O81" s="31">
        <f t="shared" si="11"/>
        <v>4.5964699643895601E-2</v>
      </c>
      <c r="P81" s="31">
        <f t="shared" si="11"/>
        <v>0.21322352384203358</v>
      </c>
      <c r="Q81" s="31">
        <f t="shared" si="11"/>
        <v>0.50149563598547808</v>
      </c>
      <c r="R81" s="31">
        <f t="shared" si="11"/>
        <v>0.76690377490482797</v>
      </c>
      <c r="S81" s="31">
        <f t="shared" si="11"/>
        <v>0.91805616278062141</v>
      </c>
      <c r="T81" s="31">
        <f t="shared" si="11"/>
        <v>0.97744653773021128</v>
      </c>
      <c r="U81" s="31">
        <f t="shared" si="11"/>
        <v>0.99492742516152555</v>
      </c>
      <c r="V81" s="31">
        <f t="shared" ref="V81:Z95" si="16">NORMDIST(LN(V$41),$C81,$E81,TRUE)</f>
        <v>0.9990313347802654</v>
      </c>
      <c r="W81" s="32">
        <f t="shared" si="16"/>
        <v>0.99983781308819464</v>
      </c>
      <c r="X81" s="31">
        <f t="shared" si="16"/>
        <v>0.99997555291222939</v>
      </c>
      <c r="Y81" s="31">
        <f t="shared" si="16"/>
        <v>0.99999661035606957</v>
      </c>
      <c r="Z81" s="31">
        <f t="shared" si="16"/>
        <v>0.99999956005333979</v>
      </c>
      <c r="AA81" s="31">
        <v>1</v>
      </c>
    </row>
    <row r="82" spans="1:27">
      <c r="A82" s="11">
        <v>4.0999999999999996</v>
      </c>
      <c r="B82" s="12">
        <f t="shared" si="12"/>
        <v>1.410986973710262</v>
      </c>
      <c r="C82" s="12">
        <f t="shared" si="13"/>
        <v>3.9659084173330235</v>
      </c>
      <c r="D82" s="12">
        <f t="shared" si="14"/>
        <v>52.76818315571537</v>
      </c>
      <c r="E82" s="12">
        <f t="shared" si="15"/>
        <v>0.12553212569457659</v>
      </c>
      <c r="F82" s="12">
        <v>0</v>
      </c>
      <c r="G82" s="12">
        <f t="shared" ref="G82:U96" si="17">NORMDIST(LN(G$41),$C82,$E82,TRUE)</f>
        <v>1.1474897316900206E-130</v>
      </c>
      <c r="H82" s="12">
        <f t="shared" si="17"/>
        <v>9.0301419830943475E-55</v>
      </c>
      <c r="I82" s="12">
        <f t="shared" si="17"/>
        <v>9.0567691823998755E-31</v>
      </c>
      <c r="J82" s="12">
        <f t="shared" si="17"/>
        <v>7.3308996177658285E-19</v>
      </c>
      <c r="K82" s="12">
        <f t="shared" si="17"/>
        <v>4.2638046825753917E-13</v>
      </c>
      <c r="L82" s="31">
        <f t="shared" si="17"/>
        <v>2.0469523071795665E-8</v>
      </c>
      <c r="M82" s="31">
        <f t="shared" si="17"/>
        <v>1.9793990954308782E-5</v>
      </c>
      <c r="N82" s="31">
        <f t="shared" si="17"/>
        <v>1.6609277409751488E-3</v>
      </c>
      <c r="O82" s="31">
        <f t="shared" si="17"/>
        <v>2.7837316015203672E-2</v>
      </c>
      <c r="P82" s="31">
        <f t="shared" si="17"/>
        <v>0.15688078329139188</v>
      </c>
      <c r="Q82" s="31">
        <f t="shared" si="17"/>
        <v>0.42317097266650072</v>
      </c>
      <c r="R82" s="31">
        <f t="shared" si="17"/>
        <v>0.70689641104595102</v>
      </c>
      <c r="S82" s="31">
        <f t="shared" si="17"/>
        <v>0.88873670301253249</v>
      </c>
      <c r="T82" s="31">
        <f t="shared" si="17"/>
        <v>0.96729931942910896</v>
      </c>
      <c r="U82" s="31">
        <f t="shared" si="17"/>
        <v>0.99223996544095949</v>
      </c>
      <c r="V82" s="31">
        <f t="shared" si="16"/>
        <v>0.99845412018699864</v>
      </c>
      <c r="W82" s="32">
        <f t="shared" si="16"/>
        <v>0.99973272269555891</v>
      </c>
      <c r="X82" s="31">
        <f t="shared" si="16"/>
        <v>0.99995876861809307</v>
      </c>
      <c r="Y82" s="31">
        <f t="shared" si="16"/>
        <v>0.99999419480489193</v>
      </c>
      <c r="Z82" s="31">
        <f t="shared" si="16"/>
        <v>0.99999924006951435</v>
      </c>
      <c r="AA82" s="31">
        <v>1</v>
      </c>
    </row>
    <row r="83" spans="1:27">
      <c r="A83" s="11">
        <v>4.2</v>
      </c>
      <c r="B83" s="12">
        <f t="shared" si="12"/>
        <v>1.4350845252893227</v>
      </c>
      <c r="C83" s="12">
        <f t="shared" si="13"/>
        <v>3.9917165865944773</v>
      </c>
      <c r="D83" s="12">
        <f t="shared" si="14"/>
        <v>54.147758948311271</v>
      </c>
      <c r="E83" s="12">
        <f t="shared" si="15"/>
        <v>0.12330327490935425</v>
      </c>
      <c r="F83" s="12">
        <v>0</v>
      </c>
      <c r="G83" s="12">
        <f t="shared" si="17"/>
        <v>1.3051006818829076E-137</v>
      </c>
      <c r="H83" s="12">
        <f t="shared" si="17"/>
        <v>3.8115135044861855E-58</v>
      </c>
      <c r="I83" s="12">
        <f t="shared" si="17"/>
        <v>6.7275670258192317E-33</v>
      </c>
      <c r="J83" s="12">
        <f t="shared" si="17"/>
        <v>2.5836361836826265E-20</v>
      </c>
      <c r="K83" s="12">
        <f t="shared" si="17"/>
        <v>3.4177902900472775E-14</v>
      </c>
      <c r="L83" s="31">
        <f t="shared" si="17"/>
        <v>3.4112131272162435E-9</v>
      </c>
      <c r="M83" s="31">
        <f t="shared" si="17"/>
        <v>5.5778208297718734E-6</v>
      </c>
      <c r="N83" s="31">
        <f t="shared" si="17"/>
        <v>6.9035748137746822E-4</v>
      </c>
      <c r="O83" s="31">
        <f t="shared" si="17"/>
        <v>1.5484517571050738E-2</v>
      </c>
      <c r="P83" s="31">
        <f t="shared" si="17"/>
        <v>0.10843829957177564</v>
      </c>
      <c r="Q83" s="31">
        <f t="shared" si="17"/>
        <v>0.34215188951858522</v>
      </c>
      <c r="R83" s="31">
        <f t="shared" si="17"/>
        <v>0.63490532283365331</v>
      </c>
      <c r="S83" s="31">
        <f t="shared" si="17"/>
        <v>0.84909992997781369</v>
      </c>
      <c r="T83" s="31">
        <f t="shared" si="17"/>
        <v>0.95219343181525029</v>
      </c>
      <c r="U83" s="31">
        <f t="shared" si="17"/>
        <v>0.98791601135024343</v>
      </c>
      <c r="V83" s="31">
        <f t="shared" si="16"/>
        <v>0.99746565522802311</v>
      </c>
      <c r="W83" s="32">
        <f t="shared" si="16"/>
        <v>0.99954359008299054</v>
      </c>
      <c r="X83" s="31">
        <f t="shared" si="16"/>
        <v>0.99992735633062435</v>
      </c>
      <c r="Y83" s="31">
        <f t="shared" si="16"/>
        <v>0.99998953502110766</v>
      </c>
      <c r="Z83" s="31">
        <f t="shared" si="16"/>
        <v>0.99999860852255729</v>
      </c>
      <c r="AA83" s="31">
        <v>1</v>
      </c>
    </row>
    <row r="84" spans="1:27">
      <c r="A84" s="11">
        <v>4.3</v>
      </c>
      <c r="B84" s="12">
        <f t="shared" si="12"/>
        <v>1.4586150226995167</v>
      </c>
      <c r="C84" s="12">
        <f t="shared" si="13"/>
        <v>4.0186615676838358</v>
      </c>
      <c r="D84" s="12">
        <f t="shared" si="14"/>
        <v>55.626603535969736</v>
      </c>
      <c r="E84" s="12">
        <f t="shared" si="15"/>
        <v>0.12112687256999977</v>
      </c>
      <c r="F84" s="12">
        <v>0</v>
      </c>
      <c r="G84" s="12">
        <f t="shared" si="17"/>
        <v>5.5254048304107836E-145</v>
      </c>
      <c r="H84" s="12">
        <f t="shared" si="17"/>
        <v>9.0454725765050155E-62</v>
      </c>
      <c r="I84" s="12">
        <f t="shared" si="17"/>
        <v>3.3071630419731202E-35</v>
      </c>
      <c r="J84" s="12">
        <f t="shared" si="17"/>
        <v>6.6421944053511009E-22</v>
      </c>
      <c r="K84" s="12">
        <f t="shared" si="17"/>
        <v>2.1129344835086373E-15</v>
      </c>
      <c r="L84" s="31">
        <f t="shared" si="17"/>
        <v>4.6256432862817814E-10</v>
      </c>
      <c r="M84" s="31">
        <f t="shared" si="17"/>
        <v>1.3339300286574485E-6</v>
      </c>
      <c r="N84" s="31">
        <f t="shared" si="17"/>
        <v>2.5204060078787283E-4</v>
      </c>
      <c r="O84" s="31">
        <f t="shared" si="17"/>
        <v>7.7882922341182548E-3</v>
      </c>
      <c r="P84" s="31">
        <f t="shared" si="17"/>
        <v>6.9501108889485352E-2</v>
      </c>
      <c r="Q84" s="31">
        <f t="shared" si="17"/>
        <v>0.26227234644723119</v>
      </c>
      <c r="R84" s="31">
        <f t="shared" si="17"/>
        <v>0.55116995495239773</v>
      </c>
      <c r="S84" s="31">
        <f t="shared" si="17"/>
        <v>0.79635769185327665</v>
      </c>
      <c r="T84" s="31">
        <f t="shared" si="17"/>
        <v>0.92975850400695148</v>
      </c>
      <c r="U84" s="31">
        <f t="shared" si="17"/>
        <v>0.98089075055110353</v>
      </c>
      <c r="V84" s="31">
        <f t="shared" si="16"/>
        <v>0.99573754245206392</v>
      </c>
      <c r="W84" s="31">
        <f t="shared" si="16"/>
        <v>0.99919264024968379</v>
      </c>
      <c r="X84" s="32">
        <f t="shared" si="16"/>
        <v>0.9998661984619539</v>
      </c>
      <c r="Y84" s="31">
        <f t="shared" si="16"/>
        <v>0.99998010780700164</v>
      </c>
      <c r="Z84" s="31">
        <f t="shared" si="16"/>
        <v>0.99999729171343943</v>
      </c>
      <c r="AA84" s="31">
        <v>1</v>
      </c>
    </row>
    <row r="85" spans="1:27">
      <c r="A85" s="11">
        <v>4.4000000000000004</v>
      </c>
      <c r="B85" s="12">
        <f t="shared" si="12"/>
        <v>1.4816045409242156</v>
      </c>
      <c r="C85" s="12">
        <f t="shared" si="13"/>
        <v>4.0468777966358864</v>
      </c>
      <c r="D85" s="12">
        <f t="shared" si="14"/>
        <v>57.218529980659831</v>
      </c>
      <c r="E85" s="12">
        <f t="shared" si="15"/>
        <v>0.11900050692746172</v>
      </c>
      <c r="F85" s="12">
        <v>0</v>
      </c>
      <c r="G85" s="12">
        <f t="shared" si="17"/>
        <v>7.9023841461945983E-153</v>
      </c>
      <c r="H85" s="12">
        <f t="shared" si="17"/>
        <v>1.1324045275092948E-65</v>
      </c>
      <c r="I85" s="12">
        <f t="shared" si="17"/>
        <v>1.0240139345634852E-37</v>
      </c>
      <c r="J85" s="12">
        <f t="shared" si="17"/>
        <v>1.1963954622512142E-23</v>
      </c>
      <c r="K85" s="12">
        <f t="shared" si="17"/>
        <v>9.7283274136649488E-17</v>
      </c>
      <c r="L85" s="31">
        <f t="shared" si="17"/>
        <v>4.9550047831064711E-11</v>
      </c>
      <c r="M85" s="31">
        <f t="shared" si="17"/>
        <v>2.6397957517581779E-7</v>
      </c>
      <c r="N85" s="31">
        <f t="shared" si="17"/>
        <v>7.909546349815777E-5</v>
      </c>
      <c r="O85" s="31">
        <f t="shared" si="17"/>
        <v>3.4772331010413104E-3</v>
      </c>
      <c r="P85" s="31">
        <f t="shared" si="17"/>
        <v>4.0661229474041938E-2</v>
      </c>
      <c r="Q85" s="31">
        <f t="shared" si="17"/>
        <v>0.18812241713195654</v>
      </c>
      <c r="R85" s="31">
        <f t="shared" si="17"/>
        <v>0.45771415349363442</v>
      </c>
      <c r="S85" s="31">
        <f t="shared" si="17"/>
        <v>0.72786836068621696</v>
      </c>
      <c r="T85" s="31">
        <f t="shared" si="17"/>
        <v>0.89674543557643094</v>
      </c>
      <c r="U85" s="31">
        <f t="shared" si="17"/>
        <v>0.96942616034937701</v>
      </c>
      <c r="V85" s="31">
        <f t="shared" si="16"/>
        <v>0.99266519730296765</v>
      </c>
      <c r="W85" s="31">
        <f t="shared" si="16"/>
        <v>0.99852292098673978</v>
      </c>
      <c r="X85" s="32">
        <f t="shared" si="16"/>
        <v>0.99974248384960518</v>
      </c>
      <c r="Y85" s="31">
        <f t="shared" si="16"/>
        <v>0.99996010585327089</v>
      </c>
      <c r="Z85" s="31">
        <f t="shared" si="16"/>
        <v>0.99999438761746495</v>
      </c>
      <c r="AA85" s="31">
        <v>1</v>
      </c>
    </row>
    <row r="86" spans="1:27">
      <c r="A86" s="11">
        <v>4.5</v>
      </c>
      <c r="B86" s="12">
        <f t="shared" si="12"/>
        <v>1.5040773967762742</v>
      </c>
      <c r="C86" s="12">
        <f t="shared" si="13"/>
        <v>4.076499709485419</v>
      </c>
      <c r="D86" s="12">
        <f t="shared" si="14"/>
        <v>58.938805426551539</v>
      </c>
      <c r="E86" s="12">
        <f t="shared" si="15"/>
        <v>0.11692192885085859</v>
      </c>
      <c r="F86" s="12">
        <v>0</v>
      </c>
      <c r="G86" s="12">
        <f t="shared" si="17"/>
        <v>3.4303373088596407E-161</v>
      </c>
      <c r="H86" s="12">
        <f t="shared" si="17"/>
        <v>6.9655455666713566E-70</v>
      </c>
      <c r="I86" s="12">
        <f t="shared" si="17"/>
        <v>1.8893711733857201E-40</v>
      </c>
      <c r="J86" s="12">
        <f t="shared" si="17"/>
        <v>1.4424705501454426E-25</v>
      </c>
      <c r="K86" s="12">
        <f t="shared" si="17"/>
        <v>3.205797353838855E-18</v>
      </c>
      <c r="L86" s="31">
        <f t="shared" si="17"/>
        <v>4.0531611419899141E-12</v>
      </c>
      <c r="M86" s="31">
        <f t="shared" si="17"/>
        <v>4.1985663841821019E-8</v>
      </c>
      <c r="N86" s="31">
        <f t="shared" si="17"/>
        <v>2.0804932956641764E-5</v>
      </c>
      <c r="O86" s="31">
        <f t="shared" si="17"/>
        <v>1.3483638662403763E-3</v>
      </c>
      <c r="P86" s="31">
        <f t="shared" si="17"/>
        <v>2.1310814137777578E-2</v>
      </c>
      <c r="Q86" s="31">
        <f t="shared" si="17"/>
        <v>0.12426762464774332</v>
      </c>
      <c r="R86" s="31">
        <f t="shared" si="17"/>
        <v>0.35888908084239157</v>
      </c>
      <c r="S86" s="31">
        <f t="shared" si="17"/>
        <v>0.64200036685628636</v>
      </c>
      <c r="T86" s="31">
        <f t="shared" si="17"/>
        <v>0.84904167139686249</v>
      </c>
      <c r="U86" s="31">
        <f t="shared" si="17"/>
        <v>0.95076994946149851</v>
      </c>
      <c r="V86" s="31">
        <f t="shared" si="16"/>
        <v>0.98714192164364278</v>
      </c>
      <c r="W86" s="31">
        <f t="shared" si="16"/>
        <v>0.99721403519028928</v>
      </c>
      <c r="X86" s="32">
        <f t="shared" si="16"/>
        <v>0.99948317528848085</v>
      </c>
      <c r="Y86" s="31">
        <f t="shared" si="16"/>
        <v>0.99991565932117088</v>
      </c>
      <c r="Z86" s="31">
        <f t="shared" si="16"/>
        <v>0.99998761356691401</v>
      </c>
      <c r="AA86" s="31">
        <v>1</v>
      </c>
    </row>
    <row r="87" spans="1:27">
      <c r="A87" s="11">
        <v>4.5999999999999996</v>
      </c>
      <c r="B87" s="12">
        <f t="shared" si="12"/>
        <v>1.5260563034950492</v>
      </c>
      <c r="C87" s="12">
        <f t="shared" si="13"/>
        <v>4.1076617422672195</v>
      </c>
      <c r="D87" s="12">
        <f t="shared" si="14"/>
        <v>60.804374917734954</v>
      </c>
      <c r="E87" s="12">
        <f t="shared" si="15"/>
        <v>0.11488903752836269</v>
      </c>
      <c r="F87" s="12">
        <v>0</v>
      </c>
      <c r="G87" s="12">
        <f t="shared" si="17"/>
        <v>4.0163992982853237E-170</v>
      </c>
      <c r="H87" s="12">
        <f t="shared" si="17"/>
        <v>1.9450312335676643E-74</v>
      </c>
      <c r="I87" s="12">
        <f t="shared" si="17"/>
        <v>1.9518708621362601E-43</v>
      </c>
      <c r="J87" s="12">
        <f t="shared" si="17"/>
        <v>1.1056346077656769E-27</v>
      </c>
      <c r="K87" s="12">
        <f t="shared" si="17"/>
        <v>7.2268935338462008E-20</v>
      </c>
      <c r="L87" s="31">
        <f t="shared" si="17"/>
        <v>2.4352883743968868E-13</v>
      </c>
      <c r="M87" s="31">
        <f t="shared" si="17"/>
        <v>5.189094423189602E-9</v>
      </c>
      <c r="N87" s="31">
        <f t="shared" si="17"/>
        <v>4.4540968358042221E-6</v>
      </c>
      <c r="O87" s="31">
        <f t="shared" si="17"/>
        <v>4.4261376385545947E-4</v>
      </c>
      <c r="P87" s="31">
        <f t="shared" si="17"/>
        <v>9.7845568919140424E-3</v>
      </c>
      <c r="Q87" s="31">
        <f t="shared" si="17"/>
        <v>7.4149181255741325E-2</v>
      </c>
      <c r="R87" s="31">
        <f t="shared" si="17"/>
        <v>0.26139162229269486</v>
      </c>
      <c r="S87" s="31">
        <f t="shared" si="17"/>
        <v>0.53943576416913996</v>
      </c>
      <c r="T87" s="31">
        <f t="shared" si="17"/>
        <v>0.78211689089245096</v>
      </c>
      <c r="U87" s="31">
        <f t="shared" si="17"/>
        <v>0.92078432816918521</v>
      </c>
      <c r="V87" s="31">
        <f t="shared" si="16"/>
        <v>0.97717972006674048</v>
      </c>
      <c r="W87" s="31">
        <f t="shared" si="16"/>
        <v>0.99461038802095292</v>
      </c>
      <c r="X87" s="31">
        <f t="shared" si="16"/>
        <v>0.99892261433804208</v>
      </c>
      <c r="Y87" s="32">
        <f t="shared" si="16"/>
        <v>0.99981254802307606</v>
      </c>
      <c r="Z87" s="31">
        <f t="shared" si="16"/>
        <v>0.99997093030308193</v>
      </c>
      <c r="AA87" s="31">
        <v>1</v>
      </c>
    </row>
    <row r="88" spans="1:27">
      <c r="A88" s="11">
        <v>4.7</v>
      </c>
      <c r="B88" s="12">
        <f t="shared" si="12"/>
        <v>1.547562508716013</v>
      </c>
      <c r="C88" s="12">
        <f t="shared" si="13"/>
        <v>4.1404983310160777</v>
      </c>
      <c r="D88" s="12">
        <f t="shared" si="14"/>
        <v>62.83412584235419</v>
      </c>
      <c r="E88" s="12">
        <f t="shared" si="15"/>
        <v>0.11289986770599991</v>
      </c>
      <c r="F88" s="12">
        <v>0</v>
      </c>
      <c r="G88" s="12">
        <f t="shared" si="17"/>
        <v>1.1136181812042098E-179</v>
      </c>
      <c r="H88" s="12">
        <f t="shared" si="17"/>
        <v>2.2575774217707436E-79</v>
      </c>
      <c r="I88" s="12">
        <f t="shared" si="17"/>
        <v>1.0528466709485492E-46</v>
      </c>
      <c r="J88" s="12">
        <f t="shared" si="17"/>
        <v>5.0825219660597723E-30</v>
      </c>
      <c r="K88" s="12">
        <f t="shared" si="17"/>
        <v>1.058716968656616E-21</v>
      </c>
      <c r="L88" s="31">
        <f t="shared" si="17"/>
        <v>1.0280232690662795E-14</v>
      </c>
      <c r="M88" s="31">
        <f t="shared" si="17"/>
        <v>4.7936183651452809E-10</v>
      </c>
      <c r="N88" s="31">
        <f t="shared" si="17"/>
        <v>7.5006005584299373E-7</v>
      </c>
      <c r="O88" s="31">
        <f t="shared" si="17"/>
        <v>1.1934669305646572E-4</v>
      </c>
      <c r="P88" s="31">
        <f t="shared" si="17"/>
        <v>3.8324296596397023E-3</v>
      </c>
      <c r="Q88" s="31">
        <f t="shared" si="17"/>
        <v>3.9044409684495185E-2</v>
      </c>
      <c r="R88" s="31">
        <f t="shared" si="17"/>
        <v>0.17330949938296336</v>
      </c>
      <c r="S88" s="31">
        <f t="shared" si="17"/>
        <v>0.42461923240345978</v>
      </c>
      <c r="T88" s="31">
        <f t="shared" si="17"/>
        <v>0.69225309717047057</v>
      </c>
      <c r="U88" s="31">
        <f t="shared" si="17"/>
        <v>0.87376469892094821</v>
      </c>
      <c r="V88" s="31">
        <f t="shared" si="16"/>
        <v>0.95933933485798939</v>
      </c>
      <c r="W88" s="31">
        <f t="shared" si="16"/>
        <v>0.9893845491918144</v>
      </c>
      <c r="X88" s="31">
        <f t="shared" si="16"/>
        <v>0.99768156971016042</v>
      </c>
      <c r="Y88" s="32">
        <f t="shared" si="16"/>
        <v>0.99956416614458998</v>
      </c>
      <c r="Z88" s="31">
        <f t="shared" si="16"/>
        <v>0.99992771704138161</v>
      </c>
      <c r="AA88" s="31">
        <v>1</v>
      </c>
    </row>
    <row r="89" spans="1:27">
      <c r="A89" s="11">
        <v>4.8</v>
      </c>
      <c r="B89" s="12">
        <f t="shared" si="12"/>
        <v>1.5686159179138452</v>
      </c>
      <c r="C89" s="12">
        <f t="shared" si="13"/>
        <v>4.1751439117667788</v>
      </c>
      <c r="D89" s="12">
        <f t="shared" si="14"/>
        <v>65.04920033279285</v>
      </c>
      <c r="E89" s="12">
        <f t="shared" si="15"/>
        <v>0.11095257827004865</v>
      </c>
      <c r="F89" s="12">
        <v>0</v>
      </c>
      <c r="G89" s="12">
        <f t="shared" si="17"/>
        <v>6.3345411580296946E-190</v>
      </c>
      <c r="H89" s="12">
        <f t="shared" si="17"/>
        <v>9.8736597166888498E-85</v>
      </c>
      <c r="I89" s="12">
        <f t="shared" si="17"/>
        <v>2.741655417198185E-50</v>
      </c>
      <c r="J89" s="12">
        <f t="shared" si="17"/>
        <v>1.3119402214278762E-32</v>
      </c>
      <c r="K89" s="12">
        <f t="shared" si="17"/>
        <v>9.5078411302385425E-24</v>
      </c>
      <c r="L89" s="31">
        <f t="shared" si="17"/>
        <v>2.8977521819078451E-16</v>
      </c>
      <c r="M89" s="31">
        <f t="shared" si="17"/>
        <v>3.164949312229161E-11</v>
      </c>
      <c r="N89" s="31">
        <f t="shared" si="17"/>
        <v>9.5486930128194106E-8</v>
      </c>
      <c r="O89" s="31">
        <f t="shared" si="17"/>
        <v>2.5517694497656507E-5</v>
      </c>
      <c r="P89" s="31">
        <f t="shared" si="17"/>
        <v>1.2409428563059377E-3</v>
      </c>
      <c r="Q89" s="31">
        <f t="shared" si="17"/>
        <v>1.7642937001574488E-2</v>
      </c>
      <c r="R89" s="31">
        <f t="shared" si="17"/>
        <v>0.10205275069062825</v>
      </c>
      <c r="S89" s="31">
        <f t="shared" si="17"/>
        <v>0.3065399048956714</v>
      </c>
      <c r="T89" s="31">
        <f t="shared" si="17"/>
        <v>0.57879274042861018</v>
      </c>
      <c r="U89" s="31">
        <f t="shared" si="17"/>
        <v>0.80294782831611244</v>
      </c>
      <c r="V89" s="31">
        <f t="shared" si="16"/>
        <v>0.92804805337071472</v>
      </c>
      <c r="W89" s="31">
        <f t="shared" si="16"/>
        <v>0.97892475477366481</v>
      </c>
      <c r="X89" s="31">
        <f t="shared" si="16"/>
        <v>0.99489551120954833</v>
      </c>
      <c r="Y89" s="89">
        <f t="shared" si="16"/>
        <v>0.99894799227483788</v>
      </c>
      <c r="Z89" s="32">
        <f t="shared" si="16"/>
        <v>0.99981076854625051</v>
      </c>
      <c r="AA89" s="31">
        <v>1</v>
      </c>
    </row>
    <row r="90" spans="1:27">
      <c r="A90" s="11">
        <v>4.9000000000000004</v>
      </c>
      <c r="B90" s="12">
        <f t="shared" si="12"/>
        <v>1.589235205116581</v>
      </c>
      <c r="C90" s="12">
        <f t="shared" si="13"/>
        <v>4.2117329205541143</v>
      </c>
      <c r="D90" s="12">
        <f t="shared" si="14"/>
        <v>67.473364537157394</v>
      </c>
      <c r="E90" s="12">
        <f t="shared" si="15"/>
        <v>0.10904544200677466</v>
      </c>
      <c r="F90" s="12">
        <v>0</v>
      </c>
      <c r="G90" s="12">
        <f t="shared" si="17"/>
        <v>6.3103820683199501E-201</v>
      </c>
      <c r="H90" s="12">
        <f t="shared" si="17"/>
        <v>1.4586748758075623E-90</v>
      </c>
      <c r="I90" s="12">
        <f t="shared" si="17"/>
        <v>3.1563994758249125E-54</v>
      </c>
      <c r="J90" s="12">
        <f t="shared" si="17"/>
        <v>1.7652745054810533E-35</v>
      </c>
      <c r="K90" s="12">
        <f t="shared" si="17"/>
        <v>4.8987091691039913E-26</v>
      </c>
      <c r="L90" s="31">
        <f t="shared" si="17"/>
        <v>5.1460004757368903E-18</v>
      </c>
      <c r="M90" s="31">
        <f t="shared" si="17"/>
        <v>1.4184340952204805E-12</v>
      </c>
      <c r="N90" s="31">
        <f t="shared" si="17"/>
        <v>8.7764252591773168E-9</v>
      </c>
      <c r="O90" s="31">
        <f t="shared" si="17"/>
        <v>4.1514746704773842E-6</v>
      </c>
      <c r="P90" s="31">
        <f t="shared" si="17"/>
        <v>3.200886002833192E-4</v>
      </c>
      <c r="Q90" s="31">
        <f t="shared" si="17"/>
        <v>6.616845451189679E-3</v>
      </c>
      <c r="R90" s="31">
        <f t="shared" si="17"/>
        <v>5.1795213292719855E-2</v>
      </c>
      <c r="S90" s="31">
        <f t="shared" si="17"/>
        <v>0.19764439282312152</v>
      </c>
      <c r="T90" s="31">
        <f t="shared" si="17"/>
        <v>0.44699541319719982</v>
      </c>
      <c r="U90" s="31">
        <f t="shared" si="17"/>
        <v>0.7024856734461391</v>
      </c>
      <c r="V90" s="31">
        <f t="shared" si="16"/>
        <v>0.87522160782722491</v>
      </c>
      <c r="W90" s="31">
        <f t="shared" si="16"/>
        <v>0.95836598965339204</v>
      </c>
      <c r="X90" s="31">
        <f t="shared" si="16"/>
        <v>0.98863834381317095</v>
      </c>
      <c r="Y90" s="89">
        <f t="shared" si="16"/>
        <v>0.99739203249416675</v>
      </c>
      <c r="Z90" s="89">
        <f t="shared" si="16"/>
        <v>0.99948333900481234</v>
      </c>
      <c r="AA90" s="31">
        <v>1</v>
      </c>
    </row>
    <row r="91" spans="1:27">
      <c r="A91" s="11">
        <v>5</v>
      </c>
      <c r="B91" s="12">
        <f t="shared" si="12"/>
        <v>1.6094379124341003</v>
      </c>
      <c r="C91" s="12">
        <f t="shared" si="13"/>
        <v>4.2503997934128694</v>
      </c>
      <c r="D91" s="12">
        <f t="shared" si="14"/>
        <v>70.133445632138603</v>
      </c>
      <c r="E91" s="12">
        <f t="shared" si="15"/>
        <v>0.10717683639675918</v>
      </c>
      <c r="F91" s="12">
        <v>0</v>
      </c>
      <c r="G91" s="12">
        <f t="shared" si="17"/>
        <v>9.2464505382221126E-213</v>
      </c>
      <c r="H91" s="12">
        <f t="shared" si="17"/>
        <v>6.4446996065428193E-97</v>
      </c>
      <c r="I91" s="12">
        <f t="shared" si="17"/>
        <v>1.4555824304838736E-58</v>
      </c>
      <c r="J91" s="12">
        <f t="shared" si="17"/>
        <v>1.1383788766252725E-38</v>
      </c>
      <c r="K91" s="12">
        <f t="shared" si="17"/>
        <v>1.3431037038483705E-28</v>
      </c>
      <c r="L91" s="31">
        <f t="shared" si="17"/>
        <v>5.3873019481563751E-20</v>
      </c>
      <c r="M91" s="31">
        <f t="shared" si="17"/>
        <v>4.0666329793473353E-14</v>
      </c>
      <c r="N91" s="31">
        <f t="shared" si="17"/>
        <v>5.5216519254290897E-10</v>
      </c>
      <c r="O91" s="31">
        <f t="shared" si="17"/>
        <v>4.8976520550247926E-7</v>
      </c>
      <c r="P91" s="31">
        <f t="shared" si="17"/>
        <v>6.2962774739383498E-5</v>
      </c>
      <c r="Q91" s="31">
        <f t="shared" si="17"/>
        <v>1.9796433764047716E-3</v>
      </c>
      <c r="R91" s="31">
        <f t="shared" si="17"/>
        <v>2.1855802426452131E-2</v>
      </c>
      <c r="S91" s="31">
        <f t="shared" si="17"/>
        <v>0.11016287245693146</v>
      </c>
      <c r="T91" s="31">
        <f t="shared" si="17"/>
        <v>0.30982169738934862</v>
      </c>
      <c r="U91" s="31">
        <f t="shared" si="17"/>
        <v>0.57144505235338106</v>
      </c>
      <c r="V91" s="31">
        <f t="shared" si="16"/>
        <v>0.79123821143715189</v>
      </c>
      <c r="W91" s="31">
        <f t="shared" si="16"/>
        <v>0.91946057310230633</v>
      </c>
      <c r="X91" s="31">
        <f t="shared" si="16"/>
        <v>0.97482601993145057</v>
      </c>
      <c r="Y91" s="89">
        <f t="shared" si="16"/>
        <v>0.99345501443247786</v>
      </c>
      <c r="Z91" s="89">
        <f t="shared" si="16"/>
        <v>0.99854802103207063</v>
      </c>
      <c r="AA91" s="31">
        <v>1</v>
      </c>
    </row>
    <row r="92" spans="1:27">
      <c r="A92" s="11">
        <v>5.0999999999999996</v>
      </c>
      <c r="B92" s="12">
        <f t="shared" si="12"/>
        <v>1.62924053973028</v>
      </c>
      <c r="C92" s="12">
        <f t="shared" si="13"/>
        <v>4.2912789663778321</v>
      </c>
      <c r="D92" s="12">
        <f t="shared" si="14"/>
        <v>73.059849862635687</v>
      </c>
      <c r="E92" s="12">
        <f t="shared" si="15"/>
        <v>0.10534523532086781</v>
      </c>
      <c r="F92" s="12">
        <v>0</v>
      </c>
      <c r="G92" s="12">
        <f t="shared" si="17"/>
        <v>1.6439319286643166E-225</v>
      </c>
      <c r="H92" s="12">
        <f t="shared" si="17"/>
        <v>7.4353229632880541E-104</v>
      </c>
      <c r="I92" s="12">
        <f t="shared" si="17"/>
        <v>2.4068469359067413E-63</v>
      </c>
      <c r="J92" s="12">
        <f t="shared" si="17"/>
        <v>3.199866414247717E-42</v>
      </c>
      <c r="K92" s="12">
        <f t="shared" si="17"/>
        <v>1.799234866617494E-31</v>
      </c>
      <c r="L92" s="31">
        <f t="shared" si="17"/>
        <v>3.081857648515674E-22</v>
      </c>
      <c r="M92" s="31">
        <f t="shared" si="17"/>
        <v>6.9670400498740005E-16</v>
      </c>
      <c r="N92" s="31">
        <f t="shared" si="17"/>
        <v>2.2357598883996295E-11</v>
      </c>
      <c r="O92" s="31">
        <f t="shared" si="17"/>
        <v>3.961436408628897E-8</v>
      </c>
      <c r="P92" s="31">
        <f t="shared" si="17"/>
        <v>8.9736083952463019E-6</v>
      </c>
      <c r="Q92" s="31">
        <f t="shared" si="17"/>
        <v>4.5083807279955312E-4</v>
      </c>
      <c r="R92" s="31">
        <f t="shared" si="17"/>
        <v>7.3444117359562355E-3</v>
      </c>
      <c r="S92" s="31">
        <f t="shared" si="17"/>
        <v>5.1022203757170925E-2</v>
      </c>
      <c r="T92" s="31">
        <f t="shared" si="17"/>
        <v>0.18591912212007877</v>
      </c>
      <c r="U92" s="31">
        <f t="shared" si="17"/>
        <v>0.41883893021209739</v>
      </c>
      <c r="V92" s="31">
        <f t="shared" si="16"/>
        <v>0.66886138938279305</v>
      </c>
      <c r="W92" s="31">
        <f t="shared" si="16"/>
        <v>0.85031126971197124</v>
      </c>
      <c r="X92" s="31">
        <f t="shared" si="16"/>
        <v>0.94552956627528262</v>
      </c>
      <c r="Y92" s="89">
        <f t="shared" si="16"/>
        <v>0.98367676003985127</v>
      </c>
      <c r="Z92" s="89">
        <f t="shared" si="16"/>
        <v>0.99587238542148881</v>
      </c>
      <c r="AA92" s="31">
        <v>1</v>
      </c>
    </row>
    <row r="93" spans="1:27">
      <c r="A93" s="11">
        <v>5.2</v>
      </c>
      <c r="B93" s="12">
        <f t="shared" si="12"/>
        <v>1.6486586255873816</v>
      </c>
      <c r="C93" s="12">
        <f t="shared" si="13"/>
        <v>4.3345048754837929</v>
      </c>
      <c r="D93" s="12">
        <f t="shared" si="14"/>
        <v>76.287177885345486</v>
      </c>
      <c r="E93" s="12">
        <f t="shared" si="15"/>
        <v>0.10354920157162489</v>
      </c>
      <c r="F93" s="12">
        <v>0</v>
      </c>
      <c r="G93" s="12">
        <f t="shared" si="17"/>
        <v>2.8678803364465969E-239</v>
      </c>
      <c r="H93" s="12">
        <f t="shared" si="17"/>
        <v>1.9258038357430602E-111</v>
      </c>
      <c r="I93" s="12">
        <f t="shared" si="17"/>
        <v>1.2602447073092139E-68</v>
      </c>
      <c r="J93" s="12">
        <f t="shared" si="17"/>
        <v>3.5222467596661554E-46</v>
      </c>
      <c r="K93" s="12">
        <f t="shared" si="17"/>
        <v>1.0689328159397707E-34</v>
      </c>
      <c r="L93" s="31">
        <f t="shared" si="17"/>
        <v>8.8346001150236142E-25</v>
      </c>
      <c r="M93" s="31">
        <f t="shared" si="17"/>
        <v>6.5958940312812002E-18</v>
      </c>
      <c r="N93" s="31">
        <f t="shared" si="17"/>
        <v>5.4258107815032909E-13</v>
      </c>
      <c r="O93" s="31">
        <f t="shared" si="17"/>
        <v>2.0582682208895257E-9</v>
      </c>
      <c r="P93" s="31">
        <f t="shared" si="17"/>
        <v>8.7280469973638475E-7</v>
      </c>
      <c r="Q93" s="31">
        <f t="shared" si="17"/>
        <v>7.3954456123015433E-5</v>
      </c>
      <c r="R93" s="31">
        <f t="shared" si="17"/>
        <v>1.8674492425578837E-3</v>
      </c>
      <c r="S93" s="31">
        <f t="shared" si="17"/>
        <v>1.8724992980853505E-2</v>
      </c>
      <c r="T93" s="31">
        <f t="shared" si="17"/>
        <v>9.2425148371669152E-2</v>
      </c>
      <c r="U93" s="31">
        <f t="shared" si="17"/>
        <v>0.26570299851083867</v>
      </c>
      <c r="V93" s="31">
        <f t="shared" si="16"/>
        <v>0.51073176227772599</v>
      </c>
      <c r="W93" s="31">
        <f t="shared" si="16"/>
        <v>0.73836924568608819</v>
      </c>
      <c r="X93" s="31">
        <f t="shared" si="16"/>
        <v>0.88749850397979435</v>
      </c>
      <c r="Y93" s="89">
        <f t="shared" si="16"/>
        <v>0.96045719636282167</v>
      </c>
      <c r="Z93" s="89">
        <f t="shared" si="16"/>
        <v>0.98839077137325426</v>
      </c>
      <c r="AA93" s="31">
        <v>1</v>
      </c>
    </row>
    <row r="94" spans="1:27">
      <c r="A94" s="11">
        <v>5.3</v>
      </c>
      <c r="B94" s="12">
        <f t="shared" si="12"/>
        <v>1.6677068205580761</v>
      </c>
      <c r="C94" s="12">
        <f t="shared" si="13"/>
        <v>4.3802119567655371</v>
      </c>
      <c r="D94" s="12">
        <f t="shared" si="14"/>
        <v>79.854957409927209</v>
      </c>
      <c r="E94" s="12">
        <f t="shared" si="15"/>
        <v>0.10178738007792626</v>
      </c>
      <c r="F94" s="12">
        <v>0</v>
      </c>
      <c r="G94" s="12">
        <f t="shared" si="17"/>
        <v>3.8836283339562919E-254</v>
      </c>
      <c r="H94" s="12">
        <f t="shared" si="17"/>
        <v>9.4622606878613632E-120</v>
      </c>
      <c r="I94" s="12">
        <f t="shared" si="17"/>
        <v>1.8175787535959059E-74</v>
      </c>
      <c r="J94" s="12">
        <f t="shared" si="17"/>
        <v>1.3453148816808763E-50</v>
      </c>
      <c r="K94" s="12">
        <f t="shared" si="17"/>
        <v>2.5234179224173124E-38</v>
      </c>
      <c r="L94" s="31">
        <f t="shared" si="17"/>
        <v>1.1497540548850141E-27</v>
      </c>
      <c r="M94" s="31">
        <f t="shared" si="17"/>
        <v>3.1546181319882043E-20</v>
      </c>
      <c r="N94" s="31">
        <f t="shared" si="17"/>
        <v>7.26984511427768E-15</v>
      </c>
      <c r="O94" s="31">
        <f t="shared" si="17"/>
        <v>6.3696180360472039E-11</v>
      </c>
      <c r="P94" s="31">
        <f t="shared" si="17"/>
        <v>5.4024362013335016E-8</v>
      </c>
      <c r="Q94" s="31">
        <f t="shared" si="17"/>
        <v>8.1894074686061913E-6</v>
      </c>
      <c r="R94" s="31">
        <f t="shared" si="17"/>
        <v>3.3821200640782312E-4</v>
      </c>
      <c r="S94" s="31">
        <f t="shared" si="17"/>
        <v>5.1456368541170638E-3</v>
      </c>
      <c r="T94" s="31">
        <f t="shared" si="17"/>
        <v>3.6091384400098958E-2</v>
      </c>
      <c r="U94" s="31">
        <f t="shared" si="17"/>
        <v>0.13879728654817325</v>
      </c>
      <c r="V94" s="31">
        <f t="shared" si="16"/>
        <v>0.33663104684881284</v>
      </c>
      <c r="W94" s="31">
        <f t="shared" si="16"/>
        <v>0.57938874016407449</v>
      </c>
      <c r="X94" s="31">
        <f t="shared" si="16"/>
        <v>0.78385777625517372</v>
      </c>
      <c r="Y94" s="89">
        <f t="shared" si="16"/>
        <v>0.90944845626429571</v>
      </c>
      <c r="Z94" s="89">
        <f t="shared" si="16"/>
        <v>0.96856177125221743</v>
      </c>
      <c r="AA94" s="31">
        <v>1</v>
      </c>
    </row>
    <row r="95" spans="1:27">
      <c r="A95" s="11">
        <v>5.4</v>
      </c>
      <c r="B95" s="12">
        <f t="shared" si="12"/>
        <v>1.6863989535702288</v>
      </c>
      <c r="C95" s="12">
        <f t="shared" si="13"/>
        <v>4.4285346462578534</v>
      </c>
      <c r="D95" s="12">
        <f t="shared" si="14"/>
        <v>83.808517761770673</v>
      </c>
      <c r="E95" s="12">
        <f t="shared" si="15"/>
        <v>0.10005849176307277</v>
      </c>
      <c r="F95" s="12">
        <v>0</v>
      </c>
      <c r="G95" s="12">
        <f t="shared" si="17"/>
        <v>3.1519424491604043E-270</v>
      </c>
      <c r="H95" s="12">
        <f t="shared" si="17"/>
        <v>7.3101591220207273E-129</v>
      </c>
      <c r="I95" s="12">
        <f t="shared" si="17"/>
        <v>6.174558702462206E-81</v>
      </c>
      <c r="J95" s="12">
        <f t="shared" si="17"/>
        <v>1.5554553762221805E-55</v>
      </c>
      <c r="K95" s="12">
        <f t="shared" si="17"/>
        <v>2.0898706527956917E-42</v>
      </c>
      <c r="L95" s="31">
        <f t="shared" si="17"/>
        <v>6.0699632292301332E-31</v>
      </c>
      <c r="M95" s="31">
        <f t="shared" si="17"/>
        <v>6.8774493033778212E-23</v>
      </c>
      <c r="N95" s="31">
        <f t="shared" si="17"/>
        <v>4.8925413415463239E-17</v>
      </c>
      <c r="O95" s="31">
        <f t="shared" si="17"/>
        <v>1.0756831655096829E-12</v>
      </c>
      <c r="P95" s="31">
        <f t="shared" si="17"/>
        <v>1.9618328211879627E-9</v>
      </c>
      <c r="Q95" s="31">
        <f t="shared" si="17"/>
        <v>5.6743771659206743E-7</v>
      </c>
      <c r="R95" s="31">
        <f t="shared" si="17"/>
        <v>4.0633077386109662E-5</v>
      </c>
      <c r="S95" s="31">
        <f t="shared" si="17"/>
        <v>9.9016842069099553E-4</v>
      </c>
      <c r="T95" s="31">
        <f t="shared" si="17"/>
        <v>1.0389539584300778E-2</v>
      </c>
      <c r="U95" s="31">
        <f t="shared" si="17"/>
        <v>5.6206123472315461E-2</v>
      </c>
      <c r="V95" s="31">
        <f t="shared" si="16"/>
        <v>0.18090918969612613</v>
      </c>
      <c r="W95" s="31">
        <f t="shared" si="16"/>
        <v>0.39006371367291581</v>
      </c>
      <c r="X95" s="31">
        <f t="shared" si="16"/>
        <v>0.62396568753841253</v>
      </c>
      <c r="Y95" s="89">
        <f t="shared" si="16"/>
        <v>0.80990057814821315</v>
      </c>
      <c r="Z95" s="89">
        <f t="shared" si="16"/>
        <v>0.92062074858439691</v>
      </c>
      <c r="AA95" s="31">
        <v>1</v>
      </c>
    </row>
    <row r="96" spans="1:27">
      <c r="A96" s="11">
        <v>5.5</v>
      </c>
      <c r="B96" s="12">
        <f t="shared" si="12"/>
        <v>1.7047480922384253</v>
      </c>
      <c r="C96" s="12">
        <f t="shared" si="13"/>
        <v>4.4796073799955298</v>
      </c>
      <c r="D96" s="12">
        <f t="shared" si="14"/>
        <v>88.200036777889238</v>
      </c>
      <c r="E96" s="12">
        <f t="shared" si="15"/>
        <v>9.8361327966386469E-2</v>
      </c>
      <c r="F96" s="12">
        <v>0</v>
      </c>
      <c r="G96" s="12">
        <f t="shared" si="17"/>
        <v>1.1522573530125241E-287</v>
      </c>
      <c r="H96" s="12">
        <f t="shared" si="17"/>
        <v>7.2033876814769463E-139</v>
      </c>
      <c r="I96" s="12">
        <f t="shared" si="17"/>
        <v>4.1451484349204369E-88</v>
      </c>
      <c r="J96" s="12">
        <f t="shared" si="17"/>
        <v>4.6668061894652809E-61</v>
      </c>
      <c r="K96" s="12">
        <f t="shared" si="17"/>
        <v>5.2729512116973801E-47</v>
      </c>
      <c r="L96" s="31">
        <f t="shared" si="17"/>
        <v>1.1435646122927133E-34</v>
      </c>
      <c r="M96" s="31">
        <f t="shared" si="17"/>
        <v>6.0760996842149607E-26</v>
      </c>
      <c r="N96" s="31">
        <f t="shared" si="17"/>
        <v>1.4833924309808589E-19</v>
      </c>
      <c r="O96" s="31">
        <f t="shared" si="17"/>
        <v>8.9597285707702978E-15</v>
      </c>
      <c r="P96" s="31">
        <f t="shared" si="17"/>
        <v>3.802863547603E-11</v>
      </c>
      <c r="Q96" s="31">
        <f t="shared" si="17"/>
        <v>2.2515841690619132E-8</v>
      </c>
      <c r="R96" s="31">
        <f t="shared" si="17"/>
        <v>2.9791416711333341E-6</v>
      </c>
      <c r="S96" s="31">
        <f t="shared" si="17"/>
        <v>1.2329676171884962E-4</v>
      </c>
      <c r="T96" s="31">
        <f t="shared" ref="T96:Z96" si="18">NORMDIST(LN(T$41),$C96,$E96,TRUE)</f>
        <v>2.0452158015886734E-3</v>
      </c>
      <c r="U96" s="31">
        <f t="shared" si="18"/>
        <v>1.641853760794465E-2</v>
      </c>
      <c r="V96" s="31">
        <f t="shared" si="18"/>
        <v>7.3965836000933316E-2</v>
      </c>
      <c r="W96" s="31">
        <f t="shared" si="18"/>
        <v>0.21092798313231165</v>
      </c>
      <c r="X96" s="31">
        <f t="shared" si="18"/>
        <v>0.42157255271246707</v>
      </c>
      <c r="Y96" s="89">
        <f t="shared" si="18"/>
        <v>0.64558775552539949</v>
      </c>
      <c r="Z96" s="89">
        <f t="shared" si="18"/>
        <v>0.81973070846420948</v>
      </c>
      <c r="AA96" s="31">
        <v>1</v>
      </c>
    </row>
    <row r="97" spans="1:27">
      <c r="A97" s="11">
        <v>5.6</v>
      </c>
      <c r="B97" s="12">
        <f t="shared" si="12"/>
        <v>1.7227665977411035</v>
      </c>
      <c r="C97" s="12">
        <f t="shared" si="13"/>
        <v>4.5335645940133542</v>
      </c>
      <c r="D97" s="12">
        <f t="shared" si="14"/>
        <v>93.089797704940324</v>
      </c>
      <c r="E97" s="12">
        <f t="shared" si="15"/>
        <v>9.6694745367469054E-2</v>
      </c>
      <c r="F97" s="12">
        <v>0</v>
      </c>
      <c r="G97" s="12">
        <f t="shared" ref="G97:Z101" si="19">NORMDIST(LN(G$41),$C97,$E97,TRUE)</f>
        <v>1.3840864844800954E-306</v>
      </c>
      <c r="H97" s="12">
        <f t="shared" si="19"/>
        <v>7.1700018325020635E-150</v>
      </c>
      <c r="I97" s="12">
        <f t="shared" si="19"/>
        <v>4.5158554181687239E-96</v>
      </c>
      <c r="J97" s="12">
        <f t="shared" si="19"/>
        <v>3.0537835541445327E-67</v>
      </c>
      <c r="K97" s="12">
        <f t="shared" si="19"/>
        <v>3.4544209107385408E-52</v>
      </c>
      <c r="L97" s="31">
        <f t="shared" si="19"/>
        <v>6.6446791479399388E-39</v>
      </c>
      <c r="M97" s="31">
        <f t="shared" si="19"/>
        <v>1.9016341610930718E-29</v>
      </c>
      <c r="N97" s="31">
        <f t="shared" si="19"/>
        <v>1.7882931206371948E-22</v>
      </c>
      <c r="O97" s="31">
        <f t="shared" si="19"/>
        <v>3.275487520949498E-17</v>
      </c>
      <c r="P97" s="31">
        <f t="shared" si="19"/>
        <v>3.5269385973382255E-13</v>
      </c>
      <c r="Q97" s="31">
        <f t="shared" si="19"/>
        <v>4.6151381699358745E-10</v>
      </c>
      <c r="R97" s="31">
        <f t="shared" si="19"/>
        <v>1.2091536621008175E-7</v>
      </c>
      <c r="S97" s="31">
        <f t="shared" si="19"/>
        <v>9.0563596653048251E-6</v>
      </c>
      <c r="T97" s="31">
        <f t="shared" si="19"/>
        <v>2.5201720122425275E-4</v>
      </c>
      <c r="U97" s="31">
        <f t="shared" si="19"/>
        <v>3.1776120467252866E-3</v>
      </c>
      <c r="V97" s="31">
        <f t="shared" si="19"/>
        <v>2.1186933179474843E-2</v>
      </c>
      <c r="W97" s="31">
        <f t="shared" si="19"/>
        <v>8.4555624999109513E-2</v>
      </c>
      <c r="X97" s="31">
        <f t="shared" si="19"/>
        <v>0.223836991972447</v>
      </c>
      <c r="Y97" s="31">
        <f t="shared" si="19"/>
        <v>0.42930480976092422</v>
      </c>
      <c r="Z97" s="31">
        <f t="shared" si="19"/>
        <v>0.64508425548700088</v>
      </c>
      <c r="AA97" s="31">
        <v>1</v>
      </c>
    </row>
    <row r="98" spans="1:27">
      <c r="A98" s="11">
        <v>5.7</v>
      </c>
      <c r="B98" s="12">
        <f t="shared" si="12"/>
        <v>1.7404661748405046</v>
      </c>
      <c r="C98" s="12">
        <f t="shared" si="13"/>
        <v>4.5905407243461163</v>
      </c>
      <c r="D98" s="12">
        <f t="shared" si="14"/>
        <v>98.547702899926946</v>
      </c>
      <c r="E98" s="12">
        <f t="shared" si="15"/>
        <v>9.5057661359715218E-2</v>
      </c>
      <c r="F98" s="12">
        <v>0</v>
      </c>
      <c r="G98" s="12">
        <f t="shared" si="19"/>
        <v>0</v>
      </c>
      <c r="H98" s="12">
        <f t="shared" si="19"/>
        <v>5.5580677305515524E-162</v>
      </c>
      <c r="I98" s="12">
        <f t="shared" si="19"/>
        <v>6.4005954885540342E-105</v>
      </c>
      <c r="J98" s="12">
        <f t="shared" si="19"/>
        <v>3.5825853947013389E-74</v>
      </c>
      <c r="K98" s="12">
        <f t="shared" si="19"/>
        <v>4.9034010870735602E-58</v>
      </c>
      <c r="L98" s="31">
        <f t="shared" si="19"/>
        <v>1.0087391742908821E-43</v>
      </c>
      <c r="M98" s="31">
        <f t="shared" si="19"/>
        <v>1.8080893648132294E-33</v>
      </c>
      <c r="N98" s="31">
        <f t="shared" si="19"/>
        <v>7.4277997309978666E-26</v>
      </c>
      <c r="O98" s="31">
        <f t="shared" si="19"/>
        <v>4.594872921568118E-20</v>
      </c>
      <c r="P98" s="31">
        <f t="shared" si="19"/>
        <v>1.3789628606925932E-15</v>
      </c>
      <c r="Q98" s="31">
        <f t="shared" si="19"/>
        <v>4.3353513393934561E-12</v>
      </c>
      <c r="R98" s="31">
        <f t="shared" si="19"/>
        <v>2.4250052060147746E-9</v>
      </c>
      <c r="S98" s="31">
        <f t="shared" si="19"/>
        <v>3.5213123594779461E-7</v>
      </c>
      <c r="T98" s="31">
        <f t="shared" si="19"/>
        <v>1.7525210297075766E-5</v>
      </c>
      <c r="U98" s="31">
        <f t="shared" si="19"/>
        <v>3.6874468133751837E-4</v>
      </c>
      <c r="V98" s="31">
        <f t="shared" si="19"/>
        <v>3.858901631969669E-3</v>
      </c>
      <c r="W98" s="31">
        <f t="shared" si="19"/>
        <v>2.2851204670404135E-2</v>
      </c>
      <c r="X98" s="31">
        <f t="shared" si="19"/>
        <v>8.5069060544980313E-2</v>
      </c>
      <c r="Y98" s="31">
        <f t="shared" si="19"/>
        <v>0.21751969552048467</v>
      </c>
      <c r="Z98" s="31">
        <f t="shared" si="19"/>
        <v>0.41258728417474222</v>
      </c>
      <c r="AA98" s="31">
        <v>1</v>
      </c>
    </row>
    <row r="99" spans="1:27">
      <c r="A99" s="11">
        <v>5.8</v>
      </c>
      <c r="B99" s="12">
        <f t="shared" si="12"/>
        <v>1.7578579175523736</v>
      </c>
      <c r="C99" s="12">
        <f t="shared" si="13"/>
        <v>4.6506702070286012</v>
      </c>
      <c r="D99" s="12">
        <f t="shared" si="14"/>
        <v>104.65510266339157</v>
      </c>
      <c r="E99" s="12">
        <f t="shared" si="15"/>
        <v>9.3449049826192565E-2</v>
      </c>
      <c r="F99" s="12">
        <v>0</v>
      </c>
      <c r="G99" s="12">
        <f t="shared" si="19"/>
        <v>0</v>
      </c>
      <c r="H99" s="12">
        <f t="shared" si="19"/>
        <v>2.5107615168298155E-175</v>
      </c>
      <c r="I99" s="12">
        <f t="shared" si="19"/>
        <v>9.2109976404620628E-115</v>
      </c>
      <c r="J99" s="12">
        <f t="shared" si="19"/>
        <v>6.0413377849979207E-82</v>
      </c>
      <c r="K99" s="12">
        <f t="shared" si="19"/>
        <v>1.2288495504346043E-64</v>
      </c>
      <c r="L99" s="31">
        <f t="shared" si="19"/>
        <v>3.313646619190597E-49</v>
      </c>
      <c r="M99" s="31">
        <f t="shared" si="19"/>
        <v>4.3831666382753521E-38</v>
      </c>
      <c r="N99" s="31">
        <f t="shared" si="19"/>
        <v>9.0209351690776093E-30</v>
      </c>
      <c r="O99" s="31">
        <f t="shared" si="19"/>
        <v>2.1193093617483481E-23</v>
      </c>
      <c r="P99" s="31">
        <f t="shared" si="19"/>
        <v>1.9639784198918551E-18</v>
      </c>
      <c r="Q99" s="31">
        <f t="shared" si="19"/>
        <v>1.6248057304168454E-14</v>
      </c>
      <c r="R99" s="31">
        <f t="shared" si="19"/>
        <v>2.1059641831117306E-11</v>
      </c>
      <c r="S99" s="31">
        <f t="shared" si="19"/>
        <v>6.3887179028909454E-9</v>
      </c>
      <c r="T99" s="31">
        <f t="shared" si="19"/>
        <v>6.0935203771705915E-7</v>
      </c>
      <c r="U99" s="31">
        <f t="shared" si="19"/>
        <v>2.2830212469182598E-5</v>
      </c>
      <c r="V99" s="31">
        <f t="shared" si="19"/>
        <v>3.9901172854028832E-4</v>
      </c>
      <c r="W99" s="31">
        <f t="shared" si="19"/>
        <v>3.7256261287612613E-3</v>
      </c>
      <c r="X99" s="31">
        <f t="shared" si="19"/>
        <v>2.0733997033853258E-2</v>
      </c>
      <c r="Y99" s="31">
        <f t="shared" si="19"/>
        <v>7.5290682120362384E-2</v>
      </c>
      <c r="Z99" s="31">
        <f t="shared" si="19"/>
        <v>0.19265785045946449</v>
      </c>
      <c r="AA99" s="31">
        <v>1</v>
      </c>
    </row>
    <row r="100" spans="1:27">
      <c r="A100" s="11">
        <v>5.9</v>
      </c>
      <c r="B100" s="12">
        <f t="shared" si="12"/>
        <v>1.7749523509116738</v>
      </c>
      <c r="C100" s="12">
        <f t="shared" si="13"/>
        <v>4.7140874780955979</v>
      </c>
      <c r="D100" s="12">
        <f t="shared" si="14"/>
        <v>111.50701214277451</v>
      </c>
      <c r="E100" s="12">
        <f t="shared" si="15"/>
        <v>9.1867937276612466E-2</v>
      </c>
      <c r="F100" s="12">
        <v>0</v>
      </c>
      <c r="G100" s="12">
        <f t="shared" si="19"/>
        <v>0</v>
      </c>
      <c r="H100" s="12">
        <f t="shared" si="19"/>
        <v>4.783217301490952E-190</v>
      </c>
      <c r="I100" s="12">
        <f t="shared" si="19"/>
        <v>1.0191272617151053E-125</v>
      </c>
      <c r="J100" s="12">
        <f t="shared" si="19"/>
        <v>1.1415571227265717E-90</v>
      </c>
      <c r="K100" s="12">
        <f t="shared" si="19"/>
        <v>4.3133745048808141E-72</v>
      </c>
      <c r="L100" s="31">
        <f t="shared" si="19"/>
        <v>1.9015071548323405E-55</v>
      </c>
      <c r="M100" s="31">
        <f t="shared" si="19"/>
        <v>2.2185977921769589E-43</v>
      </c>
      <c r="N100" s="31">
        <f t="shared" si="19"/>
        <v>2.6551503875578856E-34</v>
      </c>
      <c r="O100" s="31">
        <f t="shared" si="19"/>
        <v>2.6916696367659548E-27</v>
      </c>
      <c r="P100" s="31">
        <f t="shared" si="19"/>
        <v>8.6115529821690261E-22</v>
      </c>
      <c r="Q100" s="31">
        <f t="shared" si="19"/>
        <v>2.0698734713122867E-17</v>
      </c>
      <c r="R100" s="31">
        <f t="shared" si="19"/>
        <v>6.7957838624719694E-14</v>
      </c>
      <c r="S100" s="31">
        <f t="shared" si="19"/>
        <v>4.6709035545713595E-11</v>
      </c>
      <c r="T100" s="31">
        <f t="shared" si="19"/>
        <v>9.2006034738325964E-9</v>
      </c>
      <c r="U100" s="31">
        <f t="shared" si="19"/>
        <v>6.5817243188881491E-7</v>
      </c>
      <c r="V100" s="31">
        <f t="shared" si="19"/>
        <v>2.0523646308001631E-5</v>
      </c>
      <c r="W100" s="31">
        <f t="shared" si="19"/>
        <v>3.2204092832488485E-4</v>
      </c>
      <c r="X100" s="31">
        <f t="shared" si="19"/>
        <v>2.8529646512723827E-3</v>
      </c>
      <c r="Y100" s="31">
        <f t="shared" si="19"/>
        <v>1.5677811210101811E-2</v>
      </c>
      <c r="Z100" s="31">
        <f t="shared" si="19"/>
        <v>5.7813797087172381E-2</v>
      </c>
      <c r="AA100" s="31">
        <v>1</v>
      </c>
    </row>
    <row r="101" spans="1:27">
      <c r="A101" s="11">
        <v>6</v>
      </c>
      <c r="B101" s="12">
        <f t="shared" si="12"/>
        <v>1.791759469228055</v>
      </c>
      <c r="C101" s="12">
        <f t="shared" si="13"/>
        <v>4.7809269735818951</v>
      </c>
      <c r="D101" s="12">
        <f t="shared" si="14"/>
        <v>119.21480781860377</v>
      </c>
      <c r="E101" s="12">
        <f t="shared" si="15"/>
        <v>9.0313399308973391E-2</v>
      </c>
      <c r="F101" s="12">
        <v>0</v>
      </c>
      <c r="G101" s="12">
        <f t="shared" si="19"/>
        <v>0</v>
      </c>
      <c r="H101" s="12">
        <f t="shared" si="19"/>
        <v>2.6794670709763295E-206</v>
      </c>
      <c r="I101" s="12">
        <f t="shared" si="19"/>
        <v>6.3467039408988252E-138</v>
      </c>
      <c r="J101" s="12">
        <f t="shared" si="19"/>
        <v>1.8257803427484723E-100</v>
      </c>
      <c r="K101" s="12">
        <f t="shared" si="19"/>
        <v>1.6322595754219108E-80</v>
      </c>
      <c r="L101" s="31">
        <f t="shared" si="19"/>
        <v>1.4951612431432958E-62</v>
      </c>
      <c r="M101" s="31">
        <f t="shared" si="19"/>
        <v>1.8677423664838177E-49</v>
      </c>
      <c r="N101" s="31">
        <f t="shared" si="19"/>
        <v>1.5284052140458904E-39</v>
      </c>
      <c r="O101" s="31">
        <f t="shared" si="19"/>
        <v>7.6821870192838247E-32</v>
      </c>
      <c r="P101" s="31">
        <f t="shared" si="19"/>
        <v>9.5803025255981123E-26</v>
      </c>
      <c r="Q101" s="31">
        <f t="shared" si="19"/>
        <v>7.4511677613265783E-21</v>
      </c>
      <c r="R101" s="31">
        <f t="shared" si="19"/>
        <v>6.8269784116395815E-17</v>
      </c>
      <c r="S101" s="31">
        <f t="shared" si="19"/>
        <v>1.1610213036156821E-13</v>
      </c>
      <c r="T101" s="31">
        <f t="shared" si="19"/>
        <v>5.1212834430350121E-11</v>
      </c>
      <c r="U101" s="31">
        <f t="shared" si="19"/>
        <v>7.5415049335305403E-9</v>
      </c>
      <c r="V101" s="31">
        <f t="shared" si="19"/>
        <v>4.503325947702308E-7</v>
      </c>
      <c r="W101" s="31">
        <f t="shared" si="19"/>
        <v>1.2703273621905709E-5</v>
      </c>
      <c r="X101" s="31">
        <f t="shared" si="19"/>
        <v>1.9124299431538816E-4</v>
      </c>
      <c r="Y101" s="31">
        <f t="shared" si="19"/>
        <v>1.6966382609711061E-3</v>
      </c>
      <c r="Z101" s="31">
        <f t="shared" si="19"/>
        <v>9.6274120402758401E-3</v>
      </c>
      <c r="AA101" s="31">
        <v>1</v>
      </c>
    </row>
    <row r="103" spans="1:27">
      <c r="E103" s="25"/>
    </row>
    <row r="104" spans="1:27">
      <c r="A104" s="9" t="s">
        <v>50</v>
      </c>
    </row>
    <row r="105" spans="1:27" ht="15.75" thickBot="1">
      <c r="A105" s="33" t="s">
        <v>18</v>
      </c>
      <c r="B105" s="13" t="s">
        <v>20</v>
      </c>
      <c r="C105" s="13" t="s">
        <v>21</v>
      </c>
      <c r="D105" s="13" t="s">
        <v>22</v>
      </c>
      <c r="E105" s="13" t="s">
        <v>23</v>
      </c>
      <c r="F105" s="13" t="s">
        <v>24</v>
      </c>
      <c r="G105" s="13" t="s">
        <v>25</v>
      </c>
      <c r="H105" s="13" t="s">
        <v>26</v>
      </c>
      <c r="I105" s="13" t="s">
        <v>27</v>
      </c>
      <c r="J105" s="13" t="s">
        <v>28</v>
      </c>
      <c r="K105" s="13" t="s">
        <v>29</v>
      </c>
      <c r="L105" s="13" t="s">
        <v>30</v>
      </c>
      <c r="M105" s="13" t="s">
        <v>31</v>
      </c>
      <c r="N105" s="13" t="s">
        <v>32</v>
      </c>
      <c r="O105" s="13" t="s">
        <v>33</v>
      </c>
      <c r="P105" s="13" t="s">
        <v>34</v>
      </c>
      <c r="Q105" s="13" t="s">
        <v>35</v>
      </c>
      <c r="R105" s="13" t="s">
        <v>36</v>
      </c>
      <c r="S105" s="13" t="s">
        <v>37</v>
      </c>
      <c r="T105" s="13" t="s">
        <v>38</v>
      </c>
      <c r="U105" s="13" t="s">
        <v>39</v>
      </c>
      <c r="V105" s="13" t="s">
        <v>40</v>
      </c>
    </row>
    <row r="106" spans="1:27" ht="15.75" thickTop="1">
      <c r="A106" s="34">
        <v>0.1</v>
      </c>
      <c r="B106" s="12">
        <v>0</v>
      </c>
      <c r="C106" s="12">
        <f>H42-G42</f>
        <v>0.25464471530512112</v>
      </c>
      <c r="D106" s="12">
        <f t="shared" ref="D106:V119" si="20">I42-H42</f>
        <v>0.411648592849163</v>
      </c>
      <c r="E106" s="12">
        <f t="shared" si="20"/>
        <v>0.20745058250895487</v>
      </c>
      <c r="F106" s="12">
        <f t="shared" si="20"/>
        <v>6.8952548524094603E-2</v>
      </c>
      <c r="G106" s="12">
        <f t="shared" si="20"/>
        <v>3.5048369756554454E-2</v>
      </c>
      <c r="H106" s="12">
        <f t="shared" si="20"/>
        <v>1.27906128477836E-2</v>
      </c>
      <c r="I106" s="12">
        <f t="shared" si="20"/>
        <v>4.8245244190644465E-3</v>
      </c>
      <c r="J106" s="12">
        <f t="shared" si="20"/>
        <v>1.8957382434815484E-3</v>
      </c>
      <c r="K106" s="12">
        <f t="shared" si="20"/>
        <v>7.7675805475940773E-4</v>
      </c>
      <c r="L106" s="12">
        <f t="shared" si="20"/>
        <v>3.3133080366276602E-4</v>
      </c>
      <c r="M106" s="12">
        <f t="shared" si="20"/>
        <v>1.4675325571333886E-4</v>
      </c>
      <c r="N106" s="12">
        <f t="shared" si="20"/>
        <v>6.7304790829947336E-5</v>
      </c>
      <c r="O106" s="12">
        <f t="shared" si="20"/>
        <v>3.1874859157676738E-5</v>
      </c>
      <c r="P106" s="12">
        <f t="shared" si="20"/>
        <v>1.5548438863643987E-5</v>
      </c>
      <c r="Q106" s="12">
        <f t="shared" si="20"/>
        <v>7.7938234456231825E-6</v>
      </c>
      <c r="R106" s="12">
        <f t="shared" si="20"/>
        <v>4.0061430282012367E-6</v>
      </c>
      <c r="S106" s="12">
        <f t="shared" si="20"/>
        <v>2.1076252202378853E-6</v>
      </c>
      <c r="T106" s="12">
        <f t="shared" si="20"/>
        <v>1.1329585317687574E-6</v>
      </c>
      <c r="U106" s="12">
        <f t="shared" si="20"/>
        <v>6.213352627959523E-7</v>
      </c>
      <c r="V106" s="12">
        <f t="shared" si="20"/>
        <v>8.2914342747208991E-7</v>
      </c>
    </row>
    <row r="107" spans="1:27">
      <c r="A107" s="35">
        <v>0.2</v>
      </c>
      <c r="B107" s="12">
        <v>0</v>
      </c>
      <c r="C107" s="12">
        <f t="shared" ref="C107:C165" si="21">H43-G43</f>
        <v>0.1626364559668394</v>
      </c>
      <c r="D107" s="12">
        <f t="shared" si="20"/>
        <v>0.44689177712898531</v>
      </c>
      <c r="E107" s="12">
        <f t="shared" si="20"/>
        <v>0.25672841154259229</v>
      </c>
      <c r="F107" s="12">
        <f t="shared" si="20"/>
        <v>8.0778867012517908E-2</v>
      </c>
      <c r="G107" s="12">
        <f t="shared" si="20"/>
        <v>3.6441263038010985E-2</v>
      </c>
      <c r="H107" s="12">
        <f t="shared" si="20"/>
        <v>1.1196275956871338E-2</v>
      </c>
      <c r="I107" s="12">
        <f t="shared" si="20"/>
        <v>3.494913428613633E-3</v>
      </c>
      <c r="J107" s="12">
        <f t="shared" si="20"/>
        <v>1.1292488621793551E-3</v>
      </c>
      <c r="K107" s="12">
        <f t="shared" si="20"/>
        <v>3.8010943408661735E-4</v>
      </c>
      <c r="L107" s="12">
        <f t="shared" si="20"/>
        <v>1.3344624165900765E-4</v>
      </c>
      <c r="M107" s="12">
        <f t="shared" si="20"/>
        <v>4.881027651226777E-5</v>
      </c>
      <c r="N107" s="12">
        <f t="shared" si="20"/>
        <v>1.8562562802637572E-5</v>
      </c>
      <c r="O107" s="12">
        <f t="shared" si="20"/>
        <v>7.3223909015096567E-6</v>
      </c>
      <c r="P107" s="12">
        <f t="shared" si="20"/>
        <v>2.9888294735824772E-6</v>
      </c>
      <c r="Q107" s="12">
        <f t="shared" si="20"/>
        <v>1.2594040589286593E-6</v>
      </c>
      <c r="R107" s="12">
        <f t="shared" si="20"/>
        <v>5.4662697912544189E-7</v>
      </c>
      <c r="S107" s="12">
        <f t="shared" si="20"/>
        <v>2.4389220010245793E-7</v>
      </c>
      <c r="T107" s="12">
        <f t="shared" si="20"/>
        <v>1.1165486546449443E-7</v>
      </c>
      <c r="U107" s="12">
        <f t="shared" si="20"/>
        <v>5.2359286684122708E-8</v>
      </c>
      <c r="V107" s="12">
        <f t="shared" si="20"/>
        <v>5.0177817123575608E-8</v>
      </c>
    </row>
    <row r="108" spans="1:27">
      <c r="A108" s="34">
        <v>0.3</v>
      </c>
      <c r="B108" s="12">
        <v>0</v>
      </c>
      <c r="C108" s="12">
        <f t="shared" si="21"/>
        <v>9.3645685149841063E-2</v>
      </c>
      <c r="D108" s="12">
        <f t="shared" si="20"/>
        <v>0.43496774121179493</v>
      </c>
      <c r="E108" s="12">
        <f t="shared" si="20"/>
        <v>0.30971202206367943</v>
      </c>
      <c r="F108" s="12">
        <f t="shared" si="20"/>
        <v>0.10084687618964905</v>
      </c>
      <c r="G108" s="12">
        <f t="shared" si="20"/>
        <v>4.369155763676158E-2</v>
      </c>
      <c r="H108" s="12">
        <f t="shared" si="20"/>
        <v>1.2294147338348549E-2</v>
      </c>
      <c r="I108" s="12">
        <f t="shared" si="20"/>
        <v>3.4319914015099595E-3</v>
      </c>
      <c r="J108" s="12">
        <f t="shared" si="20"/>
        <v>9.7974800056666034E-4</v>
      </c>
      <c r="K108" s="12">
        <f t="shared" si="20"/>
        <v>2.8965646966772063E-4</v>
      </c>
      <c r="L108" s="12">
        <f t="shared" si="20"/>
        <v>8.9102308850064205E-5</v>
      </c>
      <c r="M108" s="12">
        <f t="shared" si="20"/>
        <v>2.8546284221997453E-5</v>
      </c>
      <c r="N108" s="12">
        <f t="shared" si="20"/>
        <v>9.5172244658492389E-6</v>
      </c>
      <c r="O108" s="12">
        <f t="shared" si="20"/>
        <v>3.2965250564842563E-6</v>
      </c>
      <c r="P108" s="12">
        <f t="shared" si="20"/>
        <v>1.1839190681151024E-6</v>
      </c>
      <c r="Q108" s="12">
        <f t="shared" si="20"/>
        <v>4.3994472476160951E-7</v>
      </c>
      <c r="R108" s="12">
        <f t="shared" si="20"/>
        <v>1.688057024162859E-7</v>
      </c>
      <c r="S108" s="12">
        <f t="shared" si="20"/>
        <v>6.6746950189155996E-8</v>
      </c>
      <c r="T108" s="12">
        <f t="shared" si="20"/>
        <v>2.7147205150512832E-8</v>
      </c>
      <c r="U108" s="12">
        <f t="shared" si="20"/>
        <v>1.1337537686451071E-8</v>
      </c>
      <c r="V108" s="12">
        <f t="shared" si="20"/>
        <v>8.7650239288805665E-9</v>
      </c>
    </row>
    <row r="109" spans="1:27">
      <c r="A109" s="35">
        <v>0.4</v>
      </c>
      <c r="B109" s="12">
        <v>0</v>
      </c>
      <c r="C109" s="12">
        <f t="shared" si="21"/>
        <v>4.8173495024784518E-2</v>
      </c>
      <c r="D109" s="12">
        <f t="shared" si="20"/>
        <v>0.38674242167765105</v>
      </c>
      <c r="E109" s="12">
        <f t="shared" si="20"/>
        <v>0.35996128270467487</v>
      </c>
      <c r="F109" s="12">
        <f t="shared" si="20"/>
        <v>0.12840573422331936</v>
      </c>
      <c r="G109" s="12">
        <f t="shared" si="20"/>
        <v>5.6094229657256189E-2</v>
      </c>
      <c r="H109" s="12">
        <f t="shared" si="20"/>
        <v>1.5209033974828756E-2</v>
      </c>
      <c r="I109" s="12">
        <f t="shared" si="20"/>
        <v>3.9746438089780511E-3</v>
      </c>
      <c r="J109" s="12">
        <f t="shared" si="20"/>
        <v>1.0450649719873084E-3</v>
      </c>
      <c r="K109" s="12">
        <f t="shared" si="20"/>
        <v>2.8192928270942552E-4</v>
      </c>
      <c r="L109" s="12">
        <f t="shared" si="20"/>
        <v>7.8721555912264485E-5</v>
      </c>
      <c r="M109" s="12">
        <f t="shared" si="20"/>
        <v>2.2829740597640757E-5</v>
      </c>
      <c r="N109" s="12">
        <f t="shared" si="20"/>
        <v>6.8815575364755688E-6</v>
      </c>
      <c r="O109" s="12">
        <f t="shared" si="20"/>
        <v>2.1546338000444365E-6</v>
      </c>
      <c r="P109" s="12">
        <f t="shared" si="20"/>
        <v>6.9981033046229157E-7</v>
      </c>
      <c r="Q109" s="12">
        <f t="shared" si="20"/>
        <v>2.3538909244003037E-7</v>
      </c>
      <c r="R109" s="12">
        <f t="shared" si="20"/>
        <v>8.1849132360645172E-8</v>
      </c>
      <c r="S109" s="12">
        <f t="shared" si="20"/>
        <v>2.9368769638438152E-8</v>
      </c>
      <c r="T109" s="12">
        <f t="shared" si="20"/>
        <v>1.085533962719154E-8</v>
      </c>
      <c r="U109" s="12">
        <f t="shared" si="20"/>
        <v>4.126343045030012E-9</v>
      </c>
      <c r="V109" s="12">
        <f t="shared" si="20"/>
        <v>2.7148532311116469E-9</v>
      </c>
    </row>
    <row r="110" spans="1:27">
      <c r="A110" s="34">
        <v>0.5</v>
      </c>
      <c r="B110" s="12">
        <v>0</v>
      </c>
      <c r="C110" s="12">
        <f t="shared" si="21"/>
        <v>2.198104251451246E-2</v>
      </c>
      <c r="D110" s="12">
        <f t="shared" si="20"/>
        <v>0.31567568294991266</v>
      </c>
      <c r="E110" s="12">
        <f t="shared" si="20"/>
        <v>0.39868840022187113</v>
      </c>
      <c r="F110" s="12">
        <f t="shared" si="20"/>
        <v>0.16251889491592852</v>
      </c>
      <c r="G110" s="12">
        <f t="shared" si="20"/>
        <v>7.4221593080309844E-2</v>
      </c>
      <c r="H110" s="12">
        <f t="shared" si="20"/>
        <v>2.0122627879742394E-2</v>
      </c>
      <c r="I110" s="12">
        <f t="shared" si="20"/>
        <v>5.0874564942462452E-3</v>
      </c>
      <c r="J110" s="12">
        <f t="shared" si="20"/>
        <v>1.2689105911173337E-3</v>
      </c>
      <c r="K110" s="12">
        <f t="shared" si="20"/>
        <v>3.2083600114307664E-4</v>
      </c>
      <c r="L110" s="12">
        <f t="shared" si="20"/>
        <v>8.3337863118759792E-5</v>
      </c>
      <c r="M110" s="12">
        <f t="shared" si="20"/>
        <v>2.237927546411278E-5</v>
      </c>
      <c r="N110" s="12">
        <f t="shared" si="20"/>
        <v>6.2290515296936633E-6</v>
      </c>
      <c r="O110" s="12">
        <f t="shared" si="20"/>
        <v>1.7981538205091852E-6</v>
      </c>
      <c r="P110" s="12">
        <f t="shared" si="20"/>
        <v>5.3807495292712559E-7</v>
      </c>
      <c r="Q110" s="12">
        <f t="shared" si="20"/>
        <v>1.6672365488190621E-7</v>
      </c>
      <c r="R110" s="12">
        <f t="shared" si="20"/>
        <v>5.3418113710179682E-8</v>
      </c>
      <c r="S110" s="12">
        <f t="shared" si="20"/>
        <v>1.7670888308174426E-8</v>
      </c>
      <c r="T110" s="12">
        <f t="shared" si="20"/>
        <v>6.0260639811460237E-9</v>
      </c>
      <c r="U110" s="12">
        <f t="shared" si="20"/>
        <v>2.115199015939595E-9</v>
      </c>
      <c r="V110" s="12">
        <f t="shared" si="20"/>
        <v>1.2226341050691758E-9</v>
      </c>
    </row>
    <row r="111" spans="1:27">
      <c r="A111" s="35">
        <v>0.6</v>
      </c>
      <c r="B111" s="12">
        <v>0</v>
      </c>
      <c r="C111" s="12">
        <f t="shared" si="21"/>
        <v>8.8501101347481185E-3</v>
      </c>
      <c r="D111" s="12">
        <f t="shared" si="20"/>
        <v>0.23702524946475678</v>
      </c>
      <c r="E111" s="12">
        <f t="shared" si="20"/>
        <v>0.41757389753529983</v>
      </c>
      <c r="F111" s="12">
        <f t="shared" si="20"/>
        <v>0.20102280901080527</v>
      </c>
      <c r="G111" s="12">
        <f t="shared" si="20"/>
        <v>9.8805432504243562E-2</v>
      </c>
      <c r="H111" s="12">
        <f t="shared" si="20"/>
        <v>2.7583944128667937E-2</v>
      </c>
      <c r="I111" s="12">
        <f t="shared" si="20"/>
        <v>6.9229815342005674E-3</v>
      </c>
      <c r="J111" s="12">
        <f t="shared" si="20"/>
        <v>1.6759676772103438E-3</v>
      </c>
      <c r="K111" s="12">
        <f t="shared" si="20"/>
        <v>4.054455240855015E-4</v>
      </c>
      <c r="L111" s="12">
        <f t="shared" si="20"/>
        <v>9.9826693368942898E-5</v>
      </c>
      <c r="M111" s="12">
        <f t="shared" si="20"/>
        <v>2.5253762408916636E-5</v>
      </c>
      <c r="N111" s="12">
        <f t="shared" si="20"/>
        <v>6.5949166127010628E-6</v>
      </c>
      <c r="O111" s="12">
        <f t="shared" si="20"/>
        <v>1.7814388527659375E-6</v>
      </c>
      <c r="P111" s="12">
        <f t="shared" si="20"/>
        <v>4.9799148915674607E-7</v>
      </c>
      <c r="Q111" s="12">
        <f t="shared" si="20"/>
        <v>1.4400980208328917E-7</v>
      </c>
      <c r="R111" s="12">
        <f t="shared" si="20"/>
        <v>4.3042460484699063E-8</v>
      </c>
      <c r="S111" s="12">
        <f t="shared" si="20"/>
        <v>1.3281143851351374E-8</v>
      </c>
      <c r="T111" s="12">
        <f t="shared" si="20"/>
        <v>4.2252131793318881E-9</v>
      </c>
      <c r="U111" s="12">
        <f t="shared" si="20"/>
        <v>1.3840658619201918E-9</v>
      </c>
      <c r="V111" s="12">
        <f t="shared" si="20"/>
        <v>7.1807870760665082E-10</v>
      </c>
    </row>
    <row r="112" spans="1:27">
      <c r="A112" s="34">
        <v>0.7</v>
      </c>
      <c r="B112" s="12">
        <v>0</v>
      </c>
      <c r="C112" s="12">
        <f t="shared" si="21"/>
        <v>3.1332938195693149E-3</v>
      </c>
      <c r="D112" s="12">
        <f t="shared" si="20"/>
        <v>0.16386235840314844</v>
      </c>
      <c r="E112" s="12">
        <f t="shared" si="20"/>
        <v>0.41149926128449132</v>
      </c>
      <c r="F112" s="12">
        <f t="shared" si="20"/>
        <v>0.24016396065943446</v>
      </c>
      <c r="G112" s="12">
        <f t="shared" si="20"/>
        <v>0.1301798259848912</v>
      </c>
      <c r="H112" s="12">
        <f t="shared" si="20"/>
        <v>3.834423756603611E-2</v>
      </c>
      <c r="I112" s="12">
        <f t="shared" si="20"/>
        <v>9.7584850747292062E-3</v>
      </c>
      <c r="J112" s="12">
        <f t="shared" si="20"/>
        <v>2.3363481101299488E-3</v>
      </c>
      <c r="K112" s="12">
        <f t="shared" si="20"/>
        <v>5.4991033663309707E-4</v>
      </c>
      <c r="L112" s="12">
        <f t="shared" si="20"/>
        <v>1.3029617324322729E-4</v>
      </c>
      <c r="M112" s="12">
        <f t="shared" si="20"/>
        <v>3.1483344003158109E-5</v>
      </c>
      <c r="N112" s="12">
        <f t="shared" si="20"/>
        <v>7.8123973057397933E-6</v>
      </c>
      <c r="O112" s="12">
        <f t="shared" si="20"/>
        <v>1.9980597324442684E-6</v>
      </c>
      <c r="P112" s="12">
        <f t="shared" si="20"/>
        <v>5.2753485124679145E-7</v>
      </c>
      <c r="Q112" s="12">
        <f t="shared" si="20"/>
        <v>1.4384397539757288E-7</v>
      </c>
      <c r="R112" s="12">
        <f t="shared" si="20"/>
        <v>4.0494904318677527E-8</v>
      </c>
      <c r="S112" s="12">
        <f t="shared" si="20"/>
        <v>1.1761528972975555E-8</v>
      </c>
      <c r="T112" s="12">
        <f t="shared" si="20"/>
        <v>3.5209796189761278E-9</v>
      </c>
      <c r="U112" s="12">
        <f t="shared" si="20"/>
        <v>1.085238565678992E-9</v>
      </c>
      <c r="V112" s="12">
        <f t="shared" si="20"/>
        <v>5.132740898972088E-10</v>
      </c>
    </row>
    <row r="113" spans="1:22">
      <c r="A113" s="35">
        <v>0.8</v>
      </c>
      <c r="B113" s="12">
        <v>0</v>
      </c>
      <c r="C113" s="12">
        <f t="shared" si="21"/>
        <v>9.7348551358530933E-4</v>
      </c>
      <c r="D113" s="12">
        <f t="shared" si="20"/>
        <v>0.1043262218166312</v>
      </c>
      <c r="E113" s="12">
        <f t="shared" si="20"/>
        <v>0.38042051095882923</v>
      </c>
      <c r="F113" s="12">
        <f t="shared" si="20"/>
        <v>0.27487319883747108</v>
      </c>
      <c r="G113" s="12">
        <f t="shared" si="20"/>
        <v>0.16780095483929003</v>
      </c>
      <c r="H113" s="12">
        <f t="shared" si="20"/>
        <v>5.323579539466472E-2</v>
      </c>
      <c r="I113" s="12">
        <f t="shared" si="20"/>
        <v>1.3987806455794116E-2</v>
      </c>
      <c r="J113" s="12">
        <f t="shared" si="20"/>
        <v>3.3647225035000616E-3</v>
      </c>
      <c r="K113" s="12">
        <f t="shared" si="20"/>
        <v>7.8141957341626433E-4</v>
      </c>
      <c r="L113" s="12">
        <f t="shared" si="20"/>
        <v>1.8043558485991706E-4</v>
      </c>
      <c r="M113" s="12">
        <f t="shared" si="20"/>
        <v>4.2121672909622987E-5</v>
      </c>
      <c r="N113" s="12">
        <f t="shared" si="20"/>
        <v>1.0036254830425584E-5</v>
      </c>
      <c r="O113" s="12">
        <f t="shared" si="20"/>
        <v>2.4538337434210078E-6</v>
      </c>
      <c r="P113" s="12">
        <f t="shared" si="20"/>
        <v>6.1739479007005826E-7</v>
      </c>
      <c r="Q113" s="12">
        <f t="shared" si="20"/>
        <v>1.6006471559304458E-7</v>
      </c>
      <c r="R113" s="12">
        <f t="shared" si="20"/>
        <v>4.2776148512224665E-8</v>
      </c>
      <c r="S113" s="12">
        <f t="shared" si="20"/>
        <v>1.1781032815960657E-8</v>
      </c>
      <c r="T113" s="12">
        <f t="shared" si="20"/>
        <v>3.3418379175031987E-9</v>
      </c>
      <c r="U113" s="12">
        <f t="shared" si="20"/>
        <v>9.7556873690507473E-10</v>
      </c>
      <c r="V113" s="12">
        <f t="shared" si="20"/>
        <v>4.256003327540725E-10</v>
      </c>
    </row>
    <row r="114" spans="1:22">
      <c r="A114" s="34">
        <v>0.9</v>
      </c>
      <c r="B114" s="12">
        <v>0</v>
      </c>
      <c r="C114" s="12">
        <f t="shared" si="21"/>
        <v>2.6520508309346404E-4</v>
      </c>
      <c r="D114" s="12">
        <f t="shared" si="20"/>
        <v>6.1156580209862921E-2</v>
      </c>
      <c r="E114" s="12">
        <f t="shared" si="20"/>
        <v>0.32947472262118416</v>
      </c>
      <c r="F114" s="12">
        <f t="shared" si="20"/>
        <v>0.29969489619173206</v>
      </c>
      <c r="G114" s="12">
        <f t="shared" si="20"/>
        <v>0.20987739266121685</v>
      </c>
      <c r="H114" s="12">
        <f t="shared" si="20"/>
        <v>7.3007937793115762E-2</v>
      </c>
      <c r="I114" s="12">
        <f t="shared" si="20"/>
        <v>2.0115335197218087E-2</v>
      </c>
      <c r="J114" s="12">
        <f t="shared" si="20"/>
        <v>4.9279939568719344E-3</v>
      </c>
      <c r="K114" s="12">
        <f t="shared" si="20"/>
        <v>1.1428694945592177E-3</v>
      </c>
      <c r="L114" s="12">
        <f t="shared" si="20"/>
        <v>2.5994839984444518E-4</v>
      </c>
      <c r="M114" s="12">
        <f t="shared" si="20"/>
        <v>5.9197690241430401E-5</v>
      </c>
      <c r="N114" s="12">
        <f t="shared" si="20"/>
        <v>1.3663343309322507E-5</v>
      </c>
      <c r="O114" s="12">
        <f t="shared" si="20"/>
        <v>3.2194919897809982E-6</v>
      </c>
      <c r="P114" s="12">
        <f t="shared" si="20"/>
        <v>7.7771286388639282E-7</v>
      </c>
      <c r="Q114" s="12">
        <f t="shared" si="20"/>
        <v>1.93042233309626E-7</v>
      </c>
      <c r="R114" s="12">
        <f t="shared" si="20"/>
        <v>4.9290546311198113E-8</v>
      </c>
      <c r="S114" s="12">
        <f t="shared" si="20"/>
        <v>1.2950780670095696E-8</v>
      </c>
      <c r="T114" s="12">
        <f t="shared" si="20"/>
        <v>3.5008835830296903E-9</v>
      </c>
      <c r="U114" s="12">
        <f t="shared" si="20"/>
        <v>9.7319674541296308E-10</v>
      </c>
      <c r="V114" s="12">
        <f t="shared" si="20"/>
        <v>3.9524106210109267E-10</v>
      </c>
    </row>
    <row r="115" spans="1:22">
      <c r="A115" s="35">
        <v>1</v>
      </c>
      <c r="B115" s="12">
        <v>0</v>
      </c>
      <c r="C115" s="12">
        <f t="shared" si="21"/>
        <v>6.3362385179783882E-5</v>
      </c>
      <c r="D115" s="12">
        <f t="shared" si="20"/>
        <v>3.2995538185137452E-2</v>
      </c>
      <c r="E115" s="12">
        <f t="shared" si="20"/>
        <v>0.26726256706287965</v>
      </c>
      <c r="F115" s="12">
        <f t="shared" si="20"/>
        <v>0.31013660162702217</v>
      </c>
      <c r="G115" s="12">
        <f t="shared" si="20"/>
        <v>0.2532552756998514</v>
      </c>
      <c r="H115" s="12">
        <f t="shared" si="20"/>
        <v>9.8107796915847922E-2</v>
      </c>
      <c r="I115" s="12">
        <f t="shared" si="20"/>
        <v>2.8732042413077363E-2</v>
      </c>
      <c r="J115" s="12">
        <f t="shared" si="20"/>
        <v>7.2542263535837481E-3</v>
      </c>
      <c r="K115" s="12">
        <f t="shared" si="20"/>
        <v>1.6975679546920031E-3</v>
      </c>
      <c r="L115" s="12">
        <f t="shared" si="20"/>
        <v>3.8387097105896384E-4</v>
      </c>
      <c r="M115" s="12">
        <f t="shared" si="20"/>
        <v>8.5988652237634078E-5</v>
      </c>
      <c r="N115" s="12">
        <f t="shared" si="20"/>
        <v>1.9370639502747089E-5</v>
      </c>
      <c r="O115" s="12">
        <f t="shared" si="20"/>
        <v>4.4290582862371863E-6</v>
      </c>
      <c r="P115" s="12">
        <f t="shared" si="20"/>
        <v>1.033706087172348E-6</v>
      </c>
      <c r="Q115" s="12">
        <f t="shared" si="20"/>
        <v>2.4709440304970798E-7</v>
      </c>
      <c r="R115" s="12">
        <f t="shared" si="20"/>
        <v>6.0608630669811703E-8</v>
      </c>
      <c r="S115" s="12">
        <f t="shared" si="20"/>
        <v>1.5269196684819519E-8</v>
      </c>
      <c r="T115" s="12">
        <f t="shared" si="20"/>
        <v>3.9522030093053218E-9</v>
      </c>
      <c r="U115" s="12">
        <f t="shared" si="20"/>
        <v>1.0508791614682877E-9</v>
      </c>
      <c r="V115" s="12">
        <f t="shared" si="20"/>
        <v>4.0024294989393638E-10</v>
      </c>
    </row>
    <row r="116" spans="1:22">
      <c r="A116" s="34">
        <v>1.1000000000000001</v>
      </c>
      <c r="B116" s="12">
        <v>0</v>
      </c>
      <c r="C116" s="12">
        <f t="shared" si="21"/>
        <v>1.3288802586994355E-5</v>
      </c>
      <c r="D116" s="12">
        <f t="shared" si="20"/>
        <v>1.637898414143435E-2</v>
      </c>
      <c r="E116" s="12">
        <f t="shared" si="20"/>
        <v>0.20316070407873044</v>
      </c>
      <c r="F116" s="12">
        <f t="shared" si="20"/>
        <v>0.30395273866991168</v>
      </c>
      <c r="G116" s="12">
        <f t="shared" si="20"/>
        <v>0.29368657283601118</v>
      </c>
      <c r="H116" s="12">
        <f t="shared" si="20"/>
        <v>0.12843466598417763</v>
      </c>
      <c r="I116" s="12">
        <f t="shared" si="20"/>
        <v>4.0461560085454429E-2</v>
      </c>
      <c r="J116" s="12">
        <f t="shared" si="20"/>
        <v>1.0638166837066088E-2</v>
      </c>
      <c r="K116" s="12">
        <f t="shared" si="20"/>
        <v>2.5349437167617728E-3</v>
      </c>
      <c r="L116" s="12">
        <f t="shared" si="20"/>
        <v>5.7450209046405742E-4</v>
      </c>
      <c r="M116" s="12">
        <f t="shared" si="20"/>
        <v>1.2749958764213254E-4</v>
      </c>
      <c r="N116" s="12">
        <f t="shared" si="20"/>
        <v>2.82147425199053E-5</v>
      </c>
      <c r="O116" s="12">
        <f t="shared" si="20"/>
        <v>6.2970386472960271E-6</v>
      </c>
      <c r="P116" s="12">
        <f t="shared" si="20"/>
        <v>1.427621541427726E-6</v>
      </c>
      <c r="Q116" s="12">
        <f t="shared" si="20"/>
        <v>3.3026641810263158E-7</v>
      </c>
      <c r="R116" s="12">
        <f t="shared" si="20"/>
        <v>7.8178267526318734E-8</v>
      </c>
      <c r="S116" s="12">
        <f t="shared" si="20"/>
        <v>1.8965667925030516E-8</v>
      </c>
      <c r="T116" s="12">
        <f t="shared" si="20"/>
        <v>4.7191185403860914E-9</v>
      </c>
      <c r="U116" s="12">
        <f t="shared" si="20"/>
        <v>1.2047168818085652E-9</v>
      </c>
      <c r="V116" s="12">
        <f t="shared" si="20"/>
        <v>4.3286163542433087E-10</v>
      </c>
    </row>
    <row r="117" spans="1:22">
      <c r="A117" s="35">
        <v>1.2</v>
      </c>
      <c r="B117" s="12">
        <v>0</v>
      </c>
      <c r="C117" s="12">
        <f t="shared" si="21"/>
        <v>2.4502018322047649E-6</v>
      </c>
      <c r="D117" s="12">
        <f t="shared" si="20"/>
        <v>7.4800695678811646E-3</v>
      </c>
      <c r="E117" s="12">
        <f t="shared" si="20"/>
        <v>0.14486437943315777</v>
      </c>
      <c r="F117" s="12">
        <f t="shared" si="20"/>
        <v>0.28183240383135166</v>
      </c>
      <c r="G117" s="12">
        <f t="shared" si="20"/>
        <v>0.32649636141675453</v>
      </c>
      <c r="H117" s="12">
        <f t="shared" si="20"/>
        <v>0.16312937513607162</v>
      </c>
      <c r="I117" s="12">
        <f t="shared" si="20"/>
        <v>5.5871382601956121E-2</v>
      </c>
      <c r="J117" s="12">
        <f t="shared" si="20"/>
        <v>1.5438764460991017E-2</v>
      </c>
      <c r="K117" s="12">
        <f t="shared" si="20"/>
        <v>3.7763122451228703E-3</v>
      </c>
      <c r="L117" s="12">
        <f t="shared" si="20"/>
        <v>8.6382351259617352E-4</v>
      </c>
      <c r="M117" s="12">
        <f t="shared" si="20"/>
        <v>1.9112981795776918E-4</v>
      </c>
      <c r="N117" s="12">
        <f t="shared" si="20"/>
        <v>4.1783204163925447E-5</v>
      </c>
      <c r="O117" s="12">
        <f t="shared" si="20"/>
        <v>9.1487139668444684E-6</v>
      </c>
      <c r="P117" s="12">
        <f t="shared" si="20"/>
        <v>2.0241101543749807E-6</v>
      </c>
      <c r="Q117" s="12">
        <f t="shared" si="20"/>
        <v>4.5510011370542003E-7</v>
      </c>
      <c r="R117" s="12">
        <f t="shared" si="20"/>
        <v>1.0436860842233386E-7</v>
      </c>
      <c r="S117" s="12">
        <f t="shared" si="20"/>
        <v>2.4469028025997375E-8</v>
      </c>
      <c r="T117" s="12">
        <f t="shared" si="20"/>
        <v>5.8726334906111788E-9</v>
      </c>
      <c r="U117" s="12">
        <f t="shared" si="20"/>
        <v>1.4438560347329599E-9</v>
      </c>
      <c r="V117" s="12">
        <f t="shared" si="20"/>
        <v>4.9180226557865581E-10</v>
      </c>
    </row>
    <row r="118" spans="1:22">
      <c r="A118" s="34">
        <v>1.3</v>
      </c>
      <c r="B118" s="12">
        <v>0</v>
      </c>
      <c r="C118" s="12">
        <f t="shared" si="21"/>
        <v>3.9793145756306082E-7</v>
      </c>
      <c r="D118" s="12">
        <f t="shared" si="20"/>
        <v>3.1435906671177793E-3</v>
      </c>
      <c r="E118" s="12">
        <f t="shared" si="20"/>
        <v>9.7017407106293807E-2</v>
      </c>
      <c r="F118" s="12">
        <f t="shared" si="20"/>
        <v>0.24719618511241304</v>
      </c>
      <c r="G118" s="12">
        <f t="shared" si="20"/>
        <v>0.34750528057153962</v>
      </c>
      <c r="H118" s="12">
        <f t="shared" si="20"/>
        <v>0.20047553728850531</v>
      </c>
      <c r="I118" s="12">
        <f t="shared" si="20"/>
        <v>7.535443644828721E-2</v>
      </c>
      <c r="J118" s="12">
        <f t="shared" si="20"/>
        <v>2.206431071247783E-2</v>
      </c>
      <c r="K118" s="12">
        <f t="shared" si="20"/>
        <v>5.5794702539639918E-3</v>
      </c>
      <c r="L118" s="12">
        <f t="shared" si="20"/>
        <v>1.2962566800809316E-3</v>
      </c>
      <c r="M118" s="12">
        <f t="shared" si="20"/>
        <v>2.8752164310108519E-4</v>
      </c>
      <c r="N118" s="12">
        <f t="shared" si="20"/>
        <v>6.2399057856321605E-5</v>
      </c>
      <c r="O118" s="12">
        <f t="shared" si="20"/>
        <v>1.3463093611720822E-5</v>
      </c>
      <c r="P118" s="12">
        <f t="shared" si="20"/>
        <v>2.9183931609111369E-6</v>
      </c>
      <c r="Q118" s="12">
        <f t="shared" si="20"/>
        <v>6.4004392452687853E-7</v>
      </c>
      <c r="R118" s="12">
        <f t="shared" si="20"/>
        <v>1.4267668380085752E-7</v>
      </c>
      <c r="S118" s="12">
        <f t="shared" si="20"/>
        <v>3.2425599649776871E-8</v>
      </c>
      <c r="T118" s="12">
        <f t="shared" si="20"/>
        <v>7.5274970701144639E-9</v>
      </c>
      <c r="U118" s="12">
        <f t="shared" si="20"/>
        <v>1.7870765978145187E-9</v>
      </c>
      <c r="V118" s="12">
        <f t="shared" si="20"/>
        <v>5.7935123365382424E-10</v>
      </c>
    </row>
    <row r="119" spans="1:22">
      <c r="A119" s="35">
        <v>1.4</v>
      </c>
      <c r="B119" s="12">
        <v>0</v>
      </c>
      <c r="C119" s="12">
        <f t="shared" si="21"/>
        <v>5.7047203781505807E-8</v>
      </c>
      <c r="D119" s="12">
        <f t="shared" si="20"/>
        <v>1.2164947634970128E-3</v>
      </c>
      <c r="E119" s="12">
        <f t="shared" si="20"/>
        <v>6.1107180217783164E-2</v>
      </c>
      <c r="F119" s="12">
        <f t="shared" si="20"/>
        <v>0.20519986834614401</v>
      </c>
      <c r="G119" s="12">
        <f t="shared" si="20"/>
        <v>0.35393725260419706</v>
      </c>
      <c r="H119" s="12">
        <f t="shared" si="20"/>
        <v>0.23797616540794975</v>
      </c>
      <c r="I119" s="12">
        <f t="shared" si="20"/>
        <v>9.8998386993275234E-2</v>
      </c>
      <c r="J119" s="12">
        <f t="shared" si="20"/>
        <v>3.0942177429169604E-2</v>
      </c>
      <c r="K119" s="12">
        <f t="shared" si="20"/>
        <v>8.1406156055102707E-3</v>
      </c>
      <c r="L119" s="12">
        <f t="shared" ref="L119:L165" si="22">Q55-P55</f>
        <v>1.9315032419103817E-3</v>
      </c>
      <c r="M119" s="12">
        <f t="shared" ref="M119:M165" si="23">R55-Q55</f>
        <v>4.3157453216891017E-4</v>
      </c>
      <c r="N119" s="12">
        <f t="shared" ref="N119:N165" si="24">S55-R55</f>
        <v>9.3381147563964539E-5</v>
      </c>
      <c r="O119" s="12">
        <f t="shared" ref="O119:O165" si="25">T55-S55</f>
        <v>1.9929403250573685E-5</v>
      </c>
      <c r="P119" s="12">
        <f t="shared" ref="P119:P165" si="26">U55-T55</f>
        <v>4.2472546489813467E-6</v>
      </c>
      <c r="Q119" s="12">
        <f t="shared" ref="Q119:Q165" si="27">V55-U55</f>
        <v>9.1141149816120759E-7</v>
      </c>
      <c r="R119" s="12">
        <f t="shared" ref="R119:R165" si="28">W55-V55</f>
        <v>1.9804408701862286E-7</v>
      </c>
      <c r="S119" s="12">
        <f t="shared" ref="S119:S165" si="29">X55-W55</f>
        <v>4.3742479083341834E-8</v>
      </c>
      <c r="T119" s="12">
        <f t="shared" ref="T119:T165" si="30">Y55-X55</f>
        <v>9.8455228414451312E-9</v>
      </c>
      <c r="U119" s="12">
        <f t="shared" ref="U119:U165" si="31">Z55-Y55</f>
        <v>2.2619285333647099E-9</v>
      </c>
      <c r="V119" s="12">
        <f t="shared" ref="V119:V165" si="32">AA55-Z55</f>
        <v>7.0021166642675325E-10</v>
      </c>
    </row>
    <row r="120" spans="1:22">
      <c r="A120" s="34">
        <v>1.5</v>
      </c>
      <c r="B120" s="12">
        <v>0</v>
      </c>
      <c r="C120" s="12">
        <f t="shared" si="21"/>
        <v>7.2350469922239067E-9</v>
      </c>
      <c r="D120" s="12">
        <f t="shared" ref="D120:D165" si="33">I56-H56</f>
        <v>4.338515779256506E-4</v>
      </c>
      <c r="E120" s="12">
        <f t="shared" ref="E120:E165" si="34">J56-I56</f>
        <v>3.6247235280012169E-2</v>
      </c>
      <c r="F120" s="12">
        <f t="shared" ref="F120:F165" si="35">K56-J56</f>
        <v>0.16136806259489112</v>
      </c>
      <c r="G120" s="12">
        <f t="shared" ref="G120:G165" si="36">L56-K56</f>
        <v>0.34502261692311387</v>
      </c>
      <c r="H120" s="12">
        <f t="shared" ref="H120:H165" si="37">M56-L56</f>
        <v>0.27262558855603425</v>
      </c>
      <c r="I120" s="12">
        <f t="shared" ref="I120:I165" si="38">N56-M56</f>
        <v>0.12647029608674076</v>
      </c>
      <c r="J120" s="12">
        <f t="shared" ref="J120:J165" si="39">O56-N56</f>
        <v>4.2472876602146714E-2</v>
      </c>
      <c r="K120" s="12">
        <f t="shared" ref="K120:K165" si="40">P56-O56</f>
        <v>1.1692028861120196E-2</v>
      </c>
      <c r="L120" s="12">
        <f t="shared" si="22"/>
        <v>2.8471096150606279E-3</v>
      </c>
      <c r="M120" s="12">
        <f t="shared" si="23"/>
        <v>6.4358558270427579E-4</v>
      </c>
      <c r="N120" s="12">
        <f t="shared" si="24"/>
        <v>1.3936039102613318E-4</v>
      </c>
      <c r="O120" s="12">
        <f t="shared" si="25"/>
        <v>2.9518059099342686E-5</v>
      </c>
      <c r="P120" s="12">
        <f t="shared" si="26"/>
        <v>6.203032520524232E-6</v>
      </c>
      <c r="Q120" s="12">
        <f t="shared" si="27"/>
        <v>1.305882522339985E-6</v>
      </c>
      <c r="R120" s="12">
        <f t="shared" si="28"/>
        <v>2.7726535167804656E-7</v>
      </c>
      <c r="S120" s="12">
        <f t="shared" si="29"/>
        <v>5.9646639072319374E-8</v>
      </c>
      <c r="T120" s="12">
        <f t="shared" si="30"/>
        <v>1.3042227076098811E-8</v>
      </c>
      <c r="U120" s="12">
        <f t="shared" si="31"/>
        <v>2.9048460303826573E-9</v>
      </c>
      <c r="V120" s="12">
        <f t="shared" si="32"/>
        <v>8.6097118323635868E-10</v>
      </c>
    </row>
    <row r="121" spans="1:22">
      <c r="A121" s="35">
        <v>1.6</v>
      </c>
      <c r="B121" s="12">
        <v>0</v>
      </c>
      <c r="C121" s="12">
        <f t="shared" si="21"/>
        <v>8.1350809843631672E-10</v>
      </c>
      <c r="D121" s="12">
        <f t="shared" si="33"/>
        <v>1.427512050518567E-4</v>
      </c>
      <c r="E121" s="12">
        <f t="shared" si="34"/>
        <v>2.0274572479921149E-2</v>
      </c>
      <c r="F121" s="12">
        <f t="shared" si="35"/>
        <v>0.12036931898132286</v>
      </c>
      <c r="G121" s="12">
        <f t="shared" si="36"/>
        <v>0.32211052404267448</v>
      </c>
      <c r="H121" s="12">
        <f t="shared" si="37"/>
        <v>0.30133621146224654</v>
      </c>
      <c r="I121" s="12">
        <f t="shared" si="38"/>
        <v>0.1569480222085049</v>
      </c>
      <c r="J121" s="12">
        <f t="shared" si="39"/>
        <v>5.6971944660229146E-2</v>
      </c>
      <c r="K121" s="12">
        <f t="shared" si="40"/>
        <v>1.6494247752328217E-2</v>
      </c>
      <c r="L121" s="12">
        <f t="shared" si="22"/>
        <v>4.1403209945301001E-3</v>
      </c>
      <c r="M121" s="12">
        <f t="shared" si="23"/>
        <v>9.5045255419878849E-4</v>
      </c>
      <c r="N121" s="12">
        <f t="shared" si="24"/>
        <v>2.0664830996963701E-4</v>
      </c>
      <c r="O121" s="12">
        <f t="shared" si="25"/>
        <v>4.3566723902155324E-5</v>
      </c>
      <c r="P121" s="12">
        <f t="shared" si="26"/>
        <v>9.0507869255906925E-6</v>
      </c>
      <c r="Q121" s="12">
        <f t="shared" si="27"/>
        <v>1.8735623974475146E-6</v>
      </c>
      <c r="R121" s="12">
        <f t="shared" si="28"/>
        <v>3.8948072711431081E-7</v>
      </c>
      <c r="S121" s="12">
        <f t="shared" si="29"/>
        <v>8.1755215486367661E-8</v>
      </c>
      <c r="T121" s="12">
        <f t="shared" si="30"/>
        <v>1.7394973128581626E-8</v>
      </c>
      <c r="U121" s="12">
        <f t="shared" si="31"/>
        <v>3.7615791592671144E-9</v>
      </c>
      <c r="V121" s="12">
        <f t="shared" si="32"/>
        <v>1.069794142161129E-9</v>
      </c>
    </row>
    <row r="122" spans="1:22">
      <c r="A122" s="34">
        <v>1.7</v>
      </c>
      <c r="B122" s="12">
        <v>0</v>
      </c>
      <c r="C122" s="12">
        <f t="shared" si="21"/>
        <v>8.1253198802544112E-11</v>
      </c>
      <c r="D122" s="12">
        <f t="shared" si="33"/>
        <v>4.33826302524141E-5</v>
      </c>
      <c r="E122" s="12">
        <f t="shared" si="34"/>
        <v>1.0705987157923591E-2</v>
      </c>
      <c r="F122" s="12">
        <f t="shared" si="35"/>
        <v>8.5289399602454408E-2</v>
      </c>
      <c r="G122" s="12">
        <f t="shared" si="36"/>
        <v>0.28828196681177598</v>
      </c>
      <c r="H122" s="12">
        <f t="shared" si="37"/>
        <v>0.32142633077115734</v>
      </c>
      <c r="I122" s="12">
        <f t="shared" si="38"/>
        <v>0.18912407351993599</v>
      </c>
      <c r="J122" s="12">
        <f t="shared" si="39"/>
        <v>7.4607012926096727E-2</v>
      </c>
      <c r="K122" s="12">
        <f t="shared" si="40"/>
        <v>2.2822152808572804E-2</v>
      </c>
      <c r="L122" s="12">
        <f t="shared" si="22"/>
        <v>5.9287841336530533E-3</v>
      </c>
      <c r="M122" s="12">
        <f t="shared" si="23"/>
        <v>1.3868580523002105E-3</v>
      </c>
      <c r="N122" s="12">
        <f t="shared" si="24"/>
        <v>3.0365091844619663E-4</v>
      </c>
      <c r="O122" s="12">
        <f t="shared" si="25"/>
        <v>6.3881746393823491E-5</v>
      </c>
      <c r="P122" s="12">
        <f t="shared" si="26"/>
        <v>1.3148842294530283E-5</v>
      </c>
      <c r="Q122" s="12">
        <f t="shared" si="27"/>
        <v>2.6816199827361942E-6</v>
      </c>
      <c r="R122" s="12">
        <f t="shared" si="28"/>
        <v>5.4674756877481911E-7</v>
      </c>
      <c r="S122" s="12">
        <f t="shared" si="29"/>
        <v>1.1215444262191454E-7</v>
      </c>
      <c r="T122" s="12">
        <f t="shared" si="30"/>
        <v>2.3251678915592322E-8</v>
      </c>
      <c r="U122" s="12">
        <f t="shared" si="31"/>
        <v>4.8876390712493389E-9</v>
      </c>
      <c r="V122" s="12">
        <f t="shared" si="32"/>
        <v>1.3361776129983127E-9</v>
      </c>
    </row>
    <row r="123" spans="1:22">
      <c r="A123" s="35">
        <v>1.8</v>
      </c>
      <c r="B123" s="12">
        <v>0</v>
      </c>
      <c r="C123" s="12">
        <f t="shared" si="21"/>
        <v>7.2206838624870322E-12</v>
      </c>
      <c r="D123" s="12">
        <f t="shared" si="33"/>
        <v>1.2190373245386709E-5</v>
      </c>
      <c r="E123" s="12">
        <f t="shared" si="34"/>
        <v>5.3424315734310612E-3</v>
      </c>
      <c r="F123" s="12">
        <f t="shared" si="35"/>
        <v>5.7490529143861768E-2</v>
      </c>
      <c r="G123" s="12">
        <f t="shared" si="36"/>
        <v>0.24762081767665223</v>
      </c>
      <c r="H123" s="12">
        <f t="shared" si="37"/>
        <v>0.33105157165711208</v>
      </c>
      <c r="I123" s="12">
        <f t="shared" si="38"/>
        <v>0.2212929386463135</v>
      </c>
      <c r="J123" s="12">
        <f t="shared" si="39"/>
        <v>9.5340140074766988E-2</v>
      </c>
      <c r="K123" s="12">
        <f t="shared" si="40"/>
        <v>3.0945363711362583E-2</v>
      </c>
      <c r="L123" s="12">
        <f t="shared" si="22"/>
        <v>8.3497418876641305E-3</v>
      </c>
      <c r="M123" s="12">
        <f t="shared" si="23"/>
        <v>1.9963505313005392E-3</v>
      </c>
      <c r="N123" s="12">
        <f t="shared" si="24"/>
        <v>4.4132037811572822E-4</v>
      </c>
      <c r="O123" s="12">
        <f t="shared" si="25"/>
        <v>9.2855527487722966E-5</v>
      </c>
      <c r="P123" s="12">
        <f t="shared" si="26"/>
        <v>1.8973005144751198E-5</v>
      </c>
      <c r="Q123" s="12">
        <f t="shared" si="27"/>
        <v>3.818559406343347E-6</v>
      </c>
      <c r="R123" s="12">
        <f t="shared" si="28"/>
        <v>7.6470094101388497E-7</v>
      </c>
      <c r="S123" s="12">
        <f t="shared" si="29"/>
        <v>1.5348681581262014E-7</v>
      </c>
      <c r="T123" s="12">
        <f t="shared" si="30"/>
        <v>3.1039780967745401E-8</v>
      </c>
      <c r="U123" s="12">
        <f t="shared" si="31"/>
        <v>6.3486594870099111E-9</v>
      </c>
      <c r="V123" s="12">
        <f t="shared" si="32"/>
        <v>1.670717231228025E-9</v>
      </c>
    </row>
    <row r="124" spans="1:22">
      <c r="A124" s="34">
        <v>1.9</v>
      </c>
      <c r="B124" s="12">
        <v>0</v>
      </c>
      <c r="C124" s="12">
        <f t="shared" si="21"/>
        <v>5.7158460567334667E-13</v>
      </c>
      <c r="D124" s="12">
        <f t="shared" si="33"/>
        <v>3.1701372202456796E-6</v>
      </c>
      <c r="E124" s="12">
        <f t="shared" si="34"/>
        <v>2.5214304195275705E-3</v>
      </c>
      <c r="F124" s="12">
        <f t="shared" si="35"/>
        <v>3.6917438819851656E-2</v>
      </c>
      <c r="G124" s="12">
        <f t="shared" si="36"/>
        <v>0.20438495361532483</v>
      </c>
      <c r="H124" s="12">
        <f t="shared" si="37"/>
        <v>0.32947828873508789</v>
      </c>
      <c r="I124" s="12">
        <f t="shared" si="38"/>
        <v>0.25151339442566145</v>
      </c>
      <c r="J124" s="12">
        <f t="shared" si="39"/>
        <v>0.11888602524109571</v>
      </c>
      <c r="K124" s="12">
        <f t="shared" si="40"/>
        <v>4.1104401465784313E-2</v>
      </c>
      <c r="L124" s="12">
        <f t="shared" si="22"/>
        <v>1.1557531471714677E-2</v>
      </c>
      <c r="M124" s="12">
        <f t="shared" si="23"/>
        <v>2.8322550791273216E-3</v>
      </c>
      <c r="N124" s="12">
        <f t="shared" si="24"/>
        <v>6.3364061512283243E-4</v>
      </c>
      <c r="O124" s="12">
        <f t="shared" si="25"/>
        <v>1.3360164088005444E-4</v>
      </c>
      <c r="P124" s="12">
        <f t="shared" si="26"/>
        <v>2.7145120289340241E-5</v>
      </c>
      <c r="Q124" s="12">
        <f t="shared" si="27"/>
        <v>5.3992629335253284E-6</v>
      </c>
      <c r="R124" s="12">
        <f t="shared" si="28"/>
        <v>1.0633187061959148E-6</v>
      </c>
      <c r="S124" s="12">
        <f t="shared" si="29"/>
        <v>2.0904952280353939E-7</v>
      </c>
      <c r="T124" s="12">
        <f t="shared" si="30"/>
        <v>4.1275919571148734E-8</v>
      </c>
      <c r="U124" s="12">
        <f t="shared" si="31"/>
        <v>8.2207582963178538E-9</v>
      </c>
      <c r="V124" s="12">
        <f t="shared" si="32"/>
        <v>2.0849001414191548E-9</v>
      </c>
    </row>
    <row r="125" spans="1:22">
      <c r="A125" s="35">
        <v>2</v>
      </c>
      <c r="B125" s="12">
        <v>0</v>
      </c>
      <c r="C125" s="12">
        <f t="shared" si="21"/>
        <v>4.0327851882455048E-14</v>
      </c>
      <c r="D125" s="12">
        <f t="shared" si="33"/>
        <v>7.6343649033183721E-7</v>
      </c>
      <c r="E125" s="12">
        <f t="shared" si="34"/>
        <v>1.1261859468466584E-3</v>
      </c>
      <c r="F125" s="12">
        <f t="shared" si="35"/>
        <v>2.2612201701377344E-2</v>
      </c>
      <c r="G125" s="12">
        <f t="shared" si="36"/>
        <v>0.16230317290931873</v>
      </c>
      <c r="H125" s="12">
        <f t="shared" si="37"/>
        <v>0.31714492139955697</v>
      </c>
      <c r="I125" s="12">
        <f t="shared" si="38"/>
        <v>0.27781919593603943</v>
      </c>
      <c r="J125" s="12">
        <f t="shared" si="39"/>
        <v>0.14469470987553978</v>
      </c>
      <c r="K125" s="12">
        <f t="shared" si="40"/>
        <v>5.3484922732303541E-2</v>
      </c>
      <c r="L125" s="12">
        <f t="shared" si="22"/>
        <v>1.5719419243440669E-2</v>
      </c>
      <c r="M125" s="12">
        <f t="shared" si="23"/>
        <v>3.9583848233887275E-3</v>
      </c>
      <c r="N125" s="12">
        <f t="shared" si="24"/>
        <v>8.981527125127009E-4</v>
      </c>
      <c r="O125" s="12">
        <f t="shared" si="25"/>
        <v>1.9011234478316652E-4</v>
      </c>
      <c r="P125" s="12">
        <f t="shared" si="26"/>
        <v>3.8467327741598112E-5</v>
      </c>
      <c r="Q125" s="12">
        <f t="shared" si="27"/>
        <v>7.5710929109407132E-6</v>
      </c>
      <c r="R125" s="12">
        <f t="shared" si="28"/>
        <v>1.4678447695093411E-6</v>
      </c>
      <c r="S125" s="12">
        <f t="shared" si="29"/>
        <v>2.8291288289850058E-7</v>
      </c>
      <c r="T125" s="12">
        <f t="shared" si="30"/>
        <v>5.4577875108208218E-8</v>
      </c>
      <c r="U125" s="12">
        <f t="shared" si="31"/>
        <v>1.0591190591213717E-8</v>
      </c>
      <c r="V125" s="12">
        <f t="shared" si="32"/>
        <v>2.5909909773247364E-9</v>
      </c>
    </row>
    <row r="126" spans="1:22">
      <c r="A126" s="34">
        <v>2.1</v>
      </c>
      <c r="B126" s="12">
        <v>0</v>
      </c>
      <c r="C126" s="12">
        <f t="shared" si="21"/>
        <v>2.5357922694985603E-15</v>
      </c>
      <c r="D126" s="12">
        <f t="shared" si="33"/>
        <v>1.702973368267634E-7</v>
      </c>
      <c r="E126" s="12">
        <f t="shared" si="34"/>
        <v>4.7617402327868697E-4</v>
      </c>
      <c r="F126" s="12">
        <f t="shared" si="35"/>
        <v>1.3224086946461266E-2</v>
      </c>
      <c r="G126" s="12">
        <f t="shared" si="36"/>
        <v>0.12413549219269859</v>
      </c>
      <c r="H126" s="12">
        <f t="shared" si="37"/>
        <v>0.29551688970197165</v>
      </c>
      <c r="I126" s="12">
        <f t="shared" si="38"/>
        <v>0.29844063028975598</v>
      </c>
      <c r="J126" s="12">
        <f t="shared" si="39"/>
        <v>0.17196326563138287</v>
      </c>
      <c r="K126" s="12">
        <f t="shared" si="40"/>
        <v>6.8192738245804185E-2</v>
      </c>
      <c r="L126" s="12">
        <f t="shared" si="22"/>
        <v>2.1010021948516533E-2</v>
      </c>
      <c r="M126" s="12">
        <f t="shared" si="23"/>
        <v>5.4495764603040842E-3</v>
      </c>
      <c r="N126" s="12">
        <f t="shared" si="24"/>
        <v>1.2565417597770745E-3</v>
      </c>
      <c r="O126" s="12">
        <f t="shared" si="25"/>
        <v>2.6744785902110824E-4</v>
      </c>
      <c r="P126" s="12">
        <f t="shared" si="26"/>
        <v>5.3964566450792617E-5</v>
      </c>
      <c r="Q126" s="12">
        <f t="shared" si="27"/>
        <v>1.0521585664613475E-5</v>
      </c>
      <c r="R126" s="12">
        <f t="shared" si="28"/>
        <v>2.0099721521615876E-6</v>
      </c>
      <c r="S126" s="12">
        <f t="shared" si="29"/>
        <v>3.8007576763643414E-7</v>
      </c>
      <c r="T126" s="12">
        <f t="shared" si="30"/>
        <v>7.1681720892335932E-8</v>
      </c>
      <c r="U126" s="12">
        <f t="shared" si="31"/>
        <v>1.3559813938357479E-8</v>
      </c>
      <c r="V126" s="12">
        <f t="shared" si="32"/>
        <v>3.202118570300172E-9</v>
      </c>
    </row>
    <row r="127" spans="1:22">
      <c r="A127" s="35">
        <v>2.2000000000000002</v>
      </c>
      <c r="B127" s="12">
        <v>0</v>
      </c>
      <c r="C127" s="12">
        <f t="shared" si="21"/>
        <v>1.4197865135647501E-16</v>
      </c>
      <c r="D127" s="12">
        <f t="shared" si="33"/>
        <v>3.5178484297494661E-8</v>
      </c>
      <c r="E127" s="12">
        <f t="shared" si="34"/>
        <v>1.9059109896381863E-4</v>
      </c>
      <c r="F127" s="12">
        <f t="shared" si="35"/>
        <v>7.3891799340688458E-3</v>
      </c>
      <c r="G127" s="12">
        <f t="shared" si="36"/>
        <v>9.1526270384004405E-2</v>
      </c>
      <c r="H127" s="12">
        <f t="shared" si="37"/>
        <v>0.26679036397934275</v>
      </c>
      <c r="I127" s="12">
        <f t="shared" si="38"/>
        <v>0.31199858065834007</v>
      </c>
      <c r="J127" s="12">
        <f t="shared" si="39"/>
        <v>0.19967588337153253</v>
      </c>
      <c r="K127" s="12">
        <f t="shared" si="40"/>
        <v>8.5232169616926923E-2</v>
      </c>
      <c r="L127" s="12">
        <f t="shared" si="22"/>
        <v>2.7604715117663936E-2</v>
      </c>
      <c r="M127" s="12">
        <f t="shared" si="23"/>
        <v>7.3921295639194362E-3</v>
      </c>
      <c r="N127" s="12">
        <f t="shared" si="24"/>
        <v>1.7353282851382268E-3</v>
      </c>
      <c r="O127" s="12">
        <f t="shared" si="25"/>
        <v>3.7197373049924209E-4</v>
      </c>
      <c r="P127" s="12">
        <f t="shared" si="26"/>
        <v>7.4939643748717089E-5</v>
      </c>
      <c r="Q127" s="12">
        <f t="shared" si="27"/>
        <v>1.4488656518762966E-5</v>
      </c>
      <c r="R127" s="12">
        <f t="shared" si="28"/>
        <v>2.7294494167051653E-6</v>
      </c>
      <c r="S127" s="12">
        <f t="shared" si="29"/>
        <v>5.0668760964711623E-7</v>
      </c>
      <c r="T127" s="12">
        <f t="shared" si="30"/>
        <v>9.3468969675214453E-8</v>
      </c>
      <c r="U127" s="12">
        <f t="shared" si="31"/>
        <v>1.7242146377327572E-8</v>
      </c>
      <c r="V127" s="12">
        <f t="shared" si="32"/>
        <v>3.9327054945914597E-9</v>
      </c>
    </row>
    <row r="128" spans="1:22">
      <c r="A128" s="34">
        <v>2.2999999999999998</v>
      </c>
      <c r="B128" s="12">
        <v>0</v>
      </c>
      <c r="C128" s="12">
        <f t="shared" si="21"/>
        <v>7.0657294544177229E-18</v>
      </c>
      <c r="D128" s="12">
        <f t="shared" si="33"/>
        <v>6.7238726448175657E-9</v>
      </c>
      <c r="E128" s="12">
        <f t="shared" si="34"/>
        <v>7.2182403488525558E-5</v>
      </c>
      <c r="F128" s="12">
        <f t="shared" si="35"/>
        <v>3.9460356627938342E-3</v>
      </c>
      <c r="G128" s="12">
        <f t="shared" si="36"/>
        <v>6.5095372899179882E-2</v>
      </c>
      <c r="H128" s="12">
        <f t="shared" si="37"/>
        <v>0.23352595939847376</v>
      </c>
      <c r="I128" s="12">
        <f t="shared" si="38"/>
        <v>0.31764125546533772</v>
      </c>
      <c r="J128" s="12">
        <f t="shared" si="39"/>
        <v>0.22666710323925121</v>
      </c>
      <c r="K128" s="12">
        <f t="shared" si="40"/>
        <v>0.1044896259873298</v>
      </c>
      <c r="L128" s="12">
        <f t="shared" si="22"/>
        <v>3.5672462103660596E-2</v>
      </c>
      <c r="M128" s="12">
        <f t="shared" si="23"/>
        <v>9.8842744218808898E-3</v>
      </c>
      <c r="N128" s="12">
        <f t="shared" si="24"/>
        <v>2.3667328600559534E-3</v>
      </c>
      <c r="O128" s="12">
        <f t="shared" si="25"/>
        <v>5.1167201767454706E-4</v>
      </c>
      <c r="P128" s="12">
        <f t="shared" si="26"/>
        <v>1.0304770744595793E-4</v>
      </c>
      <c r="Q128" s="12">
        <f t="shared" si="27"/>
        <v>1.9774762235469368E-5</v>
      </c>
      <c r="R128" s="12">
        <f t="shared" si="28"/>
        <v>3.6763825657093463E-6</v>
      </c>
      <c r="S128" s="12">
        <f t="shared" si="29"/>
        <v>6.7037949680326392E-7</v>
      </c>
      <c r="T128" s="12">
        <f t="shared" si="30"/>
        <v>1.2101077295767482E-7</v>
      </c>
      <c r="U128" s="12">
        <f t="shared" si="31"/>
        <v>2.1775074521279691E-8</v>
      </c>
      <c r="V128" s="12">
        <f t="shared" si="32"/>
        <v>4.7994092033931679E-9</v>
      </c>
    </row>
    <row r="129" spans="1:22">
      <c r="A129" s="35">
        <v>2.4</v>
      </c>
      <c r="B129" s="12">
        <v>0</v>
      </c>
      <c r="C129" s="12">
        <f t="shared" si="21"/>
        <v>3.1167221746766763E-19</v>
      </c>
      <c r="D129" s="12">
        <f t="shared" si="33"/>
        <v>1.1873417779384991E-9</v>
      </c>
      <c r="E129" s="12">
        <f t="shared" si="34"/>
        <v>2.5843525653936865E-5</v>
      </c>
      <c r="F129" s="12">
        <f t="shared" si="35"/>
        <v>2.0136703289901359E-3</v>
      </c>
      <c r="G129" s="12">
        <f t="shared" si="36"/>
        <v>4.4672201065323769E-2</v>
      </c>
      <c r="H129" s="12">
        <f t="shared" si="37"/>
        <v>0.19829249902226209</v>
      </c>
      <c r="I129" s="12">
        <f t="shared" si="38"/>
        <v>0.31510797306156924</v>
      </c>
      <c r="J129" s="12">
        <f t="shared" si="39"/>
        <v>0.25169979823357103</v>
      </c>
      <c r="K129" s="12">
        <f t="shared" si="40"/>
        <v>0.12572328963604151</v>
      </c>
      <c r="L129" s="12">
        <f t="shared" si="22"/>
        <v>4.536838566680601E-2</v>
      </c>
      <c r="M129" s="12">
        <f t="shared" si="23"/>
        <v>1.3036812185681645E-2</v>
      </c>
      <c r="N129" s="12">
        <f t="shared" si="24"/>
        <v>3.1898099842099237E-3</v>
      </c>
      <c r="O129" s="12">
        <f t="shared" si="25"/>
        <v>6.9656424110131621E-4</v>
      </c>
      <c r="P129" s="12">
        <f t="shared" si="26"/>
        <v>1.4040043471519326E-4</v>
      </c>
      <c r="Q129" s="12">
        <f t="shared" si="27"/>
        <v>2.676723389849478E-5</v>
      </c>
      <c r="R129" s="12">
        <f t="shared" si="28"/>
        <v>4.9146294129887025E-6</v>
      </c>
      <c r="S129" s="12">
        <f t="shared" si="29"/>
        <v>8.8077484361459568E-7</v>
      </c>
      <c r="T129" s="12">
        <f t="shared" si="30"/>
        <v>1.5563918720484793E-7</v>
      </c>
      <c r="U129" s="12">
        <f t="shared" si="31"/>
        <v>2.7326620855028239E-8</v>
      </c>
      <c r="V129" s="12">
        <f t="shared" si="32"/>
        <v>5.8227692667500719E-9</v>
      </c>
    </row>
    <row r="130" spans="1:22">
      <c r="A130" s="34">
        <v>2.5</v>
      </c>
      <c r="B130" s="12">
        <v>0</v>
      </c>
      <c r="C130" s="12">
        <f t="shared" si="21"/>
        <v>1.2137760509315399E-20</v>
      </c>
      <c r="D130" s="12">
        <f t="shared" si="33"/>
        <v>1.9326201529708933E-10</v>
      </c>
      <c r="E130" s="12">
        <f t="shared" si="34"/>
        <v>8.7341173443133668E-6</v>
      </c>
      <c r="F130" s="12">
        <f t="shared" si="35"/>
        <v>9.8125281786110019E-4</v>
      </c>
      <c r="G130" s="12">
        <f t="shared" si="36"/>
        <v>2.9577600372578838E-2</v>
      </c>
      <c r="H130" s="12">
        <f t="shared" si="37"/>
        <v>0.16338041471185938</v>
      </c>
      <c r="I130" s="12">
        <f t="shared" si="38"/>
        <v>0.30471964738252599</v>
      </c>
      <c r="J130" s="12">
        <f t="shared" si="39"/>
        <v>0.27354850600177016</v>
      </c>
      <c r="K130" s="12">
        <f t="shared" si="40"/>
        <v>0.14855876609231511</v>
      </c>
      <c r="L130" s="12">
        <f t="shared" si="22"/>
        <v>5.6826152134675012E-2</v>
      </c>
      <c r="M130" s="12">
        <f t="shared" si="23"/>
        <v>1.6974050828764242E-2</v>
      </c>
      <c r="N130" s="12">
        <f t="shared" si="24"/>
        <v>4.2519750570353398E-3</v>
      </c>
      <c r="O130" s="12">
        <f t="shared" si="25"/>
        <v>9.3929976448769992E-4</v>
      </c>
      <c r="P130" s="12">
        <f t="shared" si="26"/>
        <v>1.8971508504428414E-4</v>
      </c>
      <c r="Q130" s="12">
        <f t="shared" si="27"/>
        <v>3.5968071562475501E-5</v>
      </c>
      <c r="R130" s="12">
        <f t="shared" si="28"/>
        <v>6.526896262126769E-6</v>
      </c>
      <c r="S130" s="12">
        <f t="shared" si="29"/>
        <v>1.1502714638567113E-6</v>
      </c>
      <c r="T130" s="12">
        <f t="shared" si="30"/>
        <v>1.9905972403755356E-7</v>
      </c>
      <c r="U130" s="12">
        <f t="shared" si="31"/>
        <v>3.4111659608093703E-8</v>
      </c>
      <c r="V130" s="12">
        <f t="shared" si="32"/>
        <v>7.0298044052563569E-9</v>
      </c>
    </row>
    <row r="131" spans="1:22">
      <c r="A131" s="35">
        <v>2.6</v>
      </c>
      <c r="B131" s="12">
        <v>0</v>
      </c>
      <c r="C131" s="12">
        <f t="shared" si="21"/>
        <v>4.1517385378884819E-22</v>
      </c>
      <c r="D131" s="12">
        <f t="shared" si="33"/>
        <v>2.8903425747891523E-11</v>
      </c>
      <c r="E131" s="12">
        <f t="shared" si="34"/>
        <v>2.7804031928019435E-6</v>
      </c>
      <c r="F131" s="12">
        <f t="shared" si="35"/>
        <v>4.5602402944500131E-4</v>
      </c>
      <c r="G131" s="12">
        <f t="shared" si="36"/>
        <v>1.8883522445358736E-2</v>
      </c>
      <c r="H131" s="12">
        <f t="shared" si="37"/>
        <v>0.13061530866486804</v>
      </c>
      <c r="I131" s="12">
        <f t="shared" si="38"/>
        <v>0.28730789643090338</v>
      </c>
      <c r="J131" s="12">
        <f t="shared" si="39"/>
        <v>0.29107969316933491</v>
      </c>
      <c r="K131" s="12">
        <f t="shared" si="40"/>
        <v>0.17248975955743917</v>
      </c>
      <c r="L131" s="12">
        <f t="shared" si="22"/>
        <v>7.0149876880944095E-2</v>
      </c>
      <c r="M131" s="12">
        <f t="shared" si="23"/>
        <v>2.1835089466053503E-2</v>
      </c>
      <c r="N131" s="12">
        <f t="shared" si="24"/>
        <v>5.6110745400143047E-3</v>
      </c>
      <c r="O131" s="12">
        <f t="shared" si="25"/>
        <v>1.2559837851893185E-3</v>
      </c>
      <c r="P131" s="12">
        <f t="shared" si="26"/>
        <v>2.5453042509659962E-4</v>
      </c>
      <c r="Q131" s="12">
        <f t="shared" si="27"/>
        <v>4.8038098002578522E-5</v>
      </c>
      <c r="R131" s="12">
        <f t="shared" si="28"/>
        <v>8.6224317851213428E-6</v>
      </c>
      <c r="S131" s="12">
        <f t="shared" si="29"/>
        <v>1.4952434074233523E-6</v>
      </c>
      <c r="T131" s="12">
        <f t="shared" si="30"/>
        <v>2.5352590016236576E-7</v>
      </c>
      <c r="U131" s="12">
        <f t="shared" si="31"/>
        <v>4.2416263723588088E-8</v>
      </c>
      <c r="V131" s="12">
        <f t="shared" si="32"/>
        <v>8.4578977155302937E-9</v>
      </c>
    </row>
    <row r="132" spans="1:22">
      <c r="A132" s="34">
        <v>2.7</v>
      </c>
      <c r="B132" s="12">
        <v>0</v>
      </c>
      <c r="C132" s="12">
        <f t="shared" si="21"/>
        <v>1.239169873735288E-23</v>
      </c>
      <c r="D132" s="12">
        <f t="shared" si="33"/>
        <v>3.9552592835852416E-12</v>
      </c>
      <c r="E132" s="12">
        <f t="shared" si="34"/>
        <v>8.3133291341925023E-7</v>
      </c>
      <c r="F132" s="12">
        <f t="shared" si="35"/>
        <v>2.0173249503252499E-4</v>
      </c>
      <c r="G132" s="12">
        <f t="shared" si="36"/>
        <v>1.1612561064618721E-2</v>
      </c>
      <c r="H132" s="12">
        <f t="shared" si="37"/>
        <v>0.10127489089389075</v>
      </c>
      <c r="I132" s="12">
        <f t="shared" si="38"/>
        <v>0.26410179348864982</v>
      </c>
      <c r="J132" s="12">
        <f t="shared" si="39"/>
        <v>0.30332291293257807</v>
      </c>
      <c r="K132" s="12">
        <f t="shared" si="40"/>
        <v>0.19688249400125168</v>
      </c>
      <c r="L132" s="12">
        <f t="shared" si="22"/>
        <v>8.5404838049038867E-2</v>
      </c>
      <c r="M132" s="12">
        <f t="shared" si="23"/>
        <v>2.7775370702588065E-2</v>
      </c>
      <c r="N132" s="12">
        <f t="shared" si="24"/>
        <v>7.3381726042808237E-3</v>
      </c>
      <c r="O132" s="12">
        <f t="shared" si="25"/>
        <v>1.6673465755835393E-3</v>
      </c>
      <c r="P132" s="12">
        <f t="shared" si="26"/>
        <v>3.3952157254268922E-4</v>
      </c>
      <c r="Q132" s="12">
        <f t="shared" si="27"/>
        <v>6.386281174752817E-5</v>
      </c>
      <c r="R132" s="12">
        <f t="shared" si="28"/>
        <v>1.1348687767864796E-5</v>
      </c>
      <c r="S132" s="12">
        <f t="shared" si="29"/>
        <v>1.9378808218117882E-6</v>
      </c>
      <c r="T132" s="12">
        <f t="shared" si="30"/>
        <v>3.2210748901473352E-7</v>
      </c>
      <c r="U132" s="12">
        <f t="shared" si="31"/>
        <v>5.2634755443037307E-8</v>
      </c>
      <c r="V132" s="12">
        <f t="shared" si="32"/>
        <v>1.016049411273201E-8</v>
      </c>
    </row>
    <row r="133" spans="1:22">
      <c r="A133" s="35">
        <v>2.8</v>
      </c>
      <c r="B133" s="12">
        <v>0</v>
      </c>
      <c r="C133" s="12">
        <f t="shared" si="21"/>
        <v>3.2014838861642734E-25</v>
      </c>
      <c r="D133" s="12">
        <f t="shared" si="33"/>
        <v>4.9265370227173325E-13</v>
      </c>
      <c r="E133" s="12">
        <f t="shared" si="34"/>
        <v>2.3260569688671958E-7</v>
      </c>
      <c r="F133" s="12">
        <f t="shared" si="35"/>
        <v>8.4722779199233693E-5</v>
      </c>
      <c r="G133" s="12">
        <f t="shared" si="36"/>
        <v>6.8671365489865188E-3</v>
      </c>
      <c r="H133" s="12">
        <f t="shared" si="37"/>
        <v>7.6093165585766731E-2</v>
      </c>
      <c r="I133" s="12">
        <f t="shared" si="38"/>
        <v>0.2365929721208383</v>
      </c>
      <c r="J133" s="12">
        <f t="shared" si="39"/>
        <v>0.30952971082579805</v>
      </c>
      <c r="K133" s="12">
        <f t="shared" si="40"/>
        <v>0.22098283242873895</v>
      </c>
      <c r="L133" s="12">
        <f t="shared" si="22"/>
        <v>0.10260586206497568</v>
      </c>
      <c r="M133" s="12">
        <f t="shared" si="23"/>
        <v>3.4968210674430344E-2</v>
      </c>
      <c r="N133" s="12">
        <f t="shared" si="24"/>
        <v>9.5212444115283512E-3</v>
      </c>
      <c r="O133" s="12">
        <f t="shared" si="25"/>
        <v>2.2003932167329321E-3</v>
      </c>
      <c r="P133" s="12">
        <f t="shared" si="26"/>
        <v>4.5096087870266643E-4</v>
      </c>
      <c r="Q133" s="12">
        <f t="shared" si="27"/>
        <v>8.4651126864176973E-5</v>
      </c>
      <c r="R133" s="12">
        <f t="shared" si="28"/>
        <v>1.4909074353308682E-5</v>
      </c>
      <c r="S133" s="12">
        <f t="shared" si="29"/>
        <v>2.5090146867912111E-6</v>
      </c>
      <c r="T133" s="12">
        <f t="shared" si="30"/>
        <v>4.0910072174327183E-7</v>
      </c>
      <c r="U133" s="12">
        <f t="shared" si="31"/>
        <v>6.5325990061815276E-8</v>
      </c>
      <c r="V133" s="12">
        <f t="shared" si="32"/>
        <v>1.2215496614231824E-8</v>
      </c>
    </row>
    <row r="134" spans="1:22">
      <c r="A134" s="34">
        <v>2.9</v>
      </c>
      <c r="B134" s="12">
        <v>0</v>
      </c>
      <c r="C134" s="12">
        <f t="shared" si="21"/>
        <v>7.0907914864541967E-27</v>
      </c>
      <c r="D134" s="12">
        <f t="shared" si="33"/>
        <v>5.5494180103250625E-14</v>
      </c>
      <c r="E134" s="12">
        <f t="shared" si="34"/>
        <v>6.0624152045278804E-8</v>
      </c>
      <c r="F134" s="12">
        <f t="shared" si="35"/>
        <v>3.3664401142389368E-5</v>
      </c>
      <c r="G134" s="12">
        <f t="shared" si="36"/>
        <v>3.8960323249050965E-3</v>
      </c>
      <c r="H134" s="12">
        <f t="shared" si="37"/>
        <v>5.5326142379987564E-2</v>
      </c>
      <c r="I134" s="12">
        <f t="shared" si="38"/>
        <v>0.20639730563726955</v>
      </c>
      <c r="J134" s="12">
        <f t="shared" si="39"/>
        <v>0.3092196961260435</v>
      </c>
      <c r="K134" s="12">
        <f t="shared" si="40"/>
        <v>0.24392587188051373</v>
      </c>
      <c r="L134" s="12">
        <f t="shared" si="22"/>
        <v>0.12170188805052928</v>
      </c>
      <c r="M134" s="12">
        <f t="shared" si="23"/>
        <v>4.3605705560679886E-2</v>
      </c>
      <c r="N134" s="12">
        <f t="shared" si="24"/>
        <v>1.2269969186296414E-2</v>
      </c>
      <c r="O134" s="12">
        <f t="shared" si="25"/>
        <v>2.8907250597686174E-3</v>
      </c>
      <c r="P134" s="12">
        <f t="shared" si="26"/>
        <v>5.973950160498287E-4</v>
      </c>
      <c r="Q134" s="12">
        <f t="shared" si="27"/>
        <v>1.1208436933030086E-4</v>
      </c>
      <c r="R134" s="12">
        <f t="shared" si="28"/>
        <v>1.9590195296070867E-5</v>
      </c>
      <c r="S134" s="12">
        <f t="shared" si="29"/>
        <v>3.2524821573787221E-6</v>
      </c>
      <c r="T134" s="12">
        <f t="shared" si="30"/>
        <v>5.2066814515416837E-7</v>
      </c>
      <c r="U134" s="12">
        <f t="shared" si="31"/>
        <v>8.1299788790012428E-8</v>
      </c>
      <c r="V134" s="12">
        <f t="shared" si="32"/>
        <v>1.4737888909266417E-8</v>
      </c>
    </row>
    <row r="135" spans="1:22">
      <c r="A135" s="35">
        <v>3</v>
      </c>
      <c r="B135" s="12">
        <v>0</v>
      </c>
      <c r="C135" s="12">
        <f t="shared" si="21"/>
        <v>1.3310502241183106E-28</v>
      </c>
      <c r="D135" s="12">
        <f t="shared" si="33"/>
        <v>5.6094160755805325E-15</v>
      </c>
      <c r="E135" s="12">
        <f t="shared" si="34"/>
        <v>1.4635576379422728E-8</v>
      </c>
      <c r="F135" s="12">
        <f t="shared" si="35"/>
        <v>1.2601368735245247E-5</v>
      </c>
      <c r="G135" s="12">
        <f t="shared" si="36"/>
        <v>2.1142340211588451E-3</v>
      </c>
      <c r="H135" s="12">
        <f t="shared" si="37"/>
        <v>3.8852045653194223E-2</v>
      </c>
      <c r="I135" s="12">
        <f t="shared" si="38"/>
        <v>0.17512659866795999</v>
      </c>
      <c r="J135" s="12">
        <f t="shared" si="39"/>
        <v>0.30221478167218629</v>
      </c>
      <c r="K135" s="12">
        <f t="shared" si="40"/>
        <v>0.26474914753610945</v>
      </c>
      <c r="L135" s="12">
        <f t="shared" si="22"/>
        <v>0.14255501796800218</v>
      </c>
      <c r="M135" s="12">
        <f t="shared" si="23"/>
        <v>5.3897965468083564E-2</v>
      </c>
      <c r="N135" s="12">
        <f t="shared" si="24"/>
        <v>1.5721788910874723E-2</v>
      </c>
      <c r="O135" s="12">
        <f t="shared" si="25"/>
        <v>3.785795559059224E-3</v>
      </c>
      <c r="P135" s="12">
        <f t="shared" si="26"/>
        <v>7.9064401724271427E-4</v>
      </c>
      <c r="Q135" s="12">
        <f t="shared" si="27"/>
        <v>1.4854298348543349E-4</v>
      </c>
      <c r="R135" s="12">
        <f t="shared" si="28"/>
        <v>2.5804078723767887E-5</v>
      </c>
      <c r="S135" s="12">
        <f t="shared" si="29"/>
        <v>4.2319734286921928E-6</v>
      </c>
      <c r="T135" s="12">
        <f t="shared" si="30"/>
        <v>6.6583464708447337E-7</v>
      </c>
      <c r="U135" s="12">
        <f t="shared" si="31"/>
        <v>1.0175225828579215E-7</v>
      </c>
      <c r="V135" s="12">
        <f t="shared" si="32"/>
        <v>1.7899268289767178E-8</v>
      </c>
    </row>
    <row r="136" spans="1:22">
      <c r="A136" s="34">
        <v>3.1</v>
      </c>
      <c r="B136" s="12">
        <v>0</v>
      </c>
      <c r="C136" s="12">
        <f t="shared" si="21"/>
        <v>2.0895164818897228E-30</v>
      </c>
      <c r="D136" s="12">
        <f t="shared" si="33"/>
        <v>5.0413882289100508E-16</v>
      </c>
      <c r="E136" s="12">
        <f t="shared" si="34"/>
        <v>3.2507314065636947E-9</v>
      </c>
      <c r="F136" s="12">
        <f t="shared" si="35"/>
        <v>4.4202862291516441E-6</v>
      </c>
      <c r="G136" s="12">
        <f t="shared" si="36"/>
        <v>1.0932146438120682E-3</v>
      </c>
      <c r="H136" s="12">
        <f t="shared" si="37"/>
        <v>2.6283039661590846E-2</v>
      </c>
      <c r="I136" s="12">
        <f t="shared" si="38"/>
        <v>0.14427849829039274</v>
      </c>
      <c r="J136" s="12">
        <f t="shared" si="39"/>
        <v>0.2886628426600879</v>
      </c>
      <c r="K136" s="12">
        <f t="shared" si="40"/>
        <v>0.28241232854718235</v>
      </c>
      <c r="L136" s="12">
        <f t="shared" si="22"/>
        <v>0.16491244972196495</v>
      </c>
      <c r="M136" s="12">
        <f t="shared" si="23"/>
        <v>6.6068993370117957E-2</v>
      </c>
      <c r="N136" s="12">
        <f t="shared" si="24"/>
        <v>2.0049307738445266E-2</v>
      </c>
      <c r="O136" s="12">
        <f t="shared" si="25"/>
        <v>4.94945866822738E-3</v>
      </c>
      <c r="P136" s="12">
        <f t="shared" si="26"/>
        <v>1.0472831173089503E-3</v>
      </c>
      <c r="Q136" s="12">
        <f t="shared" si="27"/>
        <v>1.9745502126522485E-4</v>
      </c>
      <c r="R136" s="12">
        <f t="shared" si="28"/>
        <v>3.4154558960164394E-5</v>
      </c>
      <c r="S136" s="12">
        <f t="shared" si="29"/>
        <v>5.5419264503031584E-6</v>
      </c>
      <c r="T136" s="12">
        <f t="shared" si="30"/>
        <v>8.5809533667546845E-7</v>
      </c>
      <c r="U136" s="12">
        <f t="shared" si="31"/>
        <v>1.2848283814648198E-7</v>
      </c>
      <c r="V136" s="12">
        <f t="shared" si="32"/>
        <v>2.1959058016385313E-8</v>
      </c>
    </row>
    <row r="137" spans="1:22">
      <c r="A137" s="35">
        <v>3.2</v>
      </c>
      <c r="B137" s="12">
        <v>0</v>
      </c>
      <c r="C137" s="12">
        <f t="shared" si="21"/>
        <v>2.7010428334225228E-32</v>
      </c>
      <c r="D137" s="12">
        <f t="shared" si="33"/>
        <v>3.9852334757669469E-17</v>
      </c>
      <c r="E137" s="12">
        <f t="shared" si="34"/>
        <v>6.589986698558744E-10</v>
      </c>
      <c r="F137" s="12">
        <f t="shared" si="35"/>
        <v>1.4438236514494653E-6</v>
      </c>
      <c r="G137" s="12">
        <f t="shared" si="36"/>
        <v>5.3608473987942773E-4</v>
      </c>
      <c r="H137" s="12">
        <f t="shared" si="37"/>
        <v>1.707187579567615E-2</v>
      </c>
      <c r="I137" s="12">
        <f t="shared" si="38"/>
        <v>0.11514851310208007</v>
      </c>
      <c r="J137" s="12">
        <f t="shared" si="39"/>
        <v>0.26905089156141437</v>
      </c>
      <c r="K137" s="12">
        <f t="shared" si="40"/>
        <v>0.29582819559889539</v>
      </c>
      <c r="L137" s="12">
        <f t="shared" si="22"/>
        <v>0.18837028721317051</v>
      </c>
      <c r="M137" s="12">
        <f t="shared" si="23"/>
        <v>8.0346656832435581E-2</v>
      </c>
      <c r="N137" s="12">
        <f t="shared" si="24"/>
        <v>2.5468891659638726E-2</v>
      </c>
      <c r="O137" s="12">
        <f t="shared" si="25"/>
        <v>6.468289356165835E-3</v>
      </c>
      <c r="P137" s="12">
        <f t="shared" si="26"/>
        <v>1.3908534192150768E-3</v>
      </c>
      <c r="Q137" s="12">
        <f t="shared" si="27"/>
        <v>2.6383811986196992E-4</v>
      </c>
      <c r="R137" s="12">
        <f t="shared" si="28"/>
        <v>4.5543282071180968E-5</v>
      </c>
      <c r="S137" s="12">
        <f t="shared" si="29"/>
        <v>7.3252272347890113E-6</v>
      </c>
      <c r="T137" s="12">
        <f t="shared" si="30"/>
        <v>1.1180417847089785E-6</v>
      </c>
      <c r="U137" s="12">
        <f t="shared" si="31"/>
        <v>1.6425182336465838E-7</v>
      </c>
      <c r="V137" s="12">
        <f t="shared" si="32"/>
        <v>2.7316002682020724E-8</v>
      </c>
    </row>
    <row r="138" spans="1:22">
      <c r="A138" s="34">
        <v>3.3</v>
      </c>
      <c r="B138" s="12">
        <v>0</v>
      </c>
      <c r="C138" s="12">
        <f t="shared" si="21"/>
        <v>2.824487441144723E-34</v>
      </c>
      <c r="D138" s="12">
        <f t="shared" si="33"/>
        <v>2.7364104436192516E-18</v>
      </c>
      <c r="E138" s="12">
        <f t="shared" si="34"/>
        <v>1.2079361560062357E-10</v>
      </c>
      <c r="F138" s="12">
        <f t="shared" si="35"/>
        <v>4.3585286422353347E-7</v>
      </c>
      <c r="G138" s="12">
        <f t="shared" si="36"/>
        <v>2.4789218785614686E-4</v>
      </c>
      <c r="H138" s="12">
        <f t="shared" si="37"/>
        <v>1.0603349774105819E-2</v>
      </c>
      <c r="I138" s="12">
        <f t="shared" si="38"/>
        <v>8.8765322912767841E-2</v>
      </c>
      <c r="J138" s="12">
        <f t="shared" si="39"/>
        <v>0.24420554092217672</v>
      </c>
      <c r="K138" s="12">
        <f t="shared" si="40"/>
        <v>0.30391135487423571</v>
      </c>
      <c r="L138" s="12">
        <f t="shared" si="22"/>
        <v>0.21232965926001435</v>
      </c>
      <c r="M138" s="12">
        <f t="shared" si="23"/>
        <v>9.6943066935064826E-2</v>
      </c>
      <c r="N138" s="12">
        <f t="shared" si="24"/>
        <v>3.2249880609072079E-2</v>
      </c>
      <c r="O138" s="12">
        <f t="shared" si="25"/>
        <v>8.460295283515773E-3</v>
      </c>
      <c r="P138" s="12">
        <f t="shared" si="26"/>
        <v>1.855178095060861E-3</v>
      </c>
      <c r="Q138" s="12">
        <f t="shared" si="27"/>
        <v>3.5515293769039502E-4</v>
      </c>
      <c r="R138" s="12">
        <f t="shared" si="28"/>
        <v>6.1341919742718964E-5</v>
      </c>
      <c r="S138" s="12">
        <f t="shared" si="29"/>
        <v>9.8025517344391133E-6</v>
      </c>
      <c r="T138" s="12">
        <f t="shared" si="30"/>
        <v>1.477781700454095E-6</v>
      </c>
      <c r="U138" s="12">
        <f t="shared" si="31"/>
        <v>2.1338578204410652E-7</v>
      </c>
      <c r="V138" s="12">
        <f t="shared" si="32"/>
        <v>3.4595821984950703E-8</v>
      </c>
    </row>
    <row r="139" spans="1:22">
      <c r="A139" s="35">
        <v>3.4</v>
      </c>
      <c r="B139" s="12">
        <v>0</v>
      </c>
      <c r="C139" s="12">
        <f t="shared" si="21"/>
        <v>2.3413889379144568E-36</v>
      </c>
      <c r="D139" s="12">
        <f t="shared" si="33"/>
        <v>1.608623308048538E-19</v>
      </c>
      <c r="E139" s="12">
        <f t="shared" si="34"/>
        <v>1.980236814927837E-11</v>
      </c>
      <c r="F139" s="12">
        <f t="shared" si="35"/>
        <v>1.2052742135292165E-7</v>
      </c>
      <c r="G139" s="12">
        <f t="shared" si="36"/>
        <v>1.0735980372559706E-4</v>
      </c>
      <c r="H139" s="12">
        <f t="shared" si="37"/>
        <v>6.2657685124898332E-3</v>
      </c>
      <c r="I139" s="12">
        <f t="shared" si="38"/>
        <v>6.584953536887217E-2</v>
      </c>
      <c r="J139" s="12">
        <f t="shared" si="39"/>
        <v>0.21527557821161225</v>
      </c>
      <c r="K139" s="12">
        <f t="shared" si="40"/>
        <v>0.30565189124168957</v>
      </c>
      <c r="L139" s="12">
        <f t="shared" si="22"/>
        <v>0.23594832879039862</v>
      </c>
      <c r="M139" s="12">
        <f t="shared" si="23"/>
        <v>0.11602034300290032</v>
      </c>
      <c r="N139" s="12">
        <f t="shared" si="24"/>
        <v>4.072297112433354E-2</v>
      </c>
      <c r="O139" s="12">
        <f t="shared" si="25"/>
        <v>1.1086765592116077E-2</v>
      </c>
      <c r="P139" s="12">
        <f t="shared" si="26"/>
        <v>2.4893585971403898E-3</v>
      </c>
      <c r="Q139" s="12">
        <f t="shared" si="27"/>
        <v>4.8266392697660088E-4</v>
      </c>
      <c r="R139" s="12">
        <f t="shared" si="28"/>
        <v>8.3676986869840597E-5</v>
      </c>
      <c r="S139" s="12">
        <f t="shared" si="29"/>
        <v>1.3322107353386237E-5</v>
      </c>
      <c r="T139" s="12">
        <f t="shared" si="30"/>
        <v>1.9885491443494274E-6</v>
      </c>
      <c r="U139" s="12">
        <f t="shared" si="31"/>
        <v>2.8283206821022588E-7</v>
      </c>
      <c r="V139" s="12">
        <f t="shared" si="32"/>
        <v>4.4805085530619237E-8</v>
      </c>
    </row>
    <row r="140" spans="1:22">
      <c r="A140" s="34">
        <v>3.5</v>
      </c>
      <c r="B140" s="12">
        <v>0</v>
      </c>
      <c r="C140" s="12">
        <f t="shared" si="21"/>
        <v>1.50366484881224E-38</v>
      </c>
      <c r="D140" s="12">
        <f t="shared" si="33"/>
        <v>7.9630702305120814E-21</v>
      </c>
      <c r="E140" s="12">
        <f t="shared" si="34"/>
        <v>2.8669683470833189E-12</v>
      </c>
      <c r="F140" s="12">
        <f t="shared" si="35"/>
        <v>3.0218697383724031E-8</v>
      </c>
      <c r="G140" s="12">
        <f t="shared" si="36"/>
        <v>4.3199956064287151E-5</v>
      </c>
      <c r="H140" s="12">
        <f t="shared" si="37"/>
        <v>3.5013605088770605E-3</v>
      </c>
      <c r="I140" s="12">
        <f t="shared" si="38"/>
        <v>4.6796239906555681E-2</v>
      </c>
      <c r="J140" s="12">
        <f t="shared" si="39"/>
        <v>0.1836888456785849</v>
      </c>
      <c r="K140" s="12">
        <f t="shared" si="40"/>
        <v>0.30021993974432037</v>
      </c>
      <c r="L140" s="12">
        <f t="shared" si="22"/>
        <v>0.25809558618541772</v>
      </c>
      <c r="M140" s="12">
        <f t="shared" si="23"/>
        <v>0.13763547452249747</v>
      </c>
      <c r="N140" s="12">
        <f t="shared" si="24"/>
        <v>5.1284801903269006E-2</v>
      </c>
      <c r="O140" s="12">
        <f t="shared" si="25"/>
        <v>1.4568035999753315E-2</v>
      </c>
      <c r="P140" s="12">
        <f t="shared" si="26"/>
        <v>3.365317272463475E-3</v>
      </c>
      <c r="Q140" s="12">
        <f t="shared" si="27"/>
        <v>6.6363492525067791E-4</v>
      </c>
      <c r="R140" s="12">
        <f t="shared" si="28"/>
        <v>1.1590947375528238E-4</v>
      </c>
      <c r="S140" s="12">
        <f t="shared" si="29"/>
        <v>1.8445870450967128E-5</v>
      </c>
      <c r="T140" s="12">
        <f t="shared" si="30"/>
        <v>2.7341701650529515E-6</v>
      </c>
      <c r="U140" s="12">
        <f t="shared" si="31"/>
        <v>3.8405104496597176E-7</v>
      </c>
      <c r="V140" s="12">
        <f t="shared" si="32"/>
        <v>5.9609965408213839E-8</v>
      </c>
    </row>
    <row r="141" spans="1:22">
      <c r="A141" s="35">
        <v>3.6</v>
      </c>
      <c r="B141" s="12">
        <v>0</v>
      </c>
      <c r="C141" s="12">
        <f t="shared" si="21"/>
        <v>7.2894146258703848E-41</v>
      </c>
      <c r="D141" s="12">
        <f t="shared" si="33"/>
        <v>3.2573107601868741E-22</v>
      </c>
      <c r="E141" s="12">
        <f t="shared" si="34"/>
        <v>3.6129284841201386E-13</v>
      </c>
      <c r="F141" s="12">
        <f t="shared" si="35"/>
        <v>6.7876879314242828E-9</v>
      </c>
      <c r="G141" s="12">
        <f t="shared" si="36"/>
        <v>1.5999272679155348E-5</v>
      </c>
      <c r="H141" s="12">
        <f t="shared" si="37"/>
        <v>1.8368783039639514E-3</v>
      </c>
      <c r="I141" s="12">
        <f t="shared" si="38"/>
        <v>3.1682287198328662E-2</v>
      </c>
      <c r="J141" s="12">
        <f t="shared" si="39"/>
        <v>0.15107468491241627</v>
      </c>
      <c r="K141" s="12">
        <f t="shared" si="40"/>
        <v>0.28710251340951631</v>
      </c>
      <c r="L141" s="12">
        <f t="shared" si="22"/>
        <v>0.27732511119609704</v>
      </c>
      <c r="M141" s="12">
        <f t="shared" si="23"/>
        <v>0.16165748514289013</v>
      </c>
      <c r="N141" s="12">
        <f t="shared" si="24"/>
        <v>6.4393220285024921E-2</v>
      </c>
      <c r="O141" s="12">
        <f t="shared" si="25"/>
        <v>1.9203705619819322E-2</v>
      </c>
      <c r="P141" s="12">
        <f t="shared" si="26"/>
        <v>4.5891651637168795E-3</v>
      </c>
      <c r="Q141" s="12">
        <f t="shared" si="27"/>
        <v>9.2490917460563704E-4</v>
      </c>
      <c r="R141" s="12">
        <f t="shared" si="28"/>
        <v>1.6345703908893228E-4</v>
      </c>
      <c r="S141" s="12">
        <f t="shared" si="29"/>
        <v>2.610258660151743E-5</v>
      </c>
      <c r="T141" s="12">
        <f t="shared" si="30"/>
        <v>3.855537865193881E-6</v>
      </c>
      <c r="U141" s="12">
        <f t="shared" si="31"/>
        <v>5.3651128761877942E-7</v>
      </c>
      <c r="V141" s="12">
        <f t="shared" si="32"/>
        <v>8.1858049227889751E-8</v>
      </c>
    </row>
    <row r="142" spans="1:22">
      <c r="A142" s="34">
        <v>3.7</v>
      </c>
      <c r="B142" s="12">
        <v>0</v>
      </c>
      <c r="C142" s="12">
        <f t="shared" si="21"/>
        <v>2.5905779142758108E-43</v>
      </c>
      <c r="D142" s="12">
        <f t="shared" si="33"/>
        <v>1.0776463501599234E-23</v>
      </c>
      <c r="E142" s="12">
        <f t="shared" si="34"/>
        <v>3.8977225725402576E-14</v>
      </c>
      <c r="F142" s="12">
        <f t="shared" si="35"/>
        <v>1.3472315149940316E-9</v>
      </c>
      <c r="G142" s="12">
        <f t="shared" si="36"/>
        <v>5.3942186582197124E-6</v>
      </c>
      <c r="H142" s="12">
        <f t="shared" si="37"/>
        <v>8.9695932018085678E-4</v>
      </c>
      <c r="I142" s="12">
        <f t="shared" si="38"/>
        <v>2.029915981653807E-2</v>
      </c>
      <c r="J142" s="12">
        <f t="shared" si="39"/>
        <v>0.11914569711400624</v>
      </c>
      <c r="K142" s="12">
        <f t="shared" si="40"/>
        <v>0.26626431347654567</v>
      </c>
      <c r="L142" s="12">
        <f t="shared" si="22"/>
        <v>0.29188941817230374</v>
      </c>
      <c r="M142" s="12">
        <f t="shared" si="23"/>
        <v>0.18765177989898019</v>
      </c>
      <c r="N142" s="12">
        <f t="shared" si="24"/>
        <v>8.054374590151081E-2</v>
      </c>
      <c r="O142" s="12">
        <f t="shared" si="25"/>
        <v>2.5396944288544221E-2</v>
      </c>
      <c r="P142" s="12">
        <f t="shared" si="26"/>
        <v>6.3182103037050519E-3</v>
      </c>
      <c r="Q142" s="12">
        <f t="shared" si="27"/>
        <v>1.3087956078142726E-3</v>
      </c>
      <c r="R142" s="12">
        <f t="shared" si="28"/>
        <v>2.3522766733863332E-4</v>
      </c>
      <c r="S142" s="12">
        <f t="shared" si="29"/>
        <v>3.7865571857698122E-5</v>
      </c>
      <c r="T142" s="12">
        <f t="shared" si="30"/>
        <v>5.5963458769348051E-6</v>
      </c>
      <c r="U142" s="12">
        <f t="shared" si="31"/>
        <v>7.7435930501135175E-7</v>
      </c>
      <c r="V142" s="12">
        <f t="shared" si="32"/>
        <v>1.1658956389215547E-7</v>
      </c>
    </row>
    <row r="143" spans="1:22">
      <c r="A143" s="35">
        <v>3.8</v>
      </c>
      <c r="B143" s="12">
        <v>0</v>
      </c>
      <c r="C143" s="12">
        <f t="shared" si="21"/>
        <v>6.5312926879350731E-46</v>
      </c>
      <c r="D143" s="12">
        <f t="shared" si="33"/>
        <v>2.8143973933355599E-25</v>
      </c>
      <c r="E143" s="12">
        <f t="shared" si="34"/>
        <v>3.5321807014289214E-15</v>
      </c>
      <c r="F143" s="12">
        <f t="shared" si="35"/>
        <v>2.3257528185905219E-10</v>
      </c>
      <c r="G143" s="12">
        <f t="shared" si="36"/>
        <v>1.6347075631228405E-6</v>
      </c>
      <c r="H143" s="12">
        <f t="shared" si="37"/>
        <v>4.0356941892139009E-4</v>
      </c>
      <c r="I143" s="12">
        <f t="shared" si="38"/>
        <v>1.2210671899512637E-2</v>
      </c>
      <c r="J143" s="12">
        <f t="shared" si="39"/>
        <v>8.9540096173005512E-2</v>
      </c>
      <c r="K143" s="12">
        <f t="shared" si="40"/>
        <v>0.23830884811724729</v>
      </c>
      <c r="L143" s="12">
        <f t="shared" si="22"/>
        <v>0.29982862470348182</v>
      </c>
      <c r="M143" s="12">
        <f t="shared" si="23"/>
        <v>0.21473289900032877</v>
      </c>
      <c r="N143" s="12">
        <f t="shared" si="24"/>
        <v>0.10021223078119768</v>
      </c>
      <c r="O143" s="12">
        <f t="shared" si="25"/>
        <v>3.3680272588844318E-2</v>
      </c>
      <c r="P143" s="12">
        <f t="shared" si="26"/>
        <v>8.7860043976981661E-3</v>
      </c>
      <c r="Q143" s="12">
        <f t="shared" si="27"/>
        <v>1.8827963306442541E-3</v>
      </c>
      <c r="R143" s="12">
        <f t="shared" si="28"/>
        <v>3.4615917330360624E-4</v>
      </c>
      <c r="S143" s="12">
        <f t="shared" si="29"/>
        <v>5.6468823641075971E-5</v>
      </c>
      <c r="T143" s="12">
        <f t="shared" si="30"/>
        <v>8.3910143091614486E-6</v>
      </c>
      <c r="U143" s="12">
        <f t="shared" si="31"/>
        <v>1.1595675561970609E-6</v>
      </c>
      <c r="V143" s="12">
        <f t="shared" si="32"/>
        <v>1.7307016619838578E-7</v>
      </c>
    </row>
    <row r="144" spans="1:22">
      <c r="A144" s="34">
        <v>3.9</v>
      </c>
      <c r="B144" s="12">
        <v>0</v>
      </c>
      <c r="C144" s="12">
        <f t="shared" si="21"/>
        <v>1.1259449122874266E-48</v>
      </c>
      <c r="D144" s="12">
        <f t="shared" si="33"/>
        <v>5.6451278461020169E-27</v>
      </c>
      <c r="E144" s="12">
        <f t="shared" si="34"/>
        <v>2.6313697490128232E-16</v>
      </c>
      <c r="F144" s="12">
        <f t="shared" si="35"/>
        <v>3.4293415544707396E-11</v>
      </c>
      <c r="G144" s="12">
        <f t="shared" si="36"/>
        <v>4.3877461330975985E-7</v>
      </c>
      <c r="H144" s="12">
        <f t="shared" si="37"/>
        <v>1.6533457824596809E-4</v>
      </c>
      <c r="I144" s="12">
        <f t="shared" si="38"/>
        <v>6.8311307579551617E-3</v>
      </c>
      <c r="J144" s="12">
        <f t="shared" si="39"/>
        <v>6.3638971913748232E-2</v>
      </c>
      <c r="K144" s="12">
        <f t="shared" si="40"/>
        <v>0.2045965474307212</v>
      </c>
      <c r="L144" s="12">
        <f t="shared" si="22"/>
        <v>0.29917079844708916</v>
      </c>
      <c r="M144" s="12">
        <f t="shared" si="23"/>
        <v>0.24140151211997085</v>
      </c>
      <c r="N144" s="12">
        <f t="shared" si="24"/>
        <v>0.12374236520089366</v>
      </c>
      <c r="O144" s="12">
        <f t="shared" si="25"/>
        <v>4.4735376646857672E-2</v>
      </c>
      <c r="P144" s="12">
        <f t="shared" si="26"/>
        <v>1.2338154859219963E-2</v>
      </c>
      <c r="Q144" s="12">
        <f t="shared" si="27"/>
        <v>2.7556861188684501E-3</v>
      </c>
      <c r="R144" s="12">
        <f t="shared" si="28"/>
        <v>5.2177918067541906E-4</v>
      </c>
      <c r="S144" s="12">
        <f t="shared" si="29"/>
        <v>8.6787485381378815E-5</v>
      </c>
      <c r="T144" s="12">
        <f t="shared" si="30"/>
        <v>1.3038675389820398E-5</v>
      </c>
      <c r="U144" s="12">
        <f t="shared" si="31"/>
        <v>1.808737742248212E-6</v>
      </c>
      <c r="V144" s="12">
        <f t="shared" si="32"/>
        <v>2.6903833383329356E-7</v>
      </c>
    </row>
    <row r="145" spans="1:22">
      <c r="A145" s="35">
        <v>4</v>
      </c>
      <c r="B145" s="12">
        <v>0</v>
      </c>
      <c r="C145" s="12">
        <f t="shared" si="21"/>
        <v>1.2737159098826926E-51</v>
      </c>
      <c r="D145" s="12">
        <f t="shared" si="33"/>
        <v>8.4316027167539911E-29</v>
      </c>
      <c r="E145" s="12">
        <f t="shared" si="34"/>
        <v>1.5724592747381142E-17</v>
      </c>
      <c r="F145" s="12">
        <f t="shared" si="35"/>
        <v>4.2303904195530411E-12</v>
      </c>
      <c r="G145" s="12">
        <f t="shared" si="36"/>
        <v>1.0255522653665405E-7</v>
      </c>
      <c r="H145" s="12">
        <f t="shared" si="37"/>
        <v>6.0826032312040003E-5</v>
      </c>
      <c r="I145" s="12">
        <f t="shared" si="38"/>
        <v>3.5145813321026953E-3</v>
      </c>
      <c r="J145" s="12">
        <f t="shared" si="39"/>
        <v>4.2389189720023923E-2</v>
      </c>
      <c r="K145" s="12">
        <f t="shared" si="40"/>
        <v>0.16725882419813798</v>
      </c>
      <c r="L145" s="12">
        <f t="shared" si="22"/>
        <v>0.2882721121434445</v>
      </c>
      <c r="M145" s="12">
        <f t="shared" si="23"/>
        <v>0.26540813891934989</v>
      </c>
      <c r="N145" s="12">
        <f t="shared" si="24"/>
        <v>0.15115238787579344</v>
      </c>
      <c r="O145" s="12">
        <f t="shared" si="25"/>
        <v>5.9390374949589875E-2</v>
      </c>
      <c r="P145" s="12">
        <f t="shared" si="26"/>
        <v>1.7480887431314263E-2</v>
      </c>
      <c r="Q145" s="12">
        <f t="shared" si="27"/>
        <v>4.1039096187398538E-3</v>
      </c>
      <c r="R145" s="12">
        <f t="shared" si="28"/>
        <v>8.0647830792923703E-4</v>
      </c>
      <c r="S145" s="12">
        <f t="shared" si="29"/>
        <v>1.3773982403475493E-4</v>
      </c>
      <c r="T145" s="12">
        <f t="shared" si="30"/>
        <v>2.1057443840177825E-5</v>
      </c>
      <c r="U145" s="12">
        <f t="shared" si="31"/>
        <v>2.9496972702158786E-6</v>
      </c>
      <c r="V145" s="12">
        <f t="shared" si="32"/>
        <v>4.3994666021340834E-7</v>
      </c>
    </row>
    <row r="146" spans="1:22">
      <c r="A146" s="34">
        <v>4.0999999999999996</v>
      </c>
      <c r="B146" s="12">
        <v>0</v>
      </c>
      <c r="C146" s="12">
        <f t="shared" si="21"/>
        <v>9.0301419830943475E-55</v>
      </c>
      <c r="D146" s="12">
        <f t="shared" si="33"/>
        <v>9.0567691823998755E-31</v>
      </c>
      <c r="E146" s="12">
        <f t="shared" si="34"/>
        <v>7.3308996177567718E-19</v>
      </c>
      <c r="F146" s="12">
        <f t="shared" si="35"/>
        <v>4.2637973516757741E-13</v>
      </c>
      <c r="G146" s="12">
        <f t="shared" si="36"/>
        <v>2.0469096691327407E-8</v>
      </c>
      <c r="H146" s="12">
        <f t="shared" si="37"/>
        <v>1.9773521431236986E-5</v>
      </c>
      <c r="I146" s="12">
        <f t="shared" si="38"/>
        <v>1.6411337500208401E-3</v>
      </c>
      <c r="J146" s="12">
        <f t="shared" si="39"/>
        <v>2.6176388274228524E-2</v>
      </c>
      <c r="K146" s="12">
        <f t="shared" si="40"/>
        <v>0.12904346727618821</v>
      </c>
      <c r="L146" s="12">
        <f t="shared" si="22"/>
        <v>0.26629018937510884</v>
      </c>
      <c r="M146" s="12">
        <f t="shared" si="23"/>
        <v>0.2837254383794503</v>
      </c>
      <c r="N146" s="12">
        <f t="shared" si="24"/>
        <v>0.18184029196658147</v>
      </c>
      <c r="O146" s="12">
        <f t="shared" si="25"/>
        <v>7.856261641657647E-2</v>
      </c>
      <c r="P146" s="12">
        <f t="shared" si="26"/>
        <v>2.4940646011850531E-2</v>
      </c>
      <c r="Q146" s="12">
        <f t="shared" si="27"/>
        <v>6.2141547460391466E-3</v>
      </c>
      <c r="R146" s="12">
        <f t="shared" si="28"/>
        <v>1.278602508560267E-3</v>
      </c>
      <c r="S146" s="12">
        <f t="shared" si="29"/>
        <v>2.2604592253416822E-4</v>
      </c>
      <c r="T146" s="12">
        <f t="shared" si="30"/>
        <v>3.5426186798859227E-5</v>
      </c>
      <c r="U146" s="12">
        <f t="shared" si="31"/>
        <v>5.04526462241639E-6</v>
      </c>
      <c r="V146" s="12">
        <f t="shared" si="32"/>
        <v>7.5993048564981791E-7</v>
      </c>
    </row>
    <row r="147" spans="1:22">
      <c r="A147" s="35">
        <v>4.2</v>
      </c>
      <c r="B147" s="12">
        <v>0</v>
      </c>
      <c r="C147" s="12">
        <f t="shared" si="21"/>
        <v>3.8115135044861855E-58</v>
      </c>
      <c r="D147" s="12">
        <f t="shared" si="33"/>
        <v>6.7275670258192317E-33</v>
      </c>
      <c r="E147" s="12">
        <f t="shared" si="34"/>
        <v>2.5836361836819536E-20</v>
      </c>
      <c r="F147" s="12">
        <f t="shared" si="35"/>
        <v>3.4177877064110937E-14</v>
      </c>
      <c r="G147" s="12">
        <f t="shared" si="36"/>
        <v>3.4111789493133432E-9</v>
      </c>
      <c r="H147" s="12">
        <f t="shared" si="37"/>
        <v>5.574409616644657E-6</v>
      </c>
      <c r="I147" s="12">
        <f t="shared" si="38"/>
        <v>6.8477966054769634E-4</v>
      </c>
      <c r="J147" s="12">
        <f t="shared" si="39"/>
        <v>1.4794160089673269E-2</v>
      </c>
      <c r="K147" s="12">
        <f t="shared" si="40"/>
        <v>9.2953782000724905E-2</v>
      </c>
      <c r="L147" s="12">
        <f t="shared" si="22"/>
        <v>0.23371358994680957</v>
      </c>
      <c r="M147" s="12">
        <f t="shared" si="23"/>
        <v>0.29275343331506809</v>
      </c>
      <c r="N147" s="12">
        <f t="shared" si="24"/>
        <v>0.21419460714416039</v>
      </c>
      <c r="O147" s="12">
        <f t="shared" si="25"/>
        <v>0.1030935018374366</v>
      </c>
      <c r="P147" s="12">
        <f t="shared" si="26"/>
        <v>3.5722579534993137E-2</v>
      </c>
      <c r="Q147" s="12">
        <f t="shared" si="27"/>
        <v>9.5496438777796788E-3</v>
      </c>
      <c r="R147" s="12">
        <f t="shared" si="28"/>
        <v>2.0779348549674337E-3</v>
      </c>
      <c r="S147" s="12">
        <f t="shared" si="29"/>
        <v>3.8376624763380995E-4</v>
      </c>
      <c r="T147" s="12">
        <f t="shared" si="30"/>
        <v>6.2178690483305488E-5</v>
      </c>
      <c r="U147" s="12">
        <f t="shared" si="31"/>
        <v>9.0735014496301503E-6</v>
      </c>
      <c r="V147" s="12">
        <f t="shared" si="32"/>
        <v>1.3914774427137289E-6</v>
      </c>
    </row>
    <row r="148" spans="1:22">
      <c r="A148" s="34">
        <v>4.3</v>
      </c>
      <c r="B148" s="12">
        <v>0</v>
      </c>
      <c r="C148" s="12">
        <f t="shared" si="21"/>
        <v>9.0454725765050155E-62</v>
      </c>
      <c r="D148" s="12">
        <f t="shared" si="33"/>
        <v>3.3071630419731202E-35</v>
      </c>
      <c r="E148" s="12">
        <f t="shared" si="34"/>
        <v>6.6421944053507699E-22</v>
      </c>
      <c r="F148" s="12">
        <f t="shared" si="35"/>
        <v>2.1129338192891968E-15</v>
      </c>
      <c r="G148" s="12">
        <f t="shared" si="36"/>
        <v>4.6256221569369465E-10</v>
      </c>
      <c r="H148" s="12">
        <f t="shared" si="37"/>
        <v>1.3334674643288203E-6</v>
      </c>
      <c r="I148" s="12">
        <f t="shared" si="38"/>
        <v>2.5070667075921538E-4</v>
      </c>
      <c r="J148" s="12">
        <f t="shared" si="39"/>
        <v>7.5362516333303819E-3</v>
      </c>
      <c r="K148" s="12">
        <f t="shared" si="40"/>
        <v>6.1712816655367098E-2</v>
      </c>
      <c r="L148" s="12">
        <f t="shared" si="22"/>
        <v>0.19277123755774583</v>
      </c>
      <c r="M148" s="12">
        <f t="shared" si="23"/>
        <v>0.28889760850516655</v>
      </c>
      <c r="N148" s="12">
        <f t="shared" si="24"/>
        <v>0.24518773690087892</v>
      </c>
      <c r="O148" s="12">
        <f t="shared" si="25"/>
        <v>0.13340081215367483</v>
      </c>
      <c r="P148" s="12">
        <f t="shared" si="26"/>
        <v>5.1132246544152049E-2</v>
      </c>
      <c r="Q148" s="12">
        <f t="shared" si="27"/>
        <v>1.4846791900960388E-2</v>
      </c>
      <c r="R148" s="12">
        <f t="shared" si="28"/>
        <v>3.4550977976198771E-3</v>
      </c>
      <c r="S148" s="12">
        <f t="shared" si="29"/>
        <v>6.7355821227010892E-4</v>
      </c>
      <c r="T148" s="12">
        <f t="shared" si="30"/>
        <v>1.1390934504773575E-4</v>
      </c>
      <c r="U148" s="12">
        <f t="shared" si="31"/>
        <v>1.7183906437789886E-5</v>
      </c>
      <c r="V148" s="12">
        <f t="shared" si="32"/>
        <v>2.7082865605709827E-6</v>
      </c>
    </row>
    <row r="149" spans="1:22">
      <c r="A149" s="35">
        <v>4.4000000000000004</v>
      </c>
      <c r="B149" s="12">
        <v>0</v>
      </c>
      <c r="C149" s="12">
        <f t="shared" si="21"/>
        <v>1.1324045275092948E-65</v>
      </c>
      <c r="D149" s="12">
        <f t="shared" si="33"/>
        <v>1.0240139345634852E-37</v>
      </c>
      <c r="E149" s="12">
        <f t="shared" si="34"/>
        <v>1.1963954622512039E-23</v>
      </c>
      <c r="F149" s="12">
        <f t="shared" si="35"/>
        <v>9.728326217269486E-17</v>
      </c>
      <c r="G149" s="12">
        <f t="shared" si="36"/>
        <v>4.9549950547790573E-11</v>
      </c>
      <c r="H149" s="12">
        <f t="shared" si="37"/>
        <v>2.6393002512798672E-7</v>
      </c>
      <c r="I149" s="12">
        <f t="shared" si="38"/>
        <v>7.8831483922981946E-5</v>
      </c>
      <c r="J149" s="12">
        <f t="shared" si="39"/>
        <v>3.3981376375431527E-3</v>
      </c>
      <c r="K149" s="12">
        <f t="shared" si="40"/>
        <v>3.7183996373000627E-2</v>
      </c>
      <c r="L149" s="12">
        <f t="shared" si="22"/>
        <v>0.14746118765791461</v>
      </c>
      <c r="M149" s="12">
        <f t="shared" si="23"/>
        <v>0.26959173636167788</v>
      </c>
      <c r="N149" s="12">
        <f t="shared" si="24"/>
        <v>0.27015420719258254</v>
      </c>
      <c r="O149" s="12">
        <f t="shared" si="25"/>
        <v>0.16887707489021397</v>
      </c>
      <c r="P149" s="12">
        <f t="shared" si="26"/>
        <v>7.268072477294607E-2</v>
      </c>
      <c r="Q149" s="12">
        <f t="shared" si="27"/>
        <v>2.3239036953590642E-2</v>
      </c>
      <c r="R149" s="12">
        <f t="shared" si="28"/>
        <v>5.8577236837721314E-3</v>
      </c>
      <c r="S149" s="12">
        <f t="shared" si="29"/>
        <v>1.2195628628653976E-3</v>
      </c>
      <c r="T149" s="12">
        <f t="shared" si="30"/>
        <v>2.1762200366570728E-4</v>
      </c>
      <c r="U149" s="12">
        <f t="shared" si="31"/>
        <v>3.4281764194066255E-5</v>
      </c>
      <c r="V149" s="12">
        <f t="shared" si="32"/>
        <v>5.6123825350473666E-6</v>
      </c>
    </row>
    <row r="150" spans="1:22">
      <c r="A150" s="34">
        <v>4.5</v>
      </c>
      <c r="B150" s="12">
        <v>0</v>
      </c>
      <c r="C150" s="12">
        <f t="shared" si="21"/>
        <v>6.9655455666713566E-70</v>
      </c>
      <c r="D150" s="12">
        <f t="shared" si="33"/>
        <v>1.8893711733857201E-40</v>
      </c>
      <c r="E150" s="12">
        <f t="shared" si="34"/>
        <v>1.4424705501454407E-25</v>
      </c>
      <c r="F150" s="12">
        <f t="shared" si="35"/>
        <v>3.2057972095918001E-18</v>
      </c>
      <c r="G150" s="12">
        <f t="shared" si="36"/>
        <v>4.0531579361925604E-12</v>
      </c>
      <c r="H150" s="12">
        <f t="shared" si="37"/>
        <v>4.1981610680679031E-8</v>
      </c>
      <c r="I150" s="12">
        <f t="shared" si="38"/>
        <v>2.0762947292799943E-5</v>
      </c>
      <c r="J150" s="12">
        <f t="shared" si="39"/>
        <v>1.3275589332837345E-3</v>
      </c>
      <c r="K150" s="12">
        <f t="shared" si="40"/>
        <v>1.9962450271537202E-2</v>
      </c>
      <c r="L150" s="12">
        <f t="shared" si="22"/>
        <v>0.10295681050996575</v>
      </c>
      <c r="M150" s="12">
        <f t="shared" si="23"/>
        <v>0.23462145619464825</v>
      </c>
      <c r="N150" s="12">
        <f t="shared" si="24"/>
        <v>0.28311128601389479</v>
      </c>
      <c r="O150" s="12">
        <f t="shared" si="25"/>
        <v>0.20704130454057612</v>
      </c>
      <c r="P150" s="12">
        <f t="shared" si="26"/>
        <v>0.10172827806463602</v>
      </c>
      <c r="Q150" s="12">
        <f t="shared" si="27"/>
        <v>3.6371972182144274E-2</v>
      </c>
      <c r="R150" s="12">
        <f t="shared" si="28"/>
        <v>1.0072113546646499E-2</v>
      </c>
      <c r="S150" s="12">
        <f t="shared" si="29"/>
        <v>2.2691400981915688E-3</v>
      </c>
      <c r="T150" s="12">
        <f t="shared" si="30"/>
        <v>4.3248403269002811E-4</v>
      </c>
      <c r="U150" s="12">
        <f t="shared" si="31"/>
        <v>7.1954245743133249E-5</v>
      </c>
      <c r="V150" s="12">
        <f t="shared" si="32"/>
        <v>1.2386433085986859E-5</v>
      </c>
    </row>
    <row r="151" spans="1:22">
      <c r="A151" s="35">
        <v>4.5999999999999996</v>
      </c>
      <c r="B151" s="12">
        <v>0</v>
      </c>
      <c r="C151" s="12">
        <f t="shared" si="21"/>
        <v>1.9450312335676643E-74</v>
      </c>
      <c r="D151" s="12">
        <f t="shared" si="33"/>
        <v>1.9518708621362601E-43</v>
      </c>
      <c r="E151" s="12">
        <f t="shared" si="34"/>
        <v>1.1056346077656767E-27</v>
      </c>
      <c r="F151" s="12">
        <f t="shared" si="35"/>
        <v>7.2268934232827396E-20</v>
      </c>
      <c r="G151" s="12">
        <f t="shared" si="36"/>
        <v>2.4352876517075336E-13</v>
      </c>
      <c r="H151" s="12">
        <f t="shared" si="37"/>
        <v>5.1888508943521619E-9</v>
      </c>
      <c r="I151" s="12">
        <f t="shared" si="38"/>
        <v>4.4489077413810326E-6</v>
      </c>
      <c r="J151" s="12">
        <f t="shared" si="39"/>
        <v>4.3815966701965525E-4</v>
      </c>
      <c r="K151" s="12">
        <f t="shared" si="40"/>
        <v>9.341943128058583E-3</v>
      </c>
      <c r="L151" s="12">
        <f t="shared" si="22"/>
        <v>6.4364624363827283E-2</v>
      </c>
      <c r="M151" s="12">
        <f t="shared" si="23"/>
        <v>0.18724244103695353</v>
      </c>
      <c r="N151" s="12">
        <f t="shared" si="24"/>
        <v>0.27804414187644511</v>
      </c>
      <c r="O151" s="12">
        <f t="shared" si="25"/>
        <v>0.24268112672331099</v>
      </c>
      <c r="P151" s="12">
        <f t="shared" si="26"/>
        <v>0.13866743727673425</v>
      </c>
      <c r="Q151" s="12">
        <f t="shared" si="27"/>
        <v>5.6395391897555269E-2</v>
      </c>
      <c r="R151" s="12">
        <f t="shared" si="28"/>
        <v>1.7430667954212442E-2</v>
      </c>
      <c r="S151" s="12">
        <f t="shared" si="29"/>
        <v>4.3122263170891628E-3</v>
      </c>
      <c r="T151" s="12">
        <f t="shared" si="30"/>
        <v>8.899336850339834E-4</v>
      </c>
      <c r="U151" s="12">
        <f t="shared" si="31"/>
        <v>1.583822800058643E-4</v>
      </c>
      <c r="V151" s="12">
        <f t="shared" si="32"/>
        <v>2.9069696918071486E-5</v>
      </c>
    </row>
    <row r="152" spans="1:22">
      <c r="A152" s="34">
        <v>4.7</v>
      </c>
      <c r="B152" s="12">
        <v>0</v>
      </c>
      <c r="C152" s="12">
        <f t="shared" si="21"/>
        <v>2.2575774217707436E-79</v>
      </c>
      <c r="D152" s="12">
        <f t="shared" si="33"/>
        <v>1.0528466709485492E-46</v>
      </c>
      <c r="E152" s="12">
        <f t="shared" si="34"/>
        <v>5.0825219660597723E-30</v>
      </c>
      <c r="F152" s="12">
        <f t="shared" si="35"/>
        <v>1.058716963574094E-21</v>
      </c>
      <c r="G152" s="12">
        <f t="shared" si="36"/>
        <v>1.0280231631945827E-14</v>
      </c>
      <c r="H152" s="12">
        <f t="shared" si="37"/>
        <v>4.7935155628183744E-10</v>
      </c>
      <c r="I152" s="12">
        <f t="shared" si="38"/>
        <v>7.4958069400647922E-7</v>
      </c>
      <c r="J152" s="12">
        <f t="shared" si="39"/>
        <v>1.1859663300062273E-4</v>
      </c>
      <c r="K152" s="12">
        <f t="shared" si="40"/>
        <v>3.7130829665832366E-3</v>
      </c>
      <c r="L152" s="12">
        <f t="shared" si="22"/>
        <v>3.5211980024855483E-2</v>
      </c>
      <c r="M152" s="12">
        <f t="shared" si="23"/>
        <v>0.13426508969846818</v>
      </c>
      <c r="N152" s="12">
        <f t="shared" si="24"/>
        <v>0.25130973302049642</v>
      </c>
      <c r="O152" s="12">
        <f t="shared" si="25"/>
        <v>0.26763386476701079</v>
      </c>
      <c r="P152" s="12">
        <f t="shared" si="26"/>
        <v>0.18151160175047765</v>
      </c>
      <c r="Q152" s="12">
        <f t="shared" si="27"/>
        <v>8.5574635937041177E-2</v>
      </c>
      <c r="R152" s="12">
        <f t="shared" si="28"/>
        <v>3.004521433382501E-2</v>
      </c>
      <c r="S152" s="12">
        <f t="shared" si="29"/>
        <v>8.2970205183460211E-3</v>
      </c>
      <c r="T152" s="12">
        <f t="shared" si="30"/>
        <v>1.882596434429562E-3</v>
      </c>
      <c r="U152" s="12">
        <f t="shared" si="31"/>
        <v>3.6355089679163122E-4</v>
      </c>
      <c r="V152" s="12">
        <f t="shared" si="32"/>
        <v>7.2282958618385962E-5</v>
      </c>
    </row>
    <row r="153" spans="1:22">
      <c r="A153" s="35">
        <v>4.8</v>
      </c>
      <c r="B153" s="12">
        <v>0</v>
      </c>
      <c r="C153" s="12">
        <f t="shared" si="21"/>
        <v>9.8736597166888498E-85</v>
      </c>
      <c r="D153" s="12">
        <f t="shared" si="33"/>
        <v>2.741655417198185E-50</v>
      </c>
      <c r="E153" s="12">
        <f t="shared" si="34"/>
        <v>1.3119402214278762E-32</v>
      </c>
      <c r="F153" s="12">
        <f t="shared" si="35"/>
        <v>9.507841117119141E-24</v>
      </c>
      <c r="G153" s="12">
        <f t="shared" si="36"/>
        <v>2.8977520868294339E-16</v>
      </c>
      <c r="H153" s="12">
        <f t="shared" si="37"/>
        <v>3.1649203347073418E-11</v>
      </c>
      <c r="I153" s="12">
        <f t="shared" si="38"/>
        <v>9.545528063507182E-8</v>
      </c>
      <c r="J153" s="12">
        <f t="shared" si="39"/>
        <v>2.5422207567528312E-5</v>
      </c>
      <c r="K153" s="12">
        <f t="shared" si="40"/>
        <v>1.2154251618082812E-3</v>
      </c>
      <c r="L153" s="12">
        <f t="shared" si="22"/>
        <v>1.640199414526855E-2</v>
      </c>
      <c r="M153" s="12">
        <f t="shared" si="23"/>
        <v>8.4409813689053759E-2</v>
      </c>
      <c r="N153" s="12">
        <f t="shared" si="24"/>
        <v>0.20448715420504315</v>
      </c>
      <c r="O153" s="12">
        <f t="shared" si="25"/>
        <v>0.27225283553293878</v>
      </c>
      <c r="P153" s="12">
        <f t="shared" si="26"/>
        <v>0.22415508788750227</v>
      </c>
      <c r="Q153" s="12">
        <f t="shared" si="27"/>
        <v>0.12510022505460228</v>
      </c>
      <c r="R153" s="12">
        <f t="shared" si="28"/>
        <v>5.0876701402950086E-2</v>
      </c>
      <c r="S153" s="12">
        <f t="shared" si="29"/>
        <v>1.5970756435883526E-2</v>
      </c>
      <c r="T153" s="12">
        <f t="shared" si="30"/>
        <v>4.0524810652895482E-3</v>
      </c>
      <c r="U153" s="12">
        <f t="shared" si="31"/>
        <v>8.6277627141262414E-4</v>
      </c>
      <c r="V153" s="12">
        <f t="shared" si="32"/>
        <v>1.8923145374949435E-4</v>
      </c>
    </row>
    <row r="154" spans="1:22">
      <c r="A154" s="34">
        <v>4.9000000000000004</v>
      </c>
      <c r="B154" s="12">
        <v>0</v>
      </c>
      <c r="C154" s="12">
        <f t="shared" si="21"/>
        <v>1.4586748758075623E-90</v>
      </c>
      <c r="D154" s="12">
        <f t="shared" si="33"/>
        <v>3.1563994758249125E-54</v>
      </c>
      <c r="E154" s="12">
        <f t="shared" si="34"/>
        <v>1.7652745054810533E-35</v>
      </c>
      <c r="F154" s="12">
        <f t="shared" si="35"/>
        <v>4.8987091673387168E-26</v>
      </c>
      <c r="G154" s="12">
        <f t="shared" si="36"/>
        <v>5.1460004267497983E-18</v>
      </c>
      <c r="H154" s="12">
        <f t="shared" si="37"/>
        <v>1.4184289492200049E-12</v>
      </c>
      <c r="I154" s="12">
        <f t="shared" si="38"/>
        <v>8.7750068250820961E-9</v>
      </c>
      <c r="J154" s="12">
        <f t="shared" si="39"/>
        <v>4.1426982452182072E-6</v>
      </c>
      <c r="K154" s="12">
        <f t="shared" si="40"/>
        <v>3.1593712561284182E-4</v>
      </c>
      <c r="L154" s="12">
        <f t="shared" si="22"/>
        <v>6.2967568509063598E-3</v>
      </c>
      <c r="M154" s="12">
        <f t="shared" si="23"/>
        <v>4.5178367841530176E-2</v>
      </c>
      <c r="N154" s="12">
        <f t="shared" si="24"/>
        <v>0.14584917953040166</v>
      </c>
      <c r="O154" s="12">
        <f t="shared" si="25"/>
        <v>0.2493510203740783</v>
      </c>
      <c r="P154" s="12">
        <f t="shared" si="26"/>
        <v>0.25549026024893928</v>
      </c>
      <c r="Q154" s="12">
        <f t="shared" si="27"/>
        <v>0.17273593438108581</v>
      </c>
      <c r="R154" s="12">
        <f t="shared" si="28"/>
        <v>8.3144381826167124E-2</v>
      </c>
      <c r="S154" s="12">
        <f t="shared" si="29"/>
        <v>3.0272354159778914E-2</v>
      </c>
      <c r="T154" s="12">
        <f t="shared" si="30"/>
        <v>8.753688680995797E-3</v>
      </c>
      <c r="U154" s="12">
        <f t="shared" si="31"/>
        <v>2.0913065106455964E-3</v>
      </c>
      <c r="V154" s="12">
        <f t="shared" si="32"/>
        <v>5.1666099518765662E-4</v>
      </c>
    </row>
    <row r="155" spans="1:22">
      <c r="A155" s="35">
        <v>5</v>
      </c>
      <c r="B155" s="12">
        <v>0</v>
      </c>
      <c r="C155" s="12">
        <f t="shared" si="21"/>
        <v>6.4446996065428193E-97</v>
      </c>
      <c r="D155" s="12">
        <f t="shared" si="33"/>
        <v>1.4555824304838736E-58</v>
      </c>
      <c r="E155" s="12">
        <f t="shared" si="34"/>
        <v>1.1383788766252725E-38</v>
      </c>
      <c r="F155" s="12">
        <f t="shared" si="35"/>
        <v>1.3431037037345326E-28</v>
      </c>
      <c r="G155" s="12">
        <f t="shared" si="36"/>
        <v>5.3873019347253381E-20</v>
      </c>
      <c r="H155" s="12">
        <f t="shared" si="37"/>
        <v>4.0666275920453873E-14</v>
      </c>
      <c r="I155" s="12">
        <f t="shared" si="38"/>
        <v>5.5212452621311553E-10</v>
      </c>
      <c r="J155" s="12">
        <f t="shared" si="39"/>
        <v>4.8921304030993633E-7</v>
      </c>
      <c r="K155" s="12">
        <f t="shared" si="40"/>
        <v>6.2473009533881019E-5</v>
      </c>
      <c r="L155" s="12">
        <f t="shared" si="22"/>
        <v>1.9166806016653881E-3</v>
      </c>
      <c r="M155" s="12">
        <f t="shared" si="23"/>
        <v>1.987615905004736E-2</v>
      </c>
      <c r="N155" s="12">
        <f t="shared" si="24"/>
        <v>8.8307070030479329E-2</v>
      </c>
      <c r="O155" s="12">
        <f t="shared" si="25"/>
        <v>0.19965882493241716</v>
      </c>
      <c r="P155" s="12">
        <f t="shared" si="26"/>
        <v>0.26162335496403244</v>
      </c>
      <c r="Q155" s="12">
        <f t="shared" si="27"/>
        <v>0.21979315908377084</v>
      </c>
      <c r="R155" s="12">
        <f t="shared" si="28"/>
        <v>0.12822236166515444</v>
      </c>
      <c r="S155" s="12">
        <f t="shared" si="29"/>
        <v>5.5365446829144238E-2</v>
      </c>
      <c r="T155" s="12">
        <f t="shared" si="30"/>
        <v>1.8628994501027285E-2</v>
      </c>
      <c r="U155" s="12">
        <f t="shared" si="31"/>
        <v>5.0930065995927754E-3</v>
      </c>
      <c r="V155" s="12">
        <f t="shared" si="32"/>
        <v>1.4519789679293682E-3</v>
      </c>
    </row>
    <row r="156" spans="1:22">
      <c r="A156" s="34">
        <v>5.0999999999999996</v>
      </c>
      <c r="B156" s="12">
        <v>0</v>
      </c>
      <c r="C156" s="12">
        <f t="shared" si="21"/>
        <v>7.4353229632880541E-104</v>
      </c>
      <c r="D156" s="12">
        <f t="shared" si="33"/>
        <v>2.4068469359067413E-63</v>
      </c>
      <c r="E156" s="12">
        <f t="shared" si="34"/>
        <v>3.199866414247717E-42</v>
      </c>
      <c r="F156" s="12">
        <f t="shared" si="35"/>
        <v>1.7992348665854953E-31</v>
      </c>
      <c r="G156" s="12">
        <f t="shared" si="36"/>
        <v>3.0818576467164394E-22</v>
      </c>
      <c r="H156" s="12">
        <f t="shared" si="37"/>
        <v>6.9670369680163523E-16</v>
      </c>
      <c r="I156" s="12">
        <f t="shared" si="38"/>
        <v>2.2356902179991308E-11</v>
      </c>
      <c r="J156" s="12">
        <f t="shared" si="39"/>
        <v>3.9592006487404976E-8</v>
      </c>
      <c r="K156" s="12">
        <f t="shared" si="40"/>
        <v>8.9339940311600126E-6</v>
      </c>
      <c r="L156" s="12">
        <f t="shared" si="22"/>
        <v>4.4186446440430682E-4</v>
      </c>
      <c r="M156" s="12">
        <f t="shared" si="23"/>
        <v>6.8935736631566824E-3</v>
      </c>
      <c r="N156" s="12">
        <f t="shared" si="24"/>
        <v>4.367779202121469E-2</v>
      </c>
      <c r="O156" s="12">
        <f t="shared" si="25"/>
        <v>0.13489691836290785</v>
      </c>
      <c r="P156" s="12">
        <f t="shared" si="26"/>
        <v>0.23291980809201862</v>
      </c>
      <c r="Q156" s="12">
        <f t="shared" si="27"/>
        <v>0.25002245917069565</v>
      </c>
      <c r="R156" s="12">
        <f t="shared" si="28"/>
        <v>0.18144988032917819</v>
      </c>
      <c r="S156" s="12">
        <f t="shared" si="29"/>
        <v>9.5218296563311378E-2</v>
      </c>
      <c r="T156" s="12">
        <f t="shared" si="30"/>
        <v>3.8147193764568654E-2</v>
      </c>
      <c r="U156" s="12">
        <f t="shared" si="31"/>
        <v>1.2195625381637543E-2</v>
      </c>
      <c r="V156" s="12">
        <f t="shared" si="32"/>
        <v>4.1276145785111851E-3</v>
      </c>
    </row>
    <row r="157" spans="1:22">
      <c r="A157" s="35">
        <v>5.2</v>
      </c>
      <c r="B157" s="12">
        <v>0</v>
      </c>
      <c r="C157" s="12">
        <f t="shared" si="21"/>
        <v>1.9258038357430602E-111</v>
      </c>
      <c r="D157" s="12">
        <f t="shared" si="33"/>
        <v>1.2602447073092139E-68</v>
      </c>
      <c r="E157" s="12">
        <f t="shared" si="34"/>
        <v>3.5222467596661554E-46</v>
      </c>
      <c r="F157" s="12">
        <f t="shared" si="35"/>
        <v>1.0689328159362484E-34</v>
      </c>
      <c r="G157" s="12">
        <f t="shared" si="36"/>
        <v>8.834600113954682E-25</v>
      </c>
      <c r="H157" s="12">
        <f t="shared" si="37"/>
        <v>6.5958931478211884E-18</v>
      </c>
      <c r="I157" s="12">
        <f t="shared" si="38"/>
        <v>5.4257448225629777E-13</v>
      </c>
      <c r="J157" s="12">
        <f t="shared" si="39"/>
        <v>2.0577256398113752E-9</v>
      </c>
      <c r="K157" s="12">
        <f t="shared" si="40"/>
        <v>8.7074643151549521E-7</v>
      </c>
      <c r="L157" s="12">
        <f t="shared" si="22"/>
        <v>7.3081651423279048E-5</v>
      </c>
      <c r="M157" s="12">
        <f t="shared" si="23"/>
        <v>1.7934947864348683E-3</v>
      </c>
      <c r="N157" s="12">
        <f t="shared" si="24"/>
        <v>1.6857543738295622E-2</v>
      </c>
      <c r="O157" s="12">
        <f t="shared" si="25"/>
        <v>7.3700155390815647E-2</v>
      </c>
      <c r="P157" s="12">
        <f t="shared" si="26"/>
        <v>0.17327785013916952</v>
      </c>
      <c r="Q157" s="12">
        <f t="shared" si="27"/>
        <v>0.24502876376688731</v>
      </c>
      <c r="R157" s="12">
        <f t="shared" si="28"/>
        <v>0.22763748340836221</v>
      </c>
      <c r="S157" s="12">
        <f t="shared" si="29"/>
        <v>0.14912925829370616</v>
      </c>
      <c r="T157" s="12">
        <f t="shared" si="30"/>
        <v>7.2958692383027324E-2</v>
      </c>
      <c r="U157" s="12">
        <f t="shared" si="31"/>
        <v>2.7933575010432588E-2</v>
      </c>
      <c r="V157" s="12">
        <f t="shared" si="32"/>
        <v>1.1609228626745738E-2</v>
      </c>
    </row>
    <row r="158" spans="1:22">
      <c r="A158" s="34">
        <v>5.3</v>
      </c>
      <c r="B158" s="12">
        <v>0</v>
      </c>
      <c r="C158" s="12">
        <f t="shared" si="21"/>
        <v>9.4622606878613632E-120</v>
      </c>
      <c r="D158" s="12">
        <f t="shared" si="33"/>
        <v>1.8175787535959059E-74</v>
      </c>
      <c r="E158" s="12">
        <f t="shared" si="34"/>
        <v>1.3453148816808763E-50</v>
      </c>
      <c r="F158" s="12">
        <f t="shared" si="35"/>
        <v>2.5234179224159672E-38</v>
      </c>
      <c r="G158" s="12">
        <f t="shared" si="36"/>
        <v>1.1497540548597799E-27</v>
      </c>
      <c r="H158" s="12">
        <f t="shared" si="37"/>
        <v>3.1546180170127987E-20</v>
      </c>
      <c r="I158" s="12">
        <f t="shared" si="38"/>
        <v>7.2698135680963594E-15</v>
      </c>
      <c r="J158" s="12">
        <f t="shared" si="39"/>
        <v>6.3688910515357761E-11</v>
      </c>
      <c r="K158" s="12">
        <f t="shared" si="40"/>
        <v>5.3960665832974541E-8</v>
      </c>
      <c r="L158" s="12">
        <f t="shared" si="22"/>
        <v>8.1353831065928557E-6</v>
      </c>
      <c r="M158" s="12">
        <f t="shared" si="23"/>
        <v>3.3002259893921693E-4</v>
      </c>
      <c r="N158" s="12">
        <f t="shared" si="24"/>
        <v>4.8074248477092407E-3</v>
      </c>
      <c r="O158" s="12">
        <f t="shared" si="25"/>
        <v>3.0945747545981894E-2</v>
      </c>
      <c r="P158" s="12">
        <f t="shared" si="26"/>
        <v>0.10270590214807429</v>
      </c>
      <c r="Q158" s="12">
        <f t="shared" si="27"/>
        <v>0.19783376030063959</v>
      </c>
      <c r="R158" s="12">
        <f t="shared" si="28"/>
        <v>0.24275769331526165</v>
      </c>
      <c r="S158" s="12">
        <f t="shared" si="29"/>
        <v>0.20446903609109923</v>
      </c>
      <c r="T158" s="12">
        <f t="shared" si="30"/>
        <v>0.12559068000912199</v>
      </c>
      <c r="U158" s="12">
        <f t="shared" si="31"/>
        <v>5.9113314987921717E-2</v>
      </c>
      <c r="V158" s="12">
        <f t="shared" si="32"/>
        <v>3.1438228747782571E-2</v>
      </c>
    </row>
    <row r="159" spans="1:22">
      <c r="A159" s="35">
        <v>5.4</v>
      </c>
      <c r="B159" s="12">
        <v>0</v>
      </c>
      <c r="C159" s="12">
        <f t="shared" si="21"/>
        <v>7.3101591220207273E-129</v>
      </c>
      <c r="D159" s="12">
        <f t="shared" si="33"/>
        <v>6.174558702462206E-81</v>
      </c>
      <c r="E159" s="12">
        <f t="shared" si="34"/>
        <v>1.5554553762221805E-55</v>
      </c>
      <c r="F159" s="12">
        <f t="shared" si="35"/>
        <v>2.0898706527955363E-42</v>
      </c>
      <c r="G159" s="12">
        <f t="shared" si="36"/>
        <v>6.0699632292092345E-31</v>
      </c>
      <c r="H159" s="12">
        <f t="shared" si="37"/>
        <v>6.8774492426781894E-23</v>
      </c>
      <c r="I159" s="12">
        <f t="shared" si="38"/>
        <v>4.8925344640970205E-17</v>
      </c>
      <c r="J159" s="12">
        <f t="shared" si="39"/>
        <v>1.0756342400962675E-12</v>
      </c>
      <c r="K159" s="12">
        <f t="shared" si="40"/>
        <v>1.9607571380224529E-9</v>
      </c>
      <c r="L159" s="12">
        <f t="shared" si="22"/>
        <v>5.654758837708795E-7</v>
      </c>
      <c r="M159" s="12">
        <f t="shared" si="23"/>
        <v>4.0065639669517594E-5</v>
      </c>
      <c r="N159" s="12">
        <f t="shared" si="24"/>
        <v>9.4953534330488587E-4</v>
      </c>
      <c r="O159" s="12">
        <f t="shared" si="25"/>
        <v>9.3993711636097821E-3</v>
      </c>
      <c r="P159" s="12">
        <f t="shared" si="26"/>
        <v>4.5816583888014684E-2</v>
      </c>
      <c r="Q159" s="12">
        <f t="shared" si="27"/>
        <v>0.12470306622381067</v>
      </c>
      <c r="R159" s="12">
        <f t="shared" si="28"/>
        <v>0.20915452397678969</v>
      </c>
      <c r="S159" s="12">
        <f t="shared" si="29"/>
        <v>0.23390197386549672</v>
      </c>
      <c r="T159" s="12">
        <f t="shared" si="30"/>
        <v>0.18593489060980062</v>
      </c>
      <c r="U159" s="12">
        <f t="shared" si="31"/>
        <v>0.11072017043618376</v>
      </c>
      <c r="V159" s="12">
        <f t="shared" si="32"/>
        <v>7.9379251415603092E-2</v>
      </c>
    </row>
    <row r="160" spans="1:22">
      <c r="A160" s="34">
        <v>5.5</v>
      </c>
      <c r="B160" s="12">
        <v>0</v>
      </c>
      <c r="C160" s="12">
        <f t="shared" si="21"/>
        <v>7.2033876814769463E-139</v>
      </c>
      <c r="D160" s="12">
        <f t="shared" si="33"/>
        <v>4.1451484349204369E-88</v>
      </c>
      <c r="E160" s="12">
        <f t="shared" si="34"/>
        <v>4.6668061894652809E-61</v>
      </c>
      <c r="F160" s="12">
        <f t="shared" si="35"/>
        <v>5.2729512116973334E-47</v>
      </c>
      <c r="G160" s="12">
        <f t="shared" si="36"/>
        <v>1.143564612292186E-34</v>
      </c>
      <c r="H160" s="12">
        <f t="shared" si="37"/>
        <v>6.0760996727793143E-26</v>
      </c>
      <c r="I160" s="12">
        <f t="shared" si="38"/>
        <v>1.4833918233708906E-19</v>
      </c>
      <c r="J160" s="12">
        <f t="shared" si="39"/>
        <v>8.9595802315272003E-15</v>
      </c>
      <c r="K160" s="12">
        <f t="shared" si="40"/>
        <v>3.8019675747459228E-11</v>
      </c>
      <c r="L160" s="12">
        <f t="shared" si="22"/>
        <v>2.2477813055143103E-8</v>
      </c>
      <c r="M160" s="12">
        <f t="shared" si="23"/>
        <v>2.9566258294427151E-6</v>
      </c>
      <c r="N160" s="12">
        <f t="shared" si="24"/>
        <v>1.2031762004771629E-4</v>
      </c>
      <c r="O160" s="12">
        <f t="shared" si="25"/>
        <v>1.9219190398698238E-3</v>
      </c>
      <c r="P160" s="12">
        <f t="shared" si="26"/>
        <v>1.4373321806355976E-2</v>
      </c>
      <c r="Q160" s="12">
        <f t="shared" si="27"/>
        <v>5.7547298392988666E-2</v>
      </c>
      <c r="R160" s="12">
        <f t="shared" si="28"/>
        <v>0.13696214713137833</v>
      </c>
      <c r="S160" s="12">
        <f t="shared" si="29"/>
        <v>0.21064456958015543</v>
      </c>
      <c r="T160" s="12">
        <f t="shared" si="30"/>
        <v>0.22401520281293241</v>
      </c>
      <c r="U160" s="12">
        <f t="shared" si="31"/>
        <v>0.17414295293880999</v>
      </c>
      <c r="V160" s="12">
        <f t="shared" si="32"/>
        <v>0.18026929153579052</v>
      </c>
    </row>
    <row r="161" spans="1:22">
      <c r="A161" s="35">
        <v>5.6</v>
      </c>
      <c r="B161" s="12">
        <v>0</v>
      </c>
      <c r="C161" s="12">
        <f t="shared" si="21"/>
        <v>7.1700018325020635E-150</v>
      </c>
      <c r="D161" s="12">
        <f t="shared" si="33"/>
        <v>4.5158554181687239E-96</v>
      </c>
      <c r="E161" s="12">
        <f t="shared" si="34"/>
        <v>3.0537835541445327E-67</v>
      </c>
      <c r="F161" s="12">
        <f t="shared" si="35"/>
        <v>3.4544209107385378E-52</v>
      </c>
      <c r="G161" s="12">
        <f t="shared" si="36"/>
        <v>6.6446791479395929E-39</v>
      </c>
      <c r="H161" s="12">
        <f t="shared" si="37"/>
        <v>1.9016341604286038E-29</v>
      </c>
      <c r="I161" s="12">
        <f t="shared" si="38"/>
        <v>1.7882929304737786E-22</v>
      </c>
      <c r="J161" s="12">
        <f t="shared" si="39"/>
        <v>3.2754696380182918E-17</v>
      </c>
      <c r="K161" s="12">
        <f t="shared" si="40"/>
        <v>3.5266110485861306E-13</v>
      </c>
      <c r="L161" s="12">
        <f t="shared" si="22"/>
        <v>4.6116112313385364E-10</v>
      </c>
      <c r="M161" s="12">
        <f t="shared" si="23"/>
        <v>1.2045385239308816E-7</v>
      </c>
      <c r="N161" s="12">
        <f t="shared" si="24"/>
        <v>8.9354442990947431E-6</v>
      </c>
      <c r="O161" s="12">
        <f t="shared" si="25"/>
        <v>2.4296084155894793E-4</v>
      </c>
      <c r="P161" s="12">
        <f t="shared" si="26"/>
        <v>2.9255948455010339E-3</v>
      </c>
      <c r="Q161" s="12">
        <f t="shared" si="27"/>
        <v>1.8009321132749556E-2</v>
      </c>
      <c r="R161" s="12">
        <f t="shared" si="28"/>
        <v>6.336869181963467E-2</v>
      </c>
      <c r="S161" s="12">
        <f t="shared" si="29"/>
        <v>0.13928136697333748</v>
      </c>
      <c r="T161" s="12">
        <f t="shared" si="30"/>
        <v>0.20546781778847722</v>
      </c>
      <c r="U161" s="12">
        <f t="shared" si="31"/>
        <v>0.21577944572607666</v>
      </c>
      <c r="V161" s="12">
        <f t="shared" si="32"/>
        <v>0.35491574451299912</v>
      </c>
    </row>
    <row r="162" spans="1:22">
      <c r="A162" s="34">
        <v>5.7</v>
      </c>
      <c r="B162" s="12">
        <v>0</v>
      </c>
      <c r="C162" s="12">
        <f t="shared" si="21"/>
        <v>5.5580677305515524E-162</v>
      </c>
      <c r="D162" s="12">
        <f t="shared" si="33"/>
        <v>6.4005954885540342E-105</v>
      </c>
      <c r="E162" s="12">
        <f t="shared" si="34"/>
        <v>3.5825853947013389E-74</v>
      </c>
      <c r="F162" s="12">
        <f t="shared" si="35"/>
        <v>4.9034010870735595E-58</v>
      </c>
      <c r="G162" s="12">
        <f t="shared" si="36"/>
        <v>1.0087391742908772E-43</v>
      </c>
      <c r="H162" s="12">
        <f t="shared" si="37"/>
        <v>1.8080893647123554E-33</v>
      </c>
      <c r="I162" s="12">
        <f t="shared" si="38"/>
        <v>7.4277995501889298E-26</v>
      </c>
      <c r="J162" s="12">
        <f t="shared" si="39"/>
        <v>4.5948654937683869E-20</v>
      </c>
      <c r="K162" s="12">
        <f t="shared" si="40"/>
        <v>1.3789169119633775E-15</v>
      </c>
      <c r="L162" s="12">
        <f t="shared" si="22"/>
        <v>4.3339723765327634E-12</v>
      </c>
      <c r="M162" s="12">
        <f t="shared" si="23"/>
        <v>2.4206698546753812E-9</v>
      </c>
      <c r="N162" s="12">
        <f t="shared" si="24"/>
        <v>3.4970623074177985E-7</v>
      </c>
      <c r="O162" s="12">
        <f t="shared" si="25"/>
        <v>1.7173079061127972E-5</v>
      </c>
      <c r="P162" s="12">
        <f t="shared" si="26"/>
        <v>3.512194710404426E-4</v>
      </c>
      <c r="Q162" s="12">
        <f t="shared" si="27"/>
        <v>3.4901569506321506E-3</v>
      </c>
      <c r="R162" s="12">
        <f t="shared" si="28"/>
        <v>1.8992303038434466E-2</v>
      </c>
      <c r="S162" s="12">
        <f t="shared" si="29"/>
        <v>6.2217855874576178E-2</v>
      </c>
      <c r="T162" s="12">
        <f t="shared" si="30"/>
        <v>0.13245063497550436</v>
      </c>
      <c r="U162" s="12">
        <f t="shared" si="31"/>
        <v>0.19506758865425755</v>
      </c>
      <c r="V162" s="12">
        <f t="shared" si="32"/>
        <v>0.58741271582525778</v>
      </c>
    </row>
    <row r="163" spans="1:22">
      <c r="A163" s="35">
        <v>5.8</v>
      </c>
      <c r="B163" s="12">
        <v>0</v>
      </c>
      <c r="C163" s="12">
        <f t="shared" si="21"/>
        <v>2.5107615168298155E-175</v>
      </c>
      <c r="D163" s="12">
        <f t="shared" si="33"/>
        <v>9.2109976404620628E-115</v>
      </c>
      <c r="E163" s="12">
        <f t="shared" si="34"/>
        <v>6.0413377849979207E-82</v>
      </c>
      <c r="F163" s="12">
        <f t="shared" si="35"/>
        <v>1.2288495504346043E-64</v>
      </c>
      <c r="G163" s="12">
        <f t="shared" si="36"/>
        <v>3.3136466191905959E-49</v>
      </c>
      <c r="H163" s="12">
        <f t="shared" si="37"/>
        <v>4.3831666382422156E-38</v>
      </c>
      <c r="I163" s="12">
        <f t="shared" si="38"/>
        <v>9.0209351252459434E-30</v>
      </c>
      <c r="J163" s="12">
        <f t="shared" si="39"/>
        <v>2.1193084596548313E-23</v>
      </c>
      <c r="K163" s="12">
        <f t="shared" si="40"/>
        <v>1.9639572267982378E-18</v>
      </c>
      <c r="L163" s="12">
        <f t="shared" si="22"/>
        <v>1.6246093325748562E-14</v>
      </c>
      <c r="M163" s="12">
        <f t="shared" si="23"/>
        <v>2.1043393773813139E-11</v>
      </c>
      <c r="N163" s="12">
        <f t="shared" si="24"/>
        <v>6.3676582610598281E-9</v>
      </c>
      <c r="O163" s="12">
        <f t="shared" si="25"/>
        <v>6.0296331981416819E-7</v>
      </c>
      <c r="P163" s="12">
        <f t="shared" si="26"/>
        <v>2.2220860431465539E-5</v>
      </c>
      <c r="Q163" s="12">
        <f t="shared" si="27"/>
        <v>3.7618151607110573E-4</v>
      </c>
      <c r="R163" s="12">
        <f t="shared" si="28"/>
        <v>3.326614400220973E-3</v>
      </c>
      <c r="S163" s="12">
        <f t="shared" si="29"/>
        <v>1.7008370905091996E-2</v>
      </c>
      <c r="T163" s="12">
        <f t="shared" si="30"/>
        <v>5.4556685086509127E-2</v>
      </c>
      <c r="U163" s="12">
        <f t="shared" si="31"/>
        <v>0.1173671683391021</v>
      </c>
      <c r="V163" s="12">
        <f t="shared" si="32"/>
        <v>0.80734214954053551</v>
      </c>
    </row>
    <row r="164" spans="1:22">
      <c r="A164" s="34">
        <v>5.9</v>
      </c>
      <c r="B164" s="12">
        <v>0</v>
      </c>
      <c r="C164" s="12">
        <f t="shared" si="21"/>
        <v>4.783217301490952E-190</v>
      </c>
      <c r="D164" s="12">
        <f t="shared" si="33"/>
        <v>1.0191272617151053E-125</v>
      </c>
      <c r="E164" s="12">
        <f t="shared" si="34"/>
        <v>1.1415571227265717E-90</v>
      </c>
      <c r="F164" s="12">
        <f t="shared" si="35"/>
        <v>4.3133745048808141E-72</v>
      </c>
      <c r="G164" s="12">
        <f t="shared" si="36"/>
        <v>1.9015071548323405E-55</v>
      </c>
      <c r="H164" s="12">
        <f t="shared" si="37"/>
        <v>2.2185977921750576E-43</v>
      </c>
      <c r="I164" s="12">
        <f t="shared" si="38"/>
        <v>2.6551503853392878E-34</v>
      </c>
      <c r="J164" s="12">
        <f t="shared" si="39"/>
        <v>2.6916693712509161E-27</v>
      </c>
      <c r="K164" s="12">
        <f t="shared" si="40"/>
        <v>8.6115260654726592E-22</v>
      </c>
      <c r="L164" s="12">
        <f t="shared" si="22"/>
        <v>2.0697873557824649E-17</v>
      </c>
      <c r="M164" s="12">
        <f t="shared" si="23"/>
        <v>6.7937139890006571E-14</v>
      </c>
      <c r="N164" s="12">
        <f t="shared" si="24"/>
        <v>4.6641077707088878E-11</v>
      </c>
      <c r="O164" s="12">
        <f t="shared" si="25"/>
        <v>9.1538944382868834E-9</v>
      </c>
      <c r="P164" s="12">
        <f t="shared" si="26"/>
        <v>6.4897182841498233E-7</v>
      </c>
      <c r="Q164" s="12">
        <f t="shared" si="27"/>
        <v>1.9865473876112816E-5</v>
      </c>
      <c r="R164" s="12">
        <f t="shared" si="28"/>
        <v>3.0151728201688321E-4</v>
      </c>
      <c r="S164" s="12">
        <f t="shared" si="29"/>
        <v>2.5309237229474979E-3</v>
      </c>
      <c r="T164" s="12">
        <f t="shared" si="30"/>
        <v>1.2824846558829428E-2</v>
      </c>
      <c r="U164" s="12">
        <f t="shared" si="31"/>
        <v>4.213598587707057E-2</v>
      </c>
      <c r="V164" s="12">
        <f t="shared" si="32"/>
        <v>0.94218620291282762</v>
      </c>
    </row>
    <row r="165" spans="1:22">
      <c r="A165" s="36">
        <v>6</v>
      </c>
      <c r="B165" s="12">
        <v>0</v>
      </c>
      <c r="C165" s="12">
        <f t="shared" si="21"/>
        <v>2.6794670709763295E-206</v>
      </c>
      <c r="D165" s="12">
        <f t="shared" si="33"/>
        <v>6.3467039408988252E-138</v>
      </c>
      <c r="E165" s="12">
        <f t="shared" si="34"/>
        <v>1.8257803427484723E-100</v>
      </c>
      <c r="F165" s="12">
        <f t="shared" si="35"/>
        <v>1.6322595754219108E-80</v>
      </c>
      <c r="G165" s="12">
        <f t="shared" si="36"/>
        <v>1.4951612431432958E-62</v>
      </c>
      <c r="H165" s="12">
        <f t="shared" si="37"/>
        <v>1.8677423664836681E-49</v>
      </c>
      <c r="I165" s="12">
        <f t="shared" si="38"/>
        <v>1.5284052138591163E-39</v>
      </c>
      <c r="J165" s="12">
        <f t="shared" si="39"/>
        <v>7.6821868664433034E-32</v>
      </c>
      <c r="K165" s="12">
        <f t="shared" si="40"/>
        <v>9.5802948434110931E-26</v>
      </c>
      <c r="L165" s="12">
        <f t="shared" si="22"/>
        <v>7.4510719583013216E-21</v>
      </c>
      <c r="M165" s="12">
        <f t="shared" si="23"/>
        <v>6.8262332948634489E-17</v>
      </c>
      <c r="N165" s="12">
        <f t="shared" si="24"/>
        <v>1.1603386057745181E-13</v>
      </c>
      <c r="O165" s="12">
        <f t="shared" si="25"/>
        <v>5.1096732299988549E-11</v>
      </c>
      <c r="P165" s="12">
        <f t="shared" si="26"/>
        <v>7.4902920991001897E-9</v>
      </c>
      <c r="Q165" s="12">
        <f t="shared" si="27"/>
        <v>4.4279108983670025E-7</v>
      </c>
      <c r="R165" s="12">
        <f t="shared" si="28"/>
        <v>1.2252941027135478E-5</v>
      </c>
      <c r="S165" s="12">
        <f t="shared" si="29"/>
        <v>1.7853972069348245E-4</v>
      </c>
      <c r="T165" s="12">
        <f t="shared" si="30"/>
        <v>1.505395266655718E-3</v>
      </c>
      <c r="U165" s="12">
        <f t="shared" si="31"/>
        <v>7.9307737793047339E-3</v>
      </c>
      <c r="V165" s="12">
        <f t="shared" si="32"/>
        <v>0.99037258795972416</v>
      </c>
    </row>
    <row r="167" spans="1:22">
      <c r="E167" s="9" t="s">
        <v>49</v>
      </c>
    </row>
    <row r="187" spans="1:30">
      <c r="A187" s="22" t="s">
        <v>71</v>
      </c>
    </row>
    <row r="188" spans="1:30">
      <c r="A188" s="22" t="s">
        <v>51</v>
      </c>
      <c r="B188" s="37">
        <v>1</v>
      </c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</row>
    <row r="189" spans="1:30">
      <c r="A189" s="54"/>
      <c r="B189" s="54"/>
      <c r="C189" s="54"/>
      <c r="D189" s="54"/>
      <c r="E189" s="54" t="s">
        <v>59</v>
      </c>
      <c r="F189" s="56">
        <v>0</v>
      </c>
      <c r="G189" s="56">
        <v>1</v>
      </c>
      <c r="H189" s="56">
        <v>2</v>
      </c>
      <c r="I189" s="56">
        <v>3</v>
      </c>
      <c r="J189" s="56">
        <v>4</v>
      </c>
      <c r="K189" s="56">
        <v>5</v>
      </c>
      <c r="L189" s="56">
        <v>6</v>
      </c>
      <c r="M189" s="56">
        <v>7</v>
      </c>
      <c r="N189" s="56">
        <v>8</v>
      </c>
      <c r="O189" s="56">
        <v>9</v>
      </c>
      <c r="P189" s="56">
        <v>10</v>
      </c>
      <c r="Q189" s="56">
        <v>11</v>
      </c>
      <c r="R189" s="56">
        <v>12</v>
      </c>
      <c r="S189" s="56">
        <v>13</v>
      </c>
      <c r="T189" s="56">
        <v>14</v>
      </c>
      <c r="U189" s="56">
        <v>15</v>
      </c>
      <c r="V189" s="56">
        <v>16</v>
      </c>
      <c r="W189" s="56">
        <v>17</v>
      </c>
      <c r="X189" s="56">
        <v>18</v>
      </c>
      <c r="Y189" s="56">
        <v>19</v>
      </c>
      <c r="Z189" s="56">
        <v>20</v>
      </c>
      <c r="AA189" s="54"/>
      <c r="AB189" s="54"/>
      <c r="AC189" s="54"/>
    </row>
    <row r="190" spans="1:30" ht="45">
      <c r="A190" s="56" t="s">
        <v>52</v>
      </c>
      <c r="B190" s="56" t="s">
        <v>53</v>
      </c>
      <c r="C190" s="56" t="s">
        <v>54</v>
      </c>
      <c r="D190" s="61" t="s">
        <v>56</v>
      </c>
      <c r="E190" s="61" t="s">
        <v>57</v>
      </c>
      <c r="F190" s="56" t="s">
        <v>20</v>
      </c>
      <c r="G190" s="56" t="s">
        <v>21</v>
      </c>
      <c r="H190" s="56" t="s">
        <v>22</v>
      </c>
      <c r="I190" s="56" t="s">
        <v>23</v>
      </c>
      <c r="J190" s="56" t="s">
        <v>24</v>
      </c>
      <c r="K190" s="56" t="s">
        <v>25</v>
      </c>
      <c r="L190" s="56" t="s">
        <v>26</v>
      </c>
      <c r="M190" s="56" t="s">
        <v>27</v>
      </c>
      <c r="N190" s="56" t="s">
        <v>28</v>
      </c>
      <c r="O190" s="56" t="s">
        <v>29</v>
      </c>
      <c r="P190" s="56" t="s">
        <v>30</v>
      </c>
      <c r="Q190" s="56" t="s">
        <v>31</v>
      </c>
      <c r="R190" s="56" t="s">
        <v>32</v>
      </c>
      <c r="S190" s="56" t="s">
        <v>33</v>
      </c>
      <c r="T190" s="56" t="s">
        <v>34</v>
      </c>
      <c r="U190" s="56" t="s">
        <v>35</v>
      </c>
      <c r="V190" s="56" t="s">
        <v>36</v>
      </c>
      <c r="W190" s="56" t="s">
        <v>37</v>
      </c>
      <c r="X190" s="56" t="s">
        <v>38</v>
      </c>
      <c r="Y190" s="56" t="s">
        <v>39</v>
      </c>
      <c r="Z190" s="56" t="s">
        <v>40</v>
      </c>
      <c r="AA190" s="61" t="s">
        <v>58</v>
      </c>
      <c r="AB190" s="61" t="s">
        <v>64</v>
      </c>
      <c r="AC190" s="61" t="s">
        <v>65</v>
      </c>
      <c r="AD190" s="56" t="s">
        <v>76</v>
      </c>
    </row>
    <row r="191" spans="1:30">
      <c r="A191" s="56">
        <v>0</v>
      </c>
      <c r="B191" s="12">
        <f t="shared" ref="B191:B214" si="41">B3</f>
        <v>0.54705915111111103</v>
      </c>
      <c r="C191" s="12">
        <f t="shared" ref="C191:C214" si="42">$B$188*B191</f>
        <v>0.54705915111111103</v>
      </c>
      <c r="D191" s="23">
        <f t="array" ref="D191">MATCH(MIN(ABS(ServerTypeA!$A$106:$A$165-$C191)),ABS(ServerTypeA!$A$106:$A$165-$C191),0)</f>
        <v>5</v>
      </c>
      <c r="E191" s="23">
        <f t="array" ref="E191">INDEX(ServerTypeA!$A$106:$A$165,MATCH(MIN(ABS(ServerTypeA!$A$106:$A$165-$C191)),ABS(ServerTypeA!$A$106:$A$165-$C191),0))</f>
        <v>0.5</v>
      </c>
      <c r="F191" s="80">
        <f t="shared" ref="F191:O200" ca="1" si="43">OFFSET($B$106,$D191-1,F$221,1,1)</f>
        <v>0</v>
      </c>
      <c r="G191" s="80">
        <f t="shared" ca="1" si="43"/>
        <v>2.198104251451246E-2</v>
      </c>
      <c r="H191" s="80">
        <f t="shared" ca="1" si="43"/>
        <v>0.31567568294991266</v>
      </c>
      <c r="I191" s="80">
        <f t="shared" ca="1" si="43"/>
        <v>0.39868840022187113</v>
      </c>
      <c r="J191" s="80">
        <f t="shared" ca="1" si="43"/>
        <v>0.16251889491592852</v>
      </c>
      <c r="K191" s="80">
        <f t="shared" ca="1" si="43"/>
        <v>7.4221593080309844E-2</v>
      </c>
      <c r="L191" s="80">
        <f t="shared" ca="1" si="43"/>
        <v>2.0122627879742394E-2</v>
      </c>
      <c r="M191" s="80">
        <f t="shared" ca="1" si="43"/>
        <v>5.0874564942462452E-3</v>
      </c>
      <c r="N191" s="80">
        <f t="shared" ca="1" si="43"/>
        <v>1.2689105911173337E-3</v>
      </c>
      <c r="O191" s="80">
        <f t="shared" ca="1" si="43"/>
        <v>3.2083600114307664E-4</v>
      </c>
      <c r="P191" s="80">
        <f t="shared" ref="P191:Z200" ca="1" si="44">OFFSET($B$106,$D191-1,P$221,1,1)</f>
        <v>8.3337863118759792E-5</v>
      </c>
      <c r="Q191" s="80">
        <f t="shared" ca="1" si="44"/>
        <v>2.237927546411278E-5</v>
      </c>
      <c r="R191" s="80">
        <f t="shared" ca="1" si="44"/>
        <v>6.2290515296936633E-6</v>
      </c>
      <c r="S191" s="80">
        <f t="shared" ca="1" si="44"/>
        <v>1.7981538205091852E-6</v>
      </c>
      <c r="T191" s="80">
        <f t="shared" ca="1" si="44"/>
        <v>5.3807495292712559E-7</v>
      </c>
      <c r="U191" s="80">
        <f t="shared" ca="1" si="44"/>
        <v>1.6672365488190621E-7</v>
      </c>
      <c r="V191" s="80">
        <f t="shared" ca="1" si="44"/>
        <v>5.3418113710179682E-8</v>
      </c>
      <c r="W191" s="80">
        <f t="shared" ca="1" si="44"/>
        <v>1.7670888308174426E-8</v>
      </c>
      <c r="X191" s="80">
        <f t="shared" ca="1" si="44"/>
        <v>6.0260639811460237E-9</v>
      </c>
      <c r="Y191" s="80">
        <f t="shared" ca="1" si="44"/>
        <v>2.115199015939595E-9</v>
      </c>
      <c r="Z191" s="80">
        <f t="shared" ca="1" si="44"/>
        <v>1.2226341050691758E-9</v>
      </c>
      <c r="AA191" s="80">
        <f ca="1">SUMPRODUCT(F191:Z191,FailureForCPU!E$17:Y$17)</f>
        <v>3.176165338144206E-8</v>
      </c>
      <c r="AB191" s="80">
        <f t="shared" ref="AB191:AB214" ca="1" si="45">AA191*C191</f>
        <v>1.7375503136737041E-8</v>
      </c>
      <c r="AC191" s="80">
        <f t="shared" ref="AC191:AC214" ca="1" si="46">C191-AB191</f>
        <v>0.54705913373560788</v>
      </c>
      <c r="AD191" s="80">
        <f t="shared" ref="AD191:AD214" ca="1" si="47">SUM(F191:Z191)</f>
        <v>0.99999997424422371</v>
      </c>
    </row>
    <row r="192" spans="1:30">
      <c r="A192" s="56">
        <v>1</v>
      </c>
      <c r="B192" s="12">
        <f t="shared" si="41"/>
        <v>0.30210809111111114</v>
      </c>
      <c r="C192" s="12">
        <f t="shared" si="42"/>
        <v>0.30210809111111114</v>
      </c>
      <c r="D192" s="23">
        <f t="array" ref="D192">MATCH(MIN(ABS(ServerTypeA!$A$106:$A$165-$C192)),ABS(ServerTypeA!$A$106:$A$165-$C192),0)</f>
        <v>3</v>
      </c>
      <c r="E192" s="23">
        <f t="array" ref="E192">INDEX(ServerTypeA!$A$106:$A$165,MATCH(MIN(ABS(ServerTypeA!$A$106:$A$165-$C192)),ABS(ServerTypeA!$A$106:$A$165-$C192),0))</f>
        <v>0.3</v>
      </c>
      <c r="F192" s="80">
        <f t="shared" ca="1" si="43"/>
        <v>0</v>
      </c>
      <c r="G192" s="80">
        <f t="shared" ca="1" si="43"/>
        <v>9.3645685149841063E-2</v>
      </c>
      <c r="H192" s="80">
        <f t="shared" ca="1" si="43"/>
        <v>0.43496774121179493</v>
      </c>
      <c r="I192" s="80">
        <f t="shared" ca="1" si="43"/>
        <v>0.30971202206367943</v>
      </c>
      <c r="J192" s="80">
        <f t="shared" ca="1" si="43"/>
        <v>0.10084687618964905</v>
      </c>
      <c r="K192" s="80">
        <f t="shared" ca="1" si="43"/>
        <v>4.369155763676158E-2</v>
      </c>
      <c r="L192" s="80">
        <f t="shared" ca="1" si="43"/>
        <v>1.2294147338348549E-2</v>
      </c>
      <c r="M192" s="80">
        <f t="shared" ca="1" si="43"/>
        <v>3.4319914015099595E-3</v>
      </c>
      <c r="N192" s="80">
        <f t="shared" ca="1" si="43"/>
        <v>9.7974800056666034E-4</v>
      </c>
      <c r="O192" s="80">
        <f t="shared" ca="1" si="43"/>
        <v>2.8965646966772063E-4</v>
      </c>
      <c r="P192" s="80">
        <f t="shared" ca="1" si="44"/>
        <v>8.9102308850064205E-5</v>
      </c>
      <c r="Q192" s="80">
        <f t="shared" ca="1" si="44"/>
        <v>2.8546284221997453E-5</v>
      </c>
      <c r="R192" s="80">
        <f t="shared" ca="1" si="44"/>
        <v>9.5172244658492389E-6</v>
      </c>
      <c r="S192" s="80">
        <f t="shared" ca="1" si="44"/>
        <v>3.2965250564842563E-6</v>
      </c>
      <c r="T192" s="80">
        <f t="shared" ca="1" si="44"/>
        <v>1.1839190681151024E-6</v>
      </c>
      <c r="U192" s="80">
        <f t="shared" ca="1" si="44"/>
        <v>4.3994472476160951E-7</v>
      </c>
      <c r="V192" s="80">
        <f t="shared" ca="1" si="44"/>
        <v>1.688057024162859E-7</v>
      </c>
      <c r="W192" s="80">
        <f t="shared" ca="1" si="44"/>
        <v>6.6746950189155996E-8</v>
      </c>
      <c r="X192" s="80">
        <f t="shared" ca="1" si="44"/>
        <v>2.7147205150512832E-8</v>
      </c>
      <c r="Y192" s="80">
        <f t="shared" ca="1" si="44"/>
        <v>1.1337537686451071E-8</v>
      </c>
      <c r="Z192" s="80">
        <f t="shared" ca="1" si="44"/>
        <v>8.7650239288805665E-9</v>
      </c>
      <c r="AA192" s="80">
        <f ca="1">SUMPRODUCT(F192:Z192,FailureForCPU!E$17:Y$17)</f>
        <v>7.3483250387362808E-8</v>
      </c>
      <c r="AB192" s="80">
        <f t="shared" ca="1" si="45"/>
        <v>2.2199884503165996E-8</v>
      </c>
      <c r="AC192" s="80">
        <f t="shared" ca="1" si="46"/>
        <v>0.30210806891122666</v>
      </c>
      <c r="AD192" s="80">
        <f t="shared" ca="1" si="47"/>
        <v>0.99999179447062558</v>
      </c>
    </row>
    <row r="193" spans="1:30">
      <c r="A193" s="56">
        <v>2</v>
      </c>
      <c r="B193" s="12">
        <f t="shared" si="41"/>
        <v>0.19123856888888888</v>
      </c>
      <c r="C193" s="12">
        <f t="shared" si="42"/>
        <v>0.19123856888888888</v>
      </c>
      <c r="D193" s="23">
        <f t="array" ref="D193">MATCH(MIN(ABS(ServerTypeA!$A$106:$A$165-$C193)),ABS(ServerTypeA!$A$106:$A$165-$C193),0)</f>
        <v>2</v>
      </c>
      <c r="E193" s="23">
        <f t="array" ref="E193">INDEX(ServerTypeA!$A$106:$A$165,MATCH(MIN(ABS(ServerTypeA!$A$106:$A$165-$C193)),ABS(ServerTypeA!$A$106:$A$165-$C193),0))</f>
        <v>0.2</v>
      </c>
      <c r="F193" s="80">
        <f t="shared" ca="1" si="43"/>
        <v>0</v>
      </c>
      <c r="G193" s="80">
        <f t="shared" ca="1" si="43"/>
        <v>0.1626364559668394</v>
      </c>
      <c r="H193" s="80">
        <f t="shared" ca="1" si="43"/>
        <v>0.44689177712898531</v>
      </c>
      <c r="I193" s="80">
        <f t="shared" ca="1" si="43"/>
        <v>0.25672841154259229</v>
      </c>
      <c r="J193" s="80">
        <f t="shared" ca="1" si="43"/>
        <v>8.0778867012517908E-2</v>
      </c>
      <c r="K193" s="80">
        <f t="shared" ca="1" si="43"/>
        <v>3.6441263038010985E-2</v>
      </c>
      <c r="L193" s="80">
        <f t="shared" ca="1" si="43"/>
        <v>1.1196275956871338E-2</v>
      </c>
      <c r="M193" s="80">
        <f t="shared" ca="1" si="43"/>
        <v>3.494913428613633E-3</v>
      </c>
      <c r="N193" s="80">
        <f t="shared" ca="1" si="43"/>
        <v>1.1292488621793551E-3</v>
      </c>
      <c r="O193" s="80">
        <f t="shared" ca="1" si="43"/>
        <v>3.8010943408661735E-4</v>
      </c>
      <c r="P193" s="80">
        <f t="shared" ca="1" si="44"/>
        <v>1.3344624165900765E-4</v>
      </c>
      <c r="Q193" s="80">
        <f t="shared" ca="1" si="44"/>
        <v>4.881027651226777E-5</v>
      </c>
      <c r="R193" s="80">
        <f t="shared" ca="1" si="44"/>
        <v>1.8562562802637572E-5</v>
      </c>
      <c r="S193" s="80">
        <f t="shared" ca="1" si="44"/>
        <v>7.3223909015096567E-6</v>
      </c>
      <c r="T193" s="80">
        <f t="shared" ca="1" si="44"/>
        <v>2.9888294735824772E-6</v>
      </c>
      <c r="U193" s="80">
        <f t="shared" ca="1" si="44"/>
        <v>1.2594040589286593E-6</v>
      </c>
      <c r="V193" s="80">
        <f t="shared" ca="1" si="44"/>
        <v>5.4662697912544189E-7</v>
      </c>
      <c r="W193" s="80">
        <f t="shared" ca="1" si="44"/>
        <v>2.4389220010245793E-7</v>
      </c>
      <c r="X193" s="80">
        <f t="shared" ca="1" si="44"/>
        <v>1.1165486546449443E-7</v>
      </c>
      <c r="Y193" s="80">
        <f t="shared" ca="1" si="44"/>
        <v>5.2359286684122708E-8</v>
      </c>
      <c r="Z193" s="80">
        <f t="shared" ca="1" si="44"/>
        <v>5.0177817123575608E-8</v>
      </c>
      <c r="AA193" s="80">
        <f ca="1">SUMPRODUCT(F193:Z193,FailureForCPU!E$17:Y$17)</f>
        <v>2.0660950502404687E-7</v>
      </c>
      <c r="AB193" s="80">
        <f t="shared" ca="1" si="45"/>
        <v>3.9511706059640419E-8</v>
      </c>
      <c r="AC193" s="80">
        <f t="shared" ca="1" si="46"/>
        <v>0.19123852937718283</v>
      </c>
      <c r="AD193" s="80">
        <f t="shared" ca="1" si="47"/>
        <v>0.99989071678725328</v>
      </c>
    </row>
    <row r="194" spans="1:30">
      <c r="A194" s="56">
        <v>3</v>
      </c>
      <c r="B194" s="12">
        <f t="shared" si="41"/>
        <v>0.17781025555555557</v>
      </c>
      <c r="C194" s="12">
        <f t="shared" si="42"/>
        <v>0.17781025555555557</v>
      </c>
      <c r="D194" s="23">
        <f t="array" ref="D194">MATCH(MIN(ABS(ServerTypeA!$A$106:$A$165-$C194)),ABS(ServerTypeA!$A$106:$A$165-$C194),0)</f>
        <v>2</v>
      </c>
      <c r="E194" s="23">
        <f t="array" ref="E194">INDEX(ServerTypeA!$A$106:$A$165,MATCH(MIN(ABS(ServerTypeA!$A$106:$A$165-$C194)),ABS(ServerTypeA!$A$106:$A$165-$C194),0))</f>
        <v>0.2</v>
      </c>
      <c r="F194" s="80">
        <f t="shared" ca="1" si="43"/>
        <v>0</v>
      </c>
      <c r="G194" s="80">
        <f t="shared" ca="1" si="43"/>
        <v>0.1626364559668394</v>
      </c>
      <c r="H194" s="80">
        <f t="shared" ca="1" si="43"/>
        <v>0.44689177712898531</v>
      </c>
      <c r="I194" s="80">
        <f t="shared" ca="1" si="43"/>
        <v>0.25672841154259229</v>
      </c>
      <c r="J194" s="80">
        <f t="shared" ca="1" si="43"/>
        <v>8.0778867012517908E-2</v>
      </c>
      <c r="K194" s="80">
        <f t="shared" ca="1" si="43"/>
        <v>3.6441263038010985E-2</v>
      </c>
      <c r="L194" s="80">
        <f t="shared" ca="1" si="43"/>
        <v>1.1196275956871338E-2</v>
      </c>
      <c r="M194" s="80">
        <f t="shared" ca="1" si="43"/>
        <v>3.494913428613633E-3</v>
      </c>
      <c r="N194" s="80">
        <f t="shared" ca="1" si="43"/>
        <v>1.1292488621793551E-3</v>
      </c>
      <c r="O194" s="80">
        <f t="shared" ca="1" si="43"/>
        <v>3.8010943408661735E-4</v>
      </c>
      <c r="P194" s="80">
        <f t="shared" ca="1" si="44"/>
        <v>1.3344624165900765E-4</v>
      </c>
      <c r="Q194" s="80">
        <f t="shared" ca="1" si="44"/>
        <v>4.881027651226777E-5</v>
      </c>
      <c r="R194" s="80">
        <f t="shared" ca="1" si="44"/>
        <v>1.8562562802637572E-5</v>
      </c>
      <c r="S194" s="80">
        <f t="shared" ca="1" si="44"/>
        <v>7.3223909015096567E-6</v>
      </c>
      <c r="T194" s="80">
        <f t="shared" ca="1" si="44"/>
        <v>2.9888294735824772E-6</v>
      </c>
      <c r="U194" s="80">
        <f t="shared" ca="1" si="44"/>
        <v>1.2594040589286593E-6</v>
      </c>
      <c r="V194" s="80">
        <f t="shared" ca="1" si="44"/>
        <v>5.4662697912544189E-7</v>
      </c>
      <c r="W194" s="80">
        <f t="shared" ca="1" si="44"/>
        <v>2.4389220010245793E-7</v>
      </c>
      <c r="X194" s="80">
        <f t="shared" ca="1" si="44"/>
        <v>1.1165486546449443E-7</v>
      </c>
      <c r="Y194" s="80">
        <f t="shared" ca="1" si="44"/>
        <v>5.2359286684122708E-8</v>
      </c>
      <c r="Z194" s="80">
        <f t="shared" ca="1" si="44"/>
        <v>5.0177817123575608E-8</v>
      </c>
      <c r="AA194" s="80">
        <f ca="1">SUMPRODUCT(F194:Z194,FailureForCPU!E$17:Y$17)</f>
        <v>2.0660950502404687E-7</v>
      </c>
      <c r="AB194" s="80">
        <f t="shared" ca="1" si="45"/>
        <v>3.6737288888532618E-8</v>
      </c>
      <c r="AC194" s="80">
        <f t="shared" ca="1" si="46"/>
        <v>0.1778102188182667</v>
      </c>
      <c r="AD194" s="80">
        <f t="shared" ca="1" si="47"/>
        <v>0.99989071678725328</v>
      </c>
    </row>
    <row r="195" spans="1:30">
      <c r="A195" s="56">
        <v>4</v>
      </c>
      <c r="B195" s="12">
        <f t="shared" si="41"/>
        <v>0.35924234000000005</v>
      </c>
      <c r="C195" s="12">
        <f t="shared" si="42"/>
        <v>0.35924234000000005</v>
      </c>
      <c r="D195" s="23">
        <f t="array" ref="D195">MATCH(MIN(ABS(ServerTypeA!$A$106:$A$165-$C195)),ABS(ServerTypeA!$A$106:$A$165-$C195),0)</f>
        <v>4</v>
      </c>
      <c r="E195" s="23">
        <f t="array" ref="E195">INDEX(ServerTypeA!$A$106:$A$165,MATCH(MIN(ABS(ServerTypeA!$A$106:$A$165-$C195)),ABS(ServerTypeA!$A$106:$A$165-$C195),0))</f>
        <v>0.4</v>
      </c>
      <c r="F195" s="80">
        <f t="shared" ca="1" si="43"/>
        <v>0</v>
      </c>
      <c r="G195" s="80">
        <f t="shared" ca="1" si="43"/>
        <v>4.8173495024784518E-2</v>
      </c>
      <c r="H195" s="80">
        <f t="shared" ca="1" si="43"/>
        <v>0.38674242167765105</v>
      </c>
      <c r="I195" s="80">
        <f t="shared" ca="1" si="43"/>
        <v>0.35996128270467487</v>
      </c>
      <c r="J195" s="80">
        <f t="shared" ca="1" si="43"/>
        <v>0.12840573422331936</v>
      </c>
      <c r="K195" s="80">
        <f t="shared" ca="1" si="43"/>
        <v>5.6094229657256189E-2</v>
      </c>
      <c r="L195" s="80">
        <f t="shared" ca="1" si="43"/>
        <v>1.5209033974828756E-2</v>
      </c>
      <c r="M195" s="80">
        <f t="shared" ca="1" si="43"/>
        <v>3.9746438089780511E-3</v>
      </c>
      <c r="N195" s="80">
        <f t="shared" ca="1" si="43"/>
        <v>1.0450649719873084E-3</v>
      </c>
      <c r="O195" s="80">
        <f t="shared" ca="1" si="43"/>
        <v>2.8192928270942552E-4</v>
      </c>
      <c r="P195" s="80">
        <f t="shared" ca="1" si="44"/>
        <v>7.8721555912264485E-5</v>
      </c>
      <c r="Q195" s="80">
        <f t="shared" ca="1" si="44"/>
        <v>2.2829740597640757E-5</v>
      </c>
      <c r="R195" s="80">
        <f t="shared" ca="1" si="44"/>
        <v>6.8815575364755688E-6</v>
      </c>
      <c r="S195" s="80">
        <f t="shared" ca="1" si="44"/>
        <v>2.1546338000444365E-6</v>
      </c>
      <c r="T195" s="80">
        <f t="shared" ca="1" si="44"/>
        <v>6.9981033046229157E-7</v>
      </c>
      <c r="U195" s="80">
        <f t="shared" ca="1" si="44"/>
        <v>2.3538909244003037E-7</v>
      </c>
      <c r="V195" s="80">
        <f t="shared" ca="1" si="44"/>
        <v>8.1849132360645172E-8</v>
      </c>
      <c r="W195" s="80">
        <f t="shared" ca="1" si="44"/>
        <v>2.9368769638438152E-8</v>
      </c>
      <c r="X195" s="80">
        <f t="shared" ca="1" si="44"/>
        <v>1.085533962719154E-8</v>
      </c>
      <c r="Y195" s="80">
        <f t="shared" ca="1" si="44"/>
        <v>4.126343045030012E-9</v>
      </c>
      <c r="Z195" s="80">
        <f t="shared" ca="1" si="44"/>
        <v>2.7148532311116469E-9</v>
      </c>
      <c r="AA195" s="80">
        <f ca="1">SUMPRODUCT(F195:Z195,FailureForCPU!E$17:Y$17)</f>
        <v>4.1768345534117412E-8</v>
      </c>
      <c r="AB195" s="80">
        <f t="shared" ca="1" si="45"/>
        <v>1.5004958187604891E-8</v>
      </c>
      <c r="AC195" s="80">
        <f t="shared" ca="1" si="46"/>
        <v>0.35924232499504188</v>
      </c>
      <c r="AD195" s="80">
        <f t="shared" ca="1" si="47"/>
        <v>0.99999948692789675</v>
      </c>
    </row>
    <row r="196" spans="1:30">
      <c r="A196" s="56">
        <v>5</v>
      </c>
      <c r="B196" s="12">
        <f t="shared" si="41"/>
        <v>0.95434750888888886</v>
      </c>
      <c r="C196" s="12">
        <f t="shared" si="42"/>
        <v>0.95434750888888886</v>
      </c>
      <c r="D196" s="23">
        <f t="array" ref="D196">MATCH(MIN(ABS(ServerTypeA!$A$106:$A$165-$C196)),ABS(ServerTypeA!$A$106:$A$165-$C196),0)</f>
        <v>10</v>
      </c>
      <c r="E196" s="23">
        <f t="array" ref="E196">INDEX(ServerTypeA!$A$106:$A$165,MATCH(MIN(ABS(ServerTypeA!$A$106:$A$165-$C196)),ABS(ServerTypeA!$A$106:$A$165-$C196),0))</f>
        <v>1</v>
      </c>
      <c r="F196" s="80">
        <f t="shared" ca="1" si="43"/>
        <v>0</v>
      </c>
      <c r="G196" s="80">
        <f t="shared" ca="1" si="43"/>
        <v>6.3362385179783882E-5</v>
      </c>
      <c r="H196" s="80">
        <f t="shared" ca="1" si="43"/>
        <v>3.2995538185137452E-2</v>
      </c>
      <c r="I196" s="80">
        <f t="shared" ca="1" si="43"/>
        <v>0.26726256706287965</v>
      </c>
      <c r="J196" s="80">
        <f t="shared" ca="1" si="43"/>
        <v>0.31013660162702217</v>
      </c>
      <c r="K196" s="80">
        <f t="shared" ca="1" si="43"/>
        <v>0.2532552756998514</v>
      </c>
      <c r="L196" s="80">
        <f t="shared" ca="1" si="43"/>
        <v>9.8107796915847922E-2</v>
      </c>
      <c r="M196" s="80">
        <f t="shared" ca="1" si="43"/>
        <v>2.8732042413077363E-2</v>
      </c>
      <c r="N196" s="80">
        <f t="shared" ca="1" si="43"/>
        <v>7.2542263535837481E-3</v>
      </c>
      <c r="O196" s="80">
        <f t="shared" ca="1" si="43"/>
        <v>1.6975679546920031E-3</v>
      </c>
      <c r="P196" s="80">
        <f t="shared" ca="1" si="44"/>
        <v>3.8387097105896384E-4</v>
      </c>
      <c r="Q196" s="80">
        <f t="shared" ca="1" si="44"/>
        <v>8.5988652237634078E-5</v>
      </c>
      <c r="R196" s="80">
        <f t="shared" ca="1" si="44"/>
        <v>1.9370639502747089E-5</v>
      </c>
      <c r="S196" s="80">
        <f t="shared" ca="1" si="44"/>
        <v>4.4290582862371863E-6</v>
      </c>
      <c r="T196" s="80">
        <f t="shared" ca="1" si="44"/>
        <v>1.033706087172348E-6</v>
      </c>
      <c r="U196" s="80">
        <f t="shared" ca="1" si="44"/>
        <v>2.4709440304970798E-7</v>
      </c>
      <c r="V196" s="80">
        <f t="shared" ca="1" si="44"/>
        <v>6.0608630669811703E-8</v>
      </c>
      <c r="W196" s="80">
        <f t="shared" ca="1" si="44"/>
        <v>1.5269196684819519E-8</v>
      </c>
      <c r="X196" s="80">
        <f t="shared" ca="1" si="44"/>
        <v>3.9522030093053218E-9</v>
      </c>
      <c r="Y196" s="80">
        <f t="shared" ca="1" si="44"/>
        <v>1.0508791614682877E-9</v>
      </c>
      <c r="Z196" s="80">
        <f t="shared" ca="1" si="44"/>
        <v>4.0024294989393638E-10</v>
      </c>
      <c r="AA196" s="80">
        <f ca="1">SUMPRODUCT(F196:Z196,FailureForCPU!E$17:Y$17)</f>
        <v>6.3473937673511974E-8</v>
      </c>
      <c r="AB196" s="80">
        <f t="shared" ca="1" si="45"/>
        <v>6.0576194298084753E-8</v>
      </c>
      <c r="AC196" s="80">
        <f t="shared" ca="1" si="46"/>
        <v>0.95434744831269458</v>
      </c>
      <c r="AD196" s="80">
        <f t="shared" ca="1" si="47"/>
        <v>0.99999999999999978</v>
      </c>
    </row>
    <row r="197" spans="1:30">
      <c r="A197" s="56">
        <v>6</v>
      </c>
      <c r="B197" s="12">
        <f t="shared" si="41"/>
        <v>1.3952391016858241</v>
      </c>
      <c r="C197" s="12">
        <f t="shared" si="42"/>
        <v>1.3952391016858241</v>
      </c>
      <c r="D197" s="23">
        <f t="array" ref="D197">MATCH(MIN(ABS(ServerTypeA!$A$106:$A$165-$C197)),ABS(ServerTypeA!$A$106:$A$165-$C197),0)</f>
        <v>14</v>
      </c>
      <c r="E197" s="23">
        <f t="array" ref="E197">INDEX(ServerTypeA!$A$106:$A$165,MATCH(MIN(ABS(ServerTypeA!$A$106:$A$165-$C197)),ABS(ServerTypeA!$A$106:$A$165-$C197),0))</f>
        <v>1.4</v>
      </c>
      <c r="F197" s="80">
        <f t="shared" ca="1" si="43"/>
        <v>0</v>
      </c>
      <c r="G197" s="80">
        <f t="shared" ca="1" si="43"/>
        <v>5.7047203781505807E-8</v>
      </c>
      <c r="H197" s="80">
        <f t="shared" ca="1" si="43"/>
        <v>1.2164947634970128E-3</v>
      </c>
      <c r="I197" s="80">
        <f t="shared" ca="1" si="43"/>
        <v>6.1107180217783164E-2</v>
      </c>
      <c r="J197" s="80">
        <f t="shared" ca="1" si="43"/>
        <v>0.20519986834614401</v>
      </c>
      <c r="K197" s="80">
        <f t="shared" ca="1" si="43"/>
        <v>0.35393725260419706</v>
      </c>
      <c r="L197" s="80">
        <f t="shared" ca="1" si="43"/>
        <v>0.23797616540794975</v>
      </c>
      <c r="M197" s="80">
        <f t="shared" ca="1" si="43"/>
        <v>9.8998386993275234E-2</v>
      </c>
      <c r="N197" s="80">
        <f t="shared" ca="1" si="43"/>
        <v>3.0942177429169604E-2</v>
      </c>
      <c r="O197" s="80">
        <f t="shared" ca="1" si="43"/>
        <v>8.1406156055102707E-3</v>
      </c>
      <c r="P197" s="80">
        <f t="shared" ca="1" si="44"/>
        <v>1.9315032419103817E-3</v>
      </c>
      <c r="Q197" s="80">
        <f t="shared" ca="1" si="44"/>
        <v>4.3157453216891017E-4</v>
      </c>
      <c r="R197" s="80">
        <f t="shared" ca="1" si="44"/>
        <v>9.3381147563964539E-5</v>
      </c>
      <c r="S197" s="80">
        <f t="shared" ca="1" si="44"/>
        <v>1.9929403250573685E-5</v>
      </c>
      <c r="T197" s="80">
        <f t="shared" ca="1" si="44"/>
        <v>4.2472546489813467E-6</v>
      </c>
      <c r="U197" s="80">
        <f t="shared" ca="1" si="44"/>
        <v>9.1141149816120759E-7</v>
      </c>
      <c r="V197" s="80">
        <f t="shared" ca="1" si="44"/>
        <v>1.9804408701862286E-7</v>
      </c>
      <c r="W197" s="80">
        <f t="shared" ca="1" si="44"/>
        <v>4.3742479083341834E-8</v>
      </c>
      <c r="X197" s="80">
        <f t="shared" ca="1" si="44"/>
        <v>9.8455228414451312E-9</v>
      </c>
      <c r="Y197" s="80">
        <f t="shared" ca="1" si="44"/>
        <v>2.2619285333647099E-9</v>
      </c>
      <c r="Z197" s="80">
        <f t="shared" ca="1" si="44"/>
        <v>7.0021166642675325E-10</v>
      </c>
      <c r="AA197" s="80">
        <f ca="1">SUMPRODUCT(F197:Z197,FailureForCPU!E$17:Y$17)</f>
        <v>2.6914387304954884E-7</v>
      </c>
      <c r="AB197" s="80">
        <f t="shared" ca="1" si="45"/>
        <v>3.75520055657896E-7</v>
      </c>
      <c r="AC197" s="80">
        <f t="shared" ca="1" si="46"/>
        <v>1.3952387261657684</v>
      </c>
      <c r="AD197" s="80">
        <f t="shared" ca="1" si="47"/>
        <v>1</v>
      </c>
    </row>
    <row r="198" spans="1:30">
      <c r="A198" s="56">
        <v>7</v>
      </c>
      <c r="B198" s="12">
        <f t="shared" si="41"/>
        <v>1.6468302396934869</v>
      </c>
      <c r="C198" s="12">
        <f t="shared" si="42"/>
        <v>1.6468302396934869</v>
      </c>
      <c r="D198" s="23">
        <f t="array" ref="D198">MATCH(MIN(ABS(ServerTypeA!$A$106:$A$165-$C198)),ABS(ServerTypeA!$A$106:$A$165-$C198),0)</f>
        <v>16</v>
      </c>
      <c r="E198" s="23">
        <f t="array" ref="E198">INDEX(ServerTypeA!$A$106:$A$165,MATCH(MIN(ABS(ServerTypeA!$A$106:$A$165-$C198)),ABS(ServerTypeA!$A$106:$A$165-$C198),0))</f>
        <v>1.6</v>
      </c>
      <c r="F198" s="80">
        <f t="shared" ca="1" si="43"/>
        <v>0</v>
      </c>
      <c r="G198" s="80">
        <f t="shared" ca="1" si="43"/>
        <v>8.1350809843631672E-10</v>
      </c>
      <c r="H198" s="80">
        <f t="shared" ca="1" si="43"/>
        <v>1.427512050518567E-4</v>
      </c>
      <c r="I198" s="80">
        <f t="shared" ca="1" si="43"/>
        <v>2.0274572479921149E-2</v>
      </c>
      <c r="J198" s="80">
        <f t="shared" ca="1" si="43"/>
        <v>0.12036931898132286</v>
      </c>
      <c r="K198" s="80">
        <f t="shared" ca="1" si="43"/>
        <v>0.32211052404267448</v>
      </c>
      <c r="L198" s="80">
        <f t="shared" ca="1" si="43"/>
        <v>0.30133621146224654</v>
      </c>
      <c r="M198" s="80">
        <f t="shared" ca="1" si="43"/>
        <v>0.1569480222085049</v>
      </c>
      <c r="N198" s="80">
        <f t="shared" ca="1" si="43"/>
        <v>5.6971944660229146E-2</v>
      </c>
      <c r="O198" s="80">
        <f t="shared" ca="1" si="43"/>
        <v>1.6494247752328217E-2</v>
      </c>
      <c r="P198" s="80">
        <f t="shared" ca="1" si="44"/>
        <v>4.1403209945301001E-3</v>
      </c>
      <c r="Q198" s="80">
        <f t="shared" ca="1" si="44"/>
        <v>9.5045255419878849E-4</v>
      </c>
      <c r="R198" s="80">
        <f t="shared" ca="1" si="44"/>
        <v>2.0664830996963701E-4</v>
      </c>
      <c r="S198" s="80">
        <f t="shared" ca="1" si="44"/>
        <v>4.3566723902155324E-5</v>
      </c>
      <c r="T198" s="80">
        <f t="shared" ca="1" si="44"/>
        <v>9.0507869255906925E-6</v>
      </c>
      <c r="U198" s="80">
        <f t="shared" ca="1" si="44"/>
        <v>1.8735623974475146E-6</v>
      </c>
      <c r="V198" s="80">
        <f t="shared" ca="1" si="44"/>
        <v>3.8948072711431081E-7</v>
      </c>
      <c r="W198" s="80">
        <f t="shared" ca="1" si="44"/>
        <v>8.1755215486367661E-8</v>
      </c>
      <c r="X198" s="80">
        <f t="shared" ca="1" si="44"/>
        <v>1.7394973128581626E-8</v>
      </c>
      <c r="Y198" s="80">
        <f t="shared" ca="1" si="44"/>
        <v>3.7615791592671144E-9</v>
      </c>
      <c r="Z198" s="80">
        <f t="shared" ca="1" si="44"/>
        <v>1.069794142161129E-9</v>
      </c>
      <c r="AA198" s="80">
        <f ca="1">SUMPRODUCT(F198:Z198,FailureForCPU!E$17:Y$17)</f>
        <v>5.7891150307317241E-7</v>
      </c>
      <c r="AB198" s="80">
        <f t="shared" ca="1" si="45"/>
        <v>9.5336896936730931E-7</v>
      </c>
      <c r="AC198" s="80">
        <f t="shared" ca="1" si="46"/>
        <v>1.6468292863245175</v>
      </c>
      <c r="AD198" s="80">
        <f t="shared" ca="1" si="47"/>
        <v>1</v>
      </c>
    </row>
    <row r="199" spans="1:30">
      <c r="A199" s="56">
        <v>8</v>
      </c>
      <c r="B199" s="12">
        <f t="shared" si="41"/>
        <v>1.8977111415325671</v>
      </c>
      <c r="C199" s="12">
        <f t="shared" si="42"/>
        <v>1.8977111415325671</v>
      </c>
      <c r="D199" s="23">
        <f t="array" ref="D199">MATCH(MIN(ABS(ServerTypeA!$A$106:$A$165-$C199)),ABS(ServerTypeA!$A$106:$A$165-$C199),0)</f>
        <v>19</v>
      </c>
      <c r="E199" s="23">
        <f t="array" ref="E199">INDEX(ServerTypeA!$A$106:$A$165,MATCH(MIN(ABS(ServerTypeA!$A$106:$A$165-$C199)),ABS(ServerTypeA!$A$106:$A$165-$C199),0))</f>
        <v>1.9</v>
      </c>
      <c r="F199" s="80">
        <f t="shared" ca="1" si="43"/>
        <v>0</v>
      </c>
      <c r="G199" s="80">
        <f t="shared" ca="1" si="43"/>
        <v>5.7158460567334667E-13</v>
      </c>
      <c r="H199" s="80">
        <f t="shared" ca="1" si="43"/>
        <v>3.1701372202456796E-6</v>
      </c>
      <c r="I199" s="80">
        <f t="shared" ca="1" si="43"/>
        <v>2.5214304195275705E-3</v>
      </c>
      <c r="J199" s="80">
        <f t="shared" ca="1" si="43"/>
        <v>3.6917438819851656E-2</v>
      </c>
      <c r="K199" s="80">
        <f t="shared" ca="1" si="43"/>
        <v>0.20438495361532483</v>
      </c>
      <c r="L199" s="80">
        <f t="shared" ca="1" si="43"/>
        <v>0.32947828873508789</v>
      </c>
      <c r="M199" s="80">
        <f t="shared" ca="1" si="43"/>
        <v>0.25151339442566145</v>
      </c>
      <c r="N199" s="80">
        <f t="shared" ca="1" si="43"/>
        <v>0.11888602524109571</v>
      </c>
      <c r="O199" s="80">
        <f t="shared" ca="1" si="43"/>
        <v>4.1104401465784313E-2</v>
      </c>
      <c r="P199" s="80">
        <f t="shared" ca="1" si="44"/>
        <v>1.1557531471714677E-2</v>
      </c>
      <c r="Q199" s="80">
        <f t="shared" ca="1" si="44"/>
        <v>2.8322550791273216E-3</v>
      </c>
      <c r="R199" s="80">
        <f t="shared" ca="1" si="44"/>
        <v>6.3364061512283243E-4</v>
      </c>
      <c r="S199" s="80">
        <f t="shared" ca="1" si="44"/>
        <v>1.3360164088005444E-4</v>
      </c>
      <c r="T199" s="80">
        <f t="shared" ca="1" si="44"/>
        <v>2.7145120289340241E-5</v>
      </c>
      <c r="U199" s="80">
        <f t="shared" ca="1" si="44"/>
        <v>5.3992629335253284E-6</v>
      </c>
      <c r="V199" s="80">
        <f t="shared" ca="1" si="44"/>
        <v>1.0633187061959148E-6</v>
      </c>
      <c r="W199" s="80">
        <f t="shared" ca="1" si="44"/>
        <v>2.0904952280353939E-7</v>
      </c>
      <c r="X199" s="80">
        <f t="shared" ca="1" si="44"/>
        <v>4.1275919571148734E-8</v>
      </c>
      <c r="Y199" s="80">
        <f t="shared" ca="1" si="44"/>
        <v>8.2207582963178538E-9</v>
      </c>
      <c r="Z199" s="80">
        <f t="shared" ca="1" si="44"/>
        <v>2.0849001414191548E-9</v>
      </c>
      <c r="AA199" s="80">
        <f ca="1">SUMPRODUCT(F199:Z199,FailureForCPU!E$17:Y$17)</f>
        <v>1.7488299276965007E-6</v>
      </c>
      <c r="AB199" s="80">
        <f t="shared" ca="1" si="45"/>
        <v>3.3187740384352432E-6</v>
      </c>
      <c r="AC199" s="80">
        <f t="shared" ca="1" si="46"/>
        <v>1.8977078227585287</v>
      </c>
      <c r="AD199" s="80">
        <f t="shared" ca="1" si="47"/>
        <v>1</v>
      </c>
    </row>
    <row r="200" spans="1:30">
      <c r="A200" s="56">
        <v>9</v>
      </c>
      <c r="B200" s="12">
        <f t="shared" si="41"/>
        <v>2.1127480528735636</v>
      </c>
      <c r="C200" s="12">
        <f t="shared" si="42"/>
        <v>2.1127480528735636</v>
      </c>
      <c r="D200" s="23">
        <f t="array" ref="D200">MATCH(MIN(ABS(ServerTypeA!$A$106:$A$165-$C200)),ABS(ServerTypeA!$A$106:$A$165-$C200),0)</f>
        <v>21</v>
      </c>
      <c r="E200" s="23">
        <f t="array" ref="E200">INDEX(ServerTypeA!$A$106:$A$165,MATCH(MIN(ABS(ServerTypeA!$A$106:$A$165-$C200)),ABS(ServerTypeA!$A$106:$A$165-$C200),0))</f>
        <v>2.1</v>
      </c>
      <c r="F200" s="80">
        <f t="shared" ca="1" si="43"/>
        <v>0</v>
      </c>
      <c r="G200" s="80">
        <f t="shared" ca="1" si="43"/>
        <v>2.5357922694985603E-15</v>
      </c>
      <c r="H200" s="80">
        <f t="shared" ca="1" si="43"/>
        <v>1.702973368267634E-7</v>
      </c>
      <c r="I200" s="80">
        <f t="shared" ca="1" si="43"/>
        <v>4.7617402327868697E-4</v>
      </c>
      <c r="J200" s="80">
        <f t="shared" ca="1" si="43"/>
        <v>1.3224086946461266E-2</v>
      </c>
      <c r="K200" s="80">
        <f t="shared" ca="1" si="43"/>
        <v>0.12413549219269859</v>
      </c>
      <c r="L200" s="80">
        <f t="shared" ca="1" si="43"/>
        <v>0.29551688970197165</v>
      </c>
      <c r="M200" s="80">
        <f t="shared" ca="1" si="43"/>
        <v>0.29844063028975598</v>
      </c>
      <c r="N200" s="80">
        <f t="shared" ca="1" si="43"/>
        <v>0.17196326563138287</v>
      </c>
      <c r="O200" s="80">
        <f t="shared" ca="1" si="43"/>
        <v>6.8192738245804185E-2</v>
      </c>
      <c r="P200" s="80">
        <f t="shared" ca="1" si="44"/>
        <v>2.1010021948516533E-2</v>
      </c>
      <c r="Q200" s="80">
        <f t="shared" ca="1" si="44"/>
        <v>5.4495764603040842E-3</v>
      </c>
      <c r="R200" s="80">
        <f t="shared" ca="1" si="44"/>
        <v>1.2565417597770745E-3</v>
      </c>
      <c r="S200" s="80">
        <f t="shared" ca="1" si="44"/>
        <v>2.6744785902110824E-4</v>
      </c>
      <c r="T200" s="80">
        <f t="shared" ca="1" si="44"/>
        <v>5.3964566450792617E-5</v>
      </c>
      <c r="U200" s="80">
        <f t="shared" ca="1" si="44"/>
        <v>1.0521585664613475E-5</v>
      </c>
      <c r="V200" s="80">
        <f t="shared" ca="1" si="44"/>
        <v>2.0099721521615876E-6</v>
      </c>
      <c r="W200" s="80">
        <f t="shared" ca="1" si="44"/>
        <v>3.8007576763643414E-7</v>
      </c>
      <c r="X200" s="80">
        <f t="shared" ca="1" si="44"/>
        <v>7.1681720892335932E-8</v>
      </c>
      <c r="Y200" s="80">
        <f t="shared" ca="1" si="44"/>
        <v>1.3559813938357479E-8</v>
      </c>
      <c r="Z200" s="80">
        <f t="shared" ca="1" si="44"/>
        <v>3.202118570300172E-9</v>
      </c>
      <c r="AA200" s="80">
        <f ca="1">SUMPRODUCT(F200:Z200,FailureForCPU!E$17:Y$17)</f>
        <v>3.4805579297516227E-6</v>
      </c>
      <c r="AB200" s="80">
        <f t="shared" ca="1" si="45"/>
        <v>7.353541988996382E-6</v>
      </c>
      <c r="AC200" s="80">
        <f t="shared" ca="1" si="46"/>
        <v>2.1127406993315745</v>
      </c>
      <c r="AD200" s="80">
        <f t="shared" ca="1" si="47"/>
        <v>1</v>
      </c>
    </row>
    <row r="201" spans="1:30">
      <c r="A201" s="56">
        <v>10</v>
      </c>
      <c r="B201" s="12">
        <f t="shared" si="41"/>
        <v>2.2471277933333327</v>
      </c>
      <c r="C201" s="12">
        <f t="shared" si="42"/>
        <v>2.2471277933333327</v>
      </c>
      <c r="D201" s="23">
        <f t="array" ref="D201">MATCH(MIN(ABS(ServerTypeA!$A$106:$A$165-$C201)),ABS(ServerTypeA!$A$106:$A$165-$C201),0)</f>
        <v>22</v>
      </c>
      <c r="E201" s="23">
        <f t="array" ref="E201">INDEX(ServerTypeA!$A$106:$A$165,MATCH(MIN(ABS(ServerTypeA!$A$106:$A$165-$C201)),ABS(ServerTypeA!$A$106:$A$165-$C201),0))</f>
        <v>2.2000000000000002</v>
      </c>
      <c r="F201" s="80">
        <f t="shared" ref="F201:O214" ca="1" si="48">OFFSET($B$106,$D201-1,F$221,1,1)</f>
        <v>0</v>
      </c>
      <c r="G201" s="80">
        <f t="shared" ca="1" si="48"/>
        <v>1.4197865135647501E-16</v>
      </c>
      <c r="H201" s="80">
        <f t="shared" ca="1" si="48"/>
        <v>3.5178484297494661E-8</v>
      </c>
      <c r="I201" s="80">
        <f t="shared" ca="1" si="48"/>
        <v>1.9059109896381863E-4</v>
      </c>
      <c r="J201" s="80">
        <f t="shared" ca="1" si="48"/>
        <v>7.3891799340688458E-3</v>
      </c>
      <c r="K201" s="80">
        <f t="shared" ca="1" si="48"/>
        <v>9.1526270384004405E-2</v>
      </c>
      <c r="L201" s="80">
        <f t="shared" ca="1" si="48"/>
        <v>0.26679036397934275</v>
      </c>
      <c r="M201" s="80">
        <f t="shared" ca="1" si="48"/>
        <v>0.31199858065834007</v>
      </c>
      <c r="N201" s="80">
        <f t="shared" ca="1" si="48"/>
        <v>0.19967588337153253</v>
      </c>
      <c r="O201" s="80">
        <f t="shared" ca="1" si="48"/>
        <v>8.5232169616926923E-2</v>
      </c>
      <c r="P201" s="80">
        <f t="shared" ref="P201:Z214" ca="1" si="49">OFFSET($B$106,$D201-1,P$221,1,1)</f>
        <v>2.7604715117663936E-2</v>
      </c>
      <c r="Q201" s="80">
        <f t="shared" ca="1" si="49"/>
        <v>7.3921295639194362E-3</v>
      </c>
      <c r="R201" s="80">
        <f t="shared" ca="1" si="49"/>
        <v>1.7353282851382268E-3</v>
      </c>
      <c r="S201" s="80">
        <f t="shared" ca="1" si="49"/>
        <v>3.7197373049924209E-4</v>
      </c>
      <c r="T201" s="80">
        <f t="shared" ca="1" si="49"/>
        <v>7.4939643748717089E-5</v>
      </c>
      <c r="U201" s="80">
        <f t="shared" ca="1" si="49"/>
        <v>1.4488656518762966E-5</v>
      </c>
      <c r="V201" s="80">
        <f t="shared" ca="1" si="49"/>
        <v>2.7294494167051653E-6</v>
      </c>
      <c r="W201" s="80">
        <f t="shared" ca="1" si="49"/>
        <v>5.0668760964711623E-7</v>
      </c>
      <c r="X201" s="80">
        <f t="shared" ca="1" si="49"/>
        <v>9.3468969675214453E-8</v>
      </c>
      <c r="Y201" s="80">
        <f t="shared" ca="1" si="49"/>
        <v>1.7242146377327572E-8</v>
      </c>
      <c r="Z201" s="80">
        <f t="shared" ca="1" si="49"/>
        <v>3.9327054945914597E-9</v>
      </c>
      <c r="AA201" s="80">
        <f ca="1">SUMPRODUCT(F201:Z201,FailureForCPU!E$17:Y$17)</f>
        <v>4.8314492097689671E-6</v>
      </c>
      <c r="AB201" s="80">
        <f t="shared" ca="1" si="45"/>
        <v>1.0856883801350214E-5</v>
      </c>
      <c r="AC201" s="80">
        <f t="shared" ca="1" si="46"/>
        <v>2.2471169364495314</v>
      </c>
      <c r="AD201" s="80">
        <f t="shared" ca="1" si="47"/>
        <v>1</v>
      </c>
    </row>
    <row r="202" spans="1:30">
      <c r="A202" s="56">
        <v>11</v>
      </c>
      <c r="B202" s="12">
        <f t="shared" si="41"/>
        <v>2.3458744600000001</v>
      </c>
      <c r="C202" s="12">
        <f t="shared" si="42"/>
        <v>2.3458744600000001</v>
      </c>
      <c r="D202" s="23">
        <f t="array" ref="D202">MATCH(MIN(ABS(ServerTypeA!$A$106:$A$165-$C202)),ABS(ServerTypeA!$A$106:$A$165-$C202),0)</f>
        <v>23</v>
      </c>
      <c r="E202" s="23">
        <f t="array" ref="E202">INDEX(ServerTypeA!$A$106:$A$165,MATCH(MIN(ABS(ServerTypeA!$A$106:$A$165-$C202)),ABS(ServerTypeA!$A$106:$A$165-$C202),0))</f>
        <v>2.2999999999999998</v>
      </c>
      <c r="F202" s="80">
        <f t="shared" ca="1" si="48"/>
        <v>0</v>
      </c>
      <c r="G202" s="80">
        <f t="shared" ca="1" si="48"/>
        <v>7.0657294544177229E-18</v>
      </c>
      <c r="H202" s="80">
        <f t="shared" ca="1" si="48"/>
        <v>6.7238726448175657E-9</v>
      </c>
      <c r="I202" s="80">
        <f t="shared" ca="1" si="48"/>
        <v>7.2182403488525558E-5</v>
      </c>
      <c r="J202" s="80">
        <f t="shared" ca="1" si="48"/>
        <v>3.9460356627938342E-3</v>
      </c>
      <c r="K202" s="80">
        <f t="shared" ca="1" si="48"/>
        <v>6.5095372899179882E-2</v>
      </c>
      <c r="L202" s="80">
        <f t="shared" ca="1" si="48"/>
        <v>0.23352595939847376</v>
      </c>
      <c r="M202" s="80">
        <f t="shared" ca="1" si="48"/>
        <v>0.31764125546533772</v>
      </c>
      <c r="N202" s="80">
        <f t="shared" ca="1" si="48"/>
        <v>0.22666710323925121</v>
      </c>
      <c r="O202" s="80">
        <f t="shared" ca="1" si="48"/>
        <v>0.1044896259873298</v>
      </c>
      <c r="P202" s="80">
        <f t="shared" ca="1" si="49"/>
        <v>3.5672462103660596E-2</v>
      </c>
      <c r="Q202" s="80">
        <f t="shared" ca="1" si="49"/>
        <v>9.8842744218808898E-3</v>
      </c>
      <c r="R202" s="80">
        <f t="shared" ca="1" si="49"/>
        <v>2.3667328600559534E-3</v>
      </c>
      <c r="S202" s="80">
        <f t="shared" ca="1" si="49"/>
        <v>5.1167201767454706E-4</v>
      </c>
      <c r="T202" s="80">
        <f t="shared" ca="1" si="49"/>
        <v>1.0304770744595793E-4</v>
      </c>
      <c r="U202" s="80">
        <f t="shared" ca="1" si="49"/>
        <v>1.9774762235469368E-5</v>
      </c>
      <c r="V202" s="80">
        <f t="shared" ca="1" si="49"/>
        <v>3.6763825657093463E-6</v>
      </c>
      <c r="W202" s="80">
        <f t="shared" ca="1" si="49"/>
        <v>6.7037949680326392E-7</v>
      </c>
      <c r="X202" s="80">
        <f t="shared" ca="1" si="49"/>
        <v>1.2101077295767482E-7</v>
      </c>
      <c r="Y202" s="80">
        <f t="shared" ca="1" si="49"/>
        <v>2.1775074521279691E-8</v>
      </c>
      <c r="Z202" s="80">
        <f t="shared" ca="1" si="49"/>
        <v>4.7994092033931679E-9</v>
      </c>
      <c r="AA202" s="80">
        <f ca="1">SUMPRODUCT(F202:Z202,FailureForCPU!E$17:Y$17)</f>
        <v>6.6368706425327473E-6</v>
      </c>
      <c r="AB202" s="80">
        <f t="shared" ca="1" si="45"/>
        <v>1.5569265334641363E-5</v>
      </c>
      <c r="AC202" s="80">
        <f t="shared" ca="1" si="46"/>
        <v>2.3458588907346654</v>
      </c>
      <c r="AD202" s="80">
        <f t="shared" ca="1" si="47"/>
        <v>1</v>
      </c>
    </row>
    <row r="203" spans="1:30">
      <c r="A203" s="56">
        <v>12</v>
      </c>
      <c r="B203" s="12">
        <f t="shared" si="41"/>
        <v>2.6348075555555552</v>
      </c>
      <c r="C203" s="12">
        <f t="shared" si="42"/>
        <v>2.6348075555555552</v>
      </c>
      <c r="D203" s="23">
        <f t="array" ref="D203">MATCH(MIN(ABS(ServerTypeA!$A$106:$A$165-$C203)),ABS(ServerTypeA!$A$106:$A$165-$C203),0)</f>
        <v>26</v>
      </c>
      <c r="E203" s="23">
        <f t="array" ref="E203">INDEX(ServerTypeA!$A$106:$A$165,MATCH(MIN(ABS(ServerTypeA!$A$106:$A$165-$C203)),ABS(ServerTypeA!$A$106:$A$165-$C203),0))</f>
        <v>2.6</v>
      </c>
      <c r="F203" s="80">
        <f t="shared" ca="1" si="48"/>
        <v>0</v>
      </c>
      <c r="G203" s="80">
        <f t="shared" ca="1" si="48"/>
        <v>4.1517385378884819E-22</v>
      </c>
      <c r="H203" s="80">
        <f t="shared" ca="1" si="48"/>
        <v>2.8903425747891523E-11</v>
      </c>
      <c r="I203" s="80">
        <f t="shared" ca="1" si="48"/>
        <v>2.7804031928019435E-6</v>
      </c>
      <c r="J203" s="80">
        <f t="shared" ca="1" si="48"/>
        <v>4.5602402944500131E-4</v>
      </c>
      <c r="K203" s="80">
        <f t="shared" ca="1" si="48"/>
        <v>1.8883522445358736E-2</v>
      </c>
      <c r="L203" s="80">
        <f t="shared" ca="1" si="48"/>
        <v>0.13061530866486804</v>
      </c>
      <c r="M203" s="80">
        <f t="shared" ca="1" si="48"/>
        <v>0.28730789643090338</v>
      </c>
      <c r="N203" s="80">
        <f t="shared" ca="1" si="48"/>
        <v>0.29107969316933491</v>
      </c>
      <c r="O203" s="80">
        <f t="shared" ca="1" si="48"/>
        <v>0.17248975955743917</v>
      </c>
      <c r="P203" s="80">
        <f t="shared" ca="1" si="49"/>
        <v>7.0149876880944095E-2</v>
      </c>
      <c r="Q203" s="80">
        <f t="shared" ca="1" si="49"/>
        <v>2.1835089466053503E-2</v>
      </c>
      <c r="R203" s="80">
        <f t="shared" ca="1" si="49"/>
        <v>5.6110745400143047E-3</v>
      </c>
      <c r="S203" s="80">
        <f t="shared" ca="1" si="49"/>
        <v>1.2559837851893185E-3</v>
      </c>
      <c r="T203" s="80">
        <f t="shared" ca="1" si="49"/>
        <v>2.5453042509659962E-4</v>
      </c>
      <c r="U203" s="80">
        <f t="shared" ca="1" si="49"/>
        <v>4.8038098002578522E-5</v>
      </c>
      <c r="V203" s="80">
        <f t="shared" ca="1" si="49"/>
        <v>8.6224317851213428E-6</v>
      </c>
      <c r="W203" s="80">
        <f t="shared" ca="1" si="49"/>
        <v>1.4952434074233523E-6</v>
      </c>
      <c r="X203" s="80">
        <f t="shared" ca="1" si="49"/>
        <v>2.5352590016236576E-7</v>
      </c>
      <c r="Y203" s="80">
        <f t="shared" ca="1" si="49"/>
        <v>4.2416263723588088E-8</v>
      </c>
      <c r="Z203" s="80">
        <f t="shared" ca="1" si="49"/>
        <v>8.4578977155302937E-9</v>
      </c>
      <c r="AA203" s="80">
        <f ca="1">SUMPRODUCT(F203:Z203,FailureForCPU!E$17:Y$17)</f>
        <v>1.628052081663704E-5</v>
      </c>
      <c r="AB203" s="80">
        <f t="shared" ca="1" si="45"/>
        <v>4.2896039256054771E-5</v>
      </c>
      <c r="AC203" s="80">
        <f t="shared" ca="1" si="46"/>
        <v>2.634764659516299</v>
      </c>
      <c r="AD203" s="80">
        <f t="shared" ca="1" si="47"/>
        <v>1</v>
      </c>
    </row>
    <row r="204" spans="1:30">
      <c r="A204" s="56">
        <v>13</v>
      </c>
      <c r="B204" s="12">
        <f t="shared" si="41"/>
        <v>2.5970738657471264</v>
      </c>
      <c r="C204" s="12">
        <f t="shared" si="42"/>
        <v>2.5970738657471264</v>
      </c>
      <c r="D204" s="23">
        <f t="array" ref="D204">MATCH(MIN(ABS(ServerTypeA!$A$106:$A$165-$C204)),ABS(ServerTypeA!$A$106:$A$165-$C204),0)</f>
        <v>26</v>
      </c>
      <c r="E204" s="23">
        <f t="array" ref="E204">INDEX(ServerTypeA!$A$106:$A$165,MATCH(MIN(ABS(ServerTypeA!$A$106:$A$165-$C204)),ABS(ServerTypeA!$A$106:$A$165-$C204),0))</f>
        <v>2.6</v>
      </c>
      <c r="F204" s="80">
        <f t="shared" ca="1" si="48"/>
        <v>0</v>
      </c>
      <c r="G204" s="80">
        <f t="shared" ca="1" si="48"/>
        <v>4.1517385378884819E-22</v>
      </c>
      <c r="H204" s="80">
        <f t="shared" ca="1" si="48"/>
        <v>2.8903425747891523E-11</v>
      </c>
      <c r="I204" s="80">
        <f t="shared" ca="1" si="48"/>
        <v>2.7804031928019435E-6</v>
      </c>
      <c r="J204" s="80">
        <f t="shared" ca="1" si="48"/>
        <v>4.5602402944500131E-4</v>
      </c>
      <c r="K204" s="80">
        <f t="shared" ca="1" si="48"/>
        <v>1.8883522445358736E-2</v>
      </c>
      <c r="L204" s="80">
        <f t="shared" ca="1" si="48"/>
        <v>0.13061530866486804</v>
      </c>
      <c r="M204" s="80">
        <f t="shared" ca="1" si="48"/>
        <v>0.28730789643090338</v>
      </c>
      <c r="N204" s="80">
        <f t="shared" ca="1" si="48"/>
        <v>0.29107969316933491</v>
      </c>
      <c r="O204" s="80">
        <f t="shared" ca="1" si="48"/>
        <v>0.17248975955743917</v>
      </c>
      <c r="P204" s="80">
        <f t="shared" ca="1" si="49"/>
        <v>7.0149876880944095E-2</v>
      </c>
      <c r="Q204" s="80">
        <f t="shared" ca="1" si="49"/>
        <v>2.1835089466053503E-2</v>
      </c>
      <c r="R204" s="80">
        <f t="shared" ca="1" si="49"/>
        <v>5.6110745400143047E-3</v>
      </c>
      <c r="S204" s="80">
        <f t="shared" ca="1" si="49"/>
        <v>1.2559837851893185E-3</v>
      </c>
      <c r="T204" s="80">
        <f t="shared" ca="1" si="49"/>
        <v>2.5453042509659962E-4</v>
      </c>
      <c r="U204" s="80">
        <f t="shared" ca="1" si="49"/>
        <v>4.8038098002578522E-5</v>
      </c>
      <c r="V204" s="80">
        <f t="shared" ca="1" si="49"/>
        <v>8.6224317851213428E-6</v>
      </c>
      <c r="W204" s="80">
        <f t="shared" ca="1" si="49"/>
        <v>1.4952434074233523E-6</v>
      </c>
      <c r="X204" s="80">
        <f t="shared" ca="1" si="49"/>
        <v>2.5352590016236576E-7</v>
      </c>
      <c r="Y204" s="80">
        <f t="shared" ca="1" si="49"/>
        <v>4.2416263723588088E-8</v>
      </c>
      <c r="Z204" s="80">
        <f t="shared" ca="1" si="49"/>
        <v>8.4578977155302937E-9</v>
      </c>
      <c r="AA204" s="80">
        <f ca="1">SUMPRODUCT(F204:Z204,FailureForCPU!E$17:Y$17)</f>
        <v>1.628052081663704E-5</v>
      </c>
      <c r="AB204" s="80">
        <f t="shared" ca="1" si="45"/>
        <v>4.2281715133640122E-5</v>
      </c>
      <c r="AC204" s="80">
        <f t="shared" ca="1" si="46"/>
        <v>2.5970315840319929</v>
      </c>
      <c r="AD204" s="80">
        <f t="shared" ca="1" si="47"/>
        <v>1</v>
      </c>
    </row>
    <row r="205" spans="1:30">
      <c r="A205" s="56">
        <v>14</v>
      </c>
      <c r="B205" s="12">
        <f t="shared" si="41"/>
        <v>2.6367986977777775</v>
      </c>
      <c r="C205" s="12">
        <f t="shared" si="42"/>
        <v>2.6367986977777775</v>
      </c>
      <c r="D205" s="23">
        <f t="array" ref="D205">MATCH(MIN(ABS(ServerTypeA!$A$106:$A$165-$C205)),ABS(ServerTypeA!$A$106:$A$165-$C205),0)</f>
        <v>26</v>
      </c>
      <c r="E205" s="23">
        <f t="array" ref="E205">INDEX(ServerTypeA!$A$106:$A$165,MATCH(MIN(ABS(ServerTypeA!$A$106:$A$165-$C205)),ABS(ServerTypeA!$A$106:$A$165-$C205),0))</f>
        <v>2.6</v>
      </c>
      <c r="F205" s="80">
        <f t="shared" ca="1" si="48"/>
        <v>0</v>
      </c>
      <c r="G205" s="80">
        <f t="shared" ca="1" si="48"/>
        <v>4.1517385378884819E-22</v>
      </c>
      <c r="H205" s="80">
        <f t="shared" ca="1" si="48"/>
        <v>2.8903425747891523E-11</v>
      </c>
      <c r="I205" s="80">
        <f t="shared" ca="1" si="48"/>
        <v>2.7804031928019435E-6</v>
      </c>
      <c r="J205" s="80">
        <f t="shared" ca="1" si="48"/>
        <v>4.5602402944500131E-4</v>
      </c>
      <c r="K205" s="80">
        <f t="shared" ca="1" si="48"/>
        <v>1.8883522445358736E-2</v>
      </c>
      <c r="L205" s="80">
        <f t="shared" ca="1" si="48"/>
        <v>0.13061530866486804</v>
      </c>
      <c r="M205" s="80">
        <f t="shared" ca="1" si="48"/>
        <v>0.28730789643090338</v>
      </c>
      <c r="N205" s="80">
        <f t="shared" ca="1" si="48"/>
        <v>0.29107969316933491</v>
      </c>
      <c r="O205" s="80">
        <f t="shared" ca="1" si="48"/>
        <v>0.17248975955743917</v>
      </c>
      <c r="P205" s="80">
        <f t="shared" ca="1" si="49"/>
        <v>7.0149876880944095E-2</v>
      </c>
      <c r="Q205" s="80">
        <f t="shared" ca="1" si="49"/>
        <v>2.1835089466053503E-2</v>
      </c>
      <c r="R205" s="80">
        <f t="shared" ca="1" si="49"/>
        <v>5.6110745400143047E-3</v>
      </c>
      <c r="S205" s="80">
        <f t="shared" ca="1" si="49"/>
        <v>1.2559837851893185E-3</v>
      </c>
      <c r="T205" s="80">
        <f t="shared" ca="1" si="49"/>
        <v>2.5453042509659962E-4</v>
      </c>
      <c r="U205" s="80">
        <f t="shared" ca="1" si="49"/>
        <v>4.8038098002578522E-5</v>
      </c>
      <c r="V205" s="80">
        <f t="shared" ca="1" si="49"/>
        <v>8.6224317851213428E-6</v>
      </c>
      <c r="W205" s="80">
        <f t="shared" ca="1" si="49"/>
        <v>1.4952434074233523E-6</v>
      </c>
      <c r="X205" s="80">
        <f t="shared" ca="1" si="49"/>
        <v>2.5352590016236576E-7</v>
      </c>
      <c r="Y205" s="80">
        <f t="shared" ca="1" si="49"/>
        <v>4.2416263723588088E-8</v>
      </c>
      <c r="Z205" s="80">
        <f t="shared" ca="1" si="49"/>
        <v>8.4578977155302937E-9</v>
      </c>
      <c r="AA205" s="80">
        <f ca="1">SUMPRODUCT(F205:Z205,FailureForCPU!E$17:Y$17)</f>
        <v>1.628052081663704E-5</v>
      </c>
      <c r="AB205" s="80">
        <f t="shared" ca="1" si="45"/>
        <v>4.2928456088452548E-5</v>
      </c>
      <c r="AC205" s="80">
        <f t="shared" ca="1" si="46"/>
        <v>2.636755769321689</v>
      </c>
      <c r="AD205" s="80">
        <f t="shared" ca="1" si="47"/>
        <v>1</v>
      </c>
    </row>
    <row r="206" spans="1:30">
      <c r="A206" s="56">
        <v>15</v>
      </c>
      <c r="B206" s="12">
        <f t="shared" si="41"/>
        <v>2.6291948468199231</v>
      </c>
      <c r="C206" s="12">
        <f t="shared" si="42"/>
        <v>2.6291948468199231</v>
      </c>
      <c r="D206" s="23">
        <f t="array" ref="D206">MATCH(MIN(ABS(ServerTypeA!$A$106:$A$165-$C206)),ABS(ServerTypeA!$A$106:$A$165-$C206),0)</f>
        <v>26</v>
      </c>
      <c r="E206" s="23">
        <f t="array" ref="E206">INDEX(ServerTypeA!$A$106:$A$165,MATCH(MIN(ABS(ServerTypeA!$A$106:$A$165-$C206)),ABS(ServerTypeA!$A$106:$A$165-$C206),0))</f>
        <v>2.6</v>
      </c>
      <c r="F206" s="80">
        <f t="shared" ca="1" si="48"/>
        <v>0</v>
      </c>
      <c r="G206" s="80">
        <f t="shared" ca="1" si="48"/>
        <v>4.1517385378884819E-22</v>
      </c>
      <c r="H206" s="80">
        <f t="shared" ca="1" si="48"/>
        <v>2.8903425747891523E-11</v>
      </c>
      <c r="I206" s="80">
        <f t="shared" ca="1" si="48"/>
        <v>2.7804031928019435E-6</v>
      </c>
      <c r="J206" s="80">
        <f t="shared" ca="1" si="48"/>
        <v>4.5602402944500131E-4</v>
      </c>
      <c r="K206" s="80">
        <f t="shared" ca="1" si="48"/>
        <v>1.8883522445358736E-2</v>
      </c>
      <c r="L206" s="80">
        <f t="shared" ca="1" si="48"/>
        <v>0.13061530866486804</v>
      </c>
      <c r="M206" s="80">
        <f t="shared" ca="1" si="48"/>
        <v>0.28730789643090338</v>
      </c>
      <c r="N206" s="80">
        <f t="shared" ca="1" si="48"/>
        <v>0.29107969316933491</v>
      </c>
      <c r="O206" s="80">
        <f t="shared" ca="1" si="48"/>
        <v>0.17248975955743917</v>
      </c>
      <c r="P206" s="80">
        <f t="shared" ca="1" si="49"/>
        <v>7.0149876880944095E-2</v>
      </c>
      <c r="Q206" s="80">
        <f t="shared" ca="1" si="49"/>
        <v>2.1835089466053503E-2</v>
      </c>
      <c r="R206" s="80">
        <f t="shared" ca="1" si="49"/>
        <v>5.6110745400143047E-3</v>
      </c>
      <c r="S206" s="80">
        <f t="shared" ca="1" si="49"/>
        <v>1.2559837851893185E-3</v>
      </c>
      <c r="T206" s="80">
        <f t="shared" ca="1" si="49"/>
        <v>2.5453042509659962E-4</v>
      </c>
      <c r="U206" s="80">
        <f t="shared" ca="1" si="49"/>
        <v>4.8038098002578522E-5</v>
      </c>
      <c r="V206" s="80">
        <f t="shared" ca="1" si="49"/>
        <v>8.6224317851213428E-6</v>
      </c>
      <c r="W206" s="80">
        <f t="shared" ca="1" si="49"/>
        <v>1.4952434074233523E-6</v>
      </c>
      <c r="X206" s="80">
        <f t="shared" ca="1" si="49"/>
        <v>2.5352590016236576E-7</v>
      </c>
      <c r="Y206" s="80">
        <f t="shared" ca="1" si="49"/>
        <v>4.2416263723588088E-8</v>
      </c>
      <c r="Z206" s="80">
        <f t="shared" ca="1" si="49"/>
        <v>8.4578977155302937E-9</v>
      </c>
      <c r="AA206" s="80">
        <f ca="1">SUMPRODUCT(F206:Z206,FailureForCPU!E$17:Y$17)</f>
        <v>1.628052081663704E-5</v>
      </c>
      <c r="AB206" s="80">
        <f t="shared" ca="1" si="45"/>
        <v>4.2804661434646595E-5</v>
      </c>
      <c r="AC206" s="80">
        <f t="shared" ca="1" si="46"/>
        <v>2.6291520421584886</v>
      </c>
      <c r="AD206" s="80">
        <f t="shared" ca="1" si="47"/>
        <v>1</v>
      </c>
    </row>
    <row r="207" spans="1:30">
      <c r="A207" s="56">
        <v>16</v>
      </c>
      <c r="B207" s="12">
        <f t="shared" si="41"/>
        <v>2.7095263688888891</v>
      </c>
      <c r="C207" s="12">
        <f t="shared" si="42"/>
        <v>2.7095263688888891</v>
      </c>
      <c r="D207" s="23">
        <f t="array" ref="D207">MATCH(MIN(ABS(ServerTypeA!$A$106:$A$165-$C207)),ABS(ServerTypeA!$A$106:$A$165-$C207),0)</f>
        <v>27</v>
      </c>
      <c r="E207" s="23">
        <f t="array" ref="E207">INDEX(ServerTypeA!$A$106:$A$165,MATCH(MIN(ABS(ServerTypeA!$A$106:$A$165-$C207)),ABS(ServerTypeA!$A$106:$A$165-$C207),0))</f>
        <v>2.7</v>
      </c>
      <c r="F207" s="80">
        <f t="shared" ca="1" si="48"/>
        <v>0</v>
      </c>
      <c r="G207" s="80">
        <f t="shared" ca="1" si="48"/>
        <v>1.239169873735288E-23</v>
      </c>
      <c r="H207" s="80">
        <f t="shared" ca="1" si="48"/>
        <v>3.9552592835852416E-12</v>
      </c>
      <c r="I207" s="80">
        <f t="shared" ca="1" si="48"/>
        <v>8.3133291341925023E-7</v>
      </c>
      <c r="J207" s="80">
        <f t="shared" ca="1" si="48"/>
        <v>2.0173249503252499E-4</v>
      </c>
      <c r="K207" s="80">
        <f t="shared" ca="1" si="48"/>
        <v>1.1612561064618721E-2</v>
      </c>
      <c r="L207" s="80">
        <f t="shared" ca="1" si="48"/>
        <v>0.10127489089389075</v>
      </c>
      <c r="M207" s="80">
        <f t="shared" ca="1" si="48"/>
        <v>0.26410179348864982</v>
      </c>
      <c r="N207" s="80">
        <f t="shared" ca="1" si="48"/>
        <v>0.30332291293257807</v>
      </c>
      <c r="O207" s="80">
        <f t="shared" ca="1" si="48"/>
        <v>0.19688249400125168</v>
      </c>
      <c r="P207" s="80">
        <f t="shared" ca="1" si="49"/>
        <v>8.5404838049038867E-2</v>
      </c>
      <c r="Q207" s="80">
        <f t="shared" ca="1" si="49"/>
        <v>2.7775370702588065E-2</v>
      </c>
      <c r="R207" s="80">
        <f t="shared" ca="1" si="49"/>
        <v>7.3381726042808237E-3</v>
      </c>
      <c r="S207" s="80">
        <f t="shared" ca="1" si="49"/>
        <v>1.6673465755835393E-3</v>
      </c>
      <c r="T207" s="80">
        <f t="shared" ca="1" si="49"/>
        <v>3.3952157254268922E-4</v>
      </c>
      <c r="U207" s="80">
        <f t="shared" ca="1" si="49"/>
        <v>6.386281174752817E-5</v>
      </c>
      <c r="V207" s="80">
        <f t="shared" ca="1" si="49"/>
        <v>1.1348687767864796E-5</v>
      </c>
      <c r="W207" s="80">
        <f t="shared" ca="1" si="49"/>
        <v>1.9378808218117882E-6</v>
      </c>
      <c r="X207" s="80">
        <f t="shared" ca="1" si="49"/>
        <v>3.2210748901473352E-7</v>
      </c>
      <c r="Y207" s="80">
        <f t="shared" ca="1" si="49"/>
        <v>5.2634755443037307E-8</v>
      </c>
      <c r="Z207" s="80">
        <f t="shared" ca="1" si="49"/>
        <v>1.016049411273201E-8</v>
      </c>
      <c r="AA207" s="80">
        <f ca="1">SUMPRODUCT(F207:Z207,FailureForCPU!E$17:Y$17)</f>
        <v>2.1635301689484909E-5</v>
      </c>
      <c r="AB207" s="80">
        <f t="shared" ca="1" si="45"/>
        <v>5.8621420426525693E-5</v>
      </c>
      <c r="AC207" s="80">
        <f t="shared" ca="1" si="46"/>
        <v>2.7094677474684628</v>
      </c>
      <c r="AD207" s="80">
        <f t="shared" ca="1" si="47"/>
        <v>1</v>
      </c>
    </row>
    <row r="208" spans="1:30">
      <c r="A208" s="56">
        <v>17</v>
      </c>
      <c r="B208" s="12">
        <f t="shared" si="41"/>
        <v>2.6672917514942527</v>
      </c>
      <c r="C208" s="12">
        <f t="shared" si="42"/>
        <v>2.6672917514942527</v>
      </c>
      <c r="D208" s="23">
        <f t="array" ref="D208">MATCH(MIN(ABS(ServerTypeA!$A$106:$A$165-$C208)),ABS(ServerTypeA!$A$106:$A$165-$C208),0)</f>
        <v>27</v>
      </c>
      <c r="E208" s="23">
        <f t="array" ref="E208">INDEX(ServerTypeA!$A$106:$A$165,MATCH(MIN(ABS(ServerTypeA!$A$106:$A$165-$C208)),ABS(ServerTypeA!$A$106:$A$165-$C208),0))</f>
        <v>2.7</v>
      </c>
      <c r="F208" s="80">
        <f t="shared" ca="1" si="48"/>
        <v>0</v>
      </c>
      <c r="G208" s="80">
        <f t="shared" ca="1" si="48"/>
        <v>1.239169873735288E-23</v>
      </c>
      <c r="H208" s="80">
        <f t="shared" ca="1" si="48"/>
        <v>3.9552592835852416E-12</v>
      </c>
      <c r="I208" s="80">
        <f t="shared" ca="1" si="48"/>
        <v>8.3133291341925023E-7</v>
      </c>
      <c r="J208" s="80">
        <f t="shared" ca="1" si="48"/>
        <v>2.0173249503252499E-4</v>
      </c>
      <c r="K208" s="80">
        <f t="shared" ca="1" si="48"/>
        <v>1.1612561064618721E-2</v>
      </c>
      <c r="L208" s="80">
        <f t="shared" ca="1" si="48"/>
        <v>0.10127489089389075</v>
      </c>
      <c r="M208" s="80">
        <f t="shared" ca="1" si="48"/>
        <v>0.26410179348864982</v>
      </c>
      <c r="N208" s="80">
        <f t="shared" ca="1" si="48"/>
        <v>0.30332291293257807</v>
      </c>
      <c r="O208" s="80">
        <f t="shared" ca="1" si="48"/>
        <v>0.19688249400125168</v>
      </c>
      <c r="P208" s="80">
        <f t="shared" ca="1" si="49"/>
        <v>8.5404838049038867E-2</v>
      </c>
      <c r="Q208" s="80">
        <f t="shared" ca="1" si="49"/>
        <v>2.7775370702588065E-2</v>
      </c>
      <c r="R208" s="80">
        <f t="shared" ca="1" si="49"/>
        <v>7.3381726042808237E-3</v>
      </c>
      <c r="S208" s="80">
        <f t="shared" ca="1" si="49"/>
        <v>1.6673465755835393E-3</v>
      </c>
      <c r="T208" s="80">
        <f t="shared" ca="1" si="49"/>
        <v>3.3952157254268922E-4</v>
      </c>
      <c r="U208" s="80">
        <f t="shared" ca="1" si="49"/>
        <v>6.386281174752817E-5</v>
      </c>
      <c r="V208" s="80">
        <f t="shared" ca="1" si="49"/>
        <v>1.1348687767864796E-5</v>
      </c>
      <c r="W208" s="80">
        <f t="shared" ca="1" si="49"/>
        <v>1.9378808218117882E-6</v>
      </c>
      <c r="X208" s="80">
        <f t="shared" ca="1" si="49"/>
        <v>3.2210748901473352E-7</v>
      </c>
      <c r="Y208" s="80">
        <f t="shared" ca="1" si="49"/>
        <v>5.2634755443037307E-8</v>
      </c>
      <c r="Z208" s="80">
        <f t="shared" ca="1" si="49"/>
        <v>1.016049411273201E-8</v>
      </c>
      <c r="AA208" s="80">
        <f ca="1">SUMPRODUCT(F208:Z208,FailureForCPU!E$17:Y$17)</f>
        <v>2.1635301689484909E-5</v>
      </c>
      <c r="AB208" s="80">
        <f t="shared" ca="1" si="45"/>
        <v>5.7707661737452766E-5</v>
      </c>
      <c r="AC208" s="80">
        <f t="shared" ca="1" si="46"/>
        <v>2.6672340438325151</v>
      </c>
      <c r="AD208" s="80">
        <f t="shared" ca="1" si="47"/>
        <v>1</v>
      </c>
    </row>
    <row r="209" spans="1:30">
      <c r="A209" s="56">
        <v>18</v>
      </c>
      <c r="B209" s="12">
        <f t="shared" si="41"/>
        <v>3.6254902505747126</v>
      </c>
      <c r="C209" s="12">
        <f t="shared" si="42"/>
        <v>3.6254902505747126</v>
      </c>
      <c r="D209" s="23">
        <f t="array" ref="D209">MATCH(MIN(ABS(ServerTypeA!$A$106:$A$165-$C209)),ABS(ServerTypeA!$A$106:$A$165-$C209),0)</f>
        <v>36</v>
      </c>
      <c r="E209" s="23">
        <f t="array" ref="E209">INDEX(ServerTypeA!$A$106:$A$165,MATCH(MIN(ABS(ServerTypeA!$A$106:$A$165-$C209)),ABS(ServerTypeA!$A$106:$A$165-$C209),0))</f>
        <v>3.6</v>
      </c>
      <c r="F209" s="80">
        <f t="shared" ca="1" si="48"/>
        <v>0</v>
      </c>
      <c r="G209" s="80">
        <f t="shared" ca="1" si="48"/>
        <v>7.2894146258703848E-41</v>
      </c>
      <c r="H209" s="80">
        <f t="shared" ca="1" si="48"/>
        <v>3.2573107601868741E-22</v>
      </c>
      <c r="I209" s="80">
        <f t="shared" ca="1" si="48"/>
        <v>3.6129284841201386E-13</v>
      </c>
      <c r="J209" s="80">
        <f t="shared" ca="1" si="48"/>
        <v>6.7876879314242828E-9</v>
      </c>
      <c r="K209" s="80">
        <f t="shared" ca="1" si="48"/>
        <v>1.5999272679155348E-5</v>
      </c>
      <c r="L209" s="80">
        <f t="shared" ca="1" si="48"/>
        <v>1.8368783039639514E-3</v>
      </c>
      <c r="M209" s="80">
        <f t="shared" ca="1" si="48"/>
        <v>3.1682287198328662E-2</v>
      </c>
      <c r="N209" s="80">
        <f t="shared" ca="1" si="48"/>
        <v>0.15107468491241627</v>
      </c>
      <c r="O209" s="80">
        <f t="shared" ca="1" si="48"/>
        <v>0.28710251340951631</v>
      </c>
      <c r="P209" s="80">
        <f t="shared" ca="1" si="49"/>
        <v>0.27732511119609704</v>
      </c>
      <c r="Q209" s="80">
        <f t="shared" ca="1" si="49"/>
        <v>0.16165748514289013</v>
      </c>
      <c r="R209" s="80">
        <f t="shared" ca="1" si="49"/>
        <v>6.4393220285024921E-2</v>
      </c>
      <c r="S209" s="80">
        <f t="shared" ca="1" si="49"/>
        <v>1.9203705619819322E-2</v>
      </c>
      <c r="T209" s="80">
        <f t="shared" ca="1" si="49"/>
        <v>4.5891651637168795E-3</v>
      </c>
      <c r="U209" s="80">
        <f t="shared" ca="1" si="49"/>
        <v>9.2490917460563704E-4</v>
      </c>
      <c r="V209" s="80">
        <f t="shared" ca="1" si="49"/>
        <v>1.6345703908893228E-4</v>
      </c>
      <c r="W209" s="80">
        <f t="shared" ca="1" si="49"/>
        <v>2.610258660151743E-5</v>
      </c>
      <c r="X209" s="80">
        <f t="shared" ca="1" si="49"/>
        <v>3.855537865193881E-6</v>
      </c>
      <c r="Y209" s="80">
        <f t="shared" ca="1" si="49"/>
        <v>5.3651128761877942E-7</v>
      </c>
      <c r="Z209" s="80">
        <f t="shared" ca="1" si="49"/>
        <v>8.1858049227889751E-8</v>
      </c>
      <c r="AA209" s="80">
        <f ca="1">SUMPRODUCT(F209:Z209,FailureForCPU!E$17:Y$17)</f>
        <v>2.6646322838357972E-4</v>
      </c>
      <c r="AB209" s="80">
        <f t="shared" ca="1" si="45"/>
        <v>9.6605983664133132E-4</v>
      </c>
      <c r="AC209" s="80">
        <f t="shared" ca="1" si="46"/>
        <v>3.6245241907380712</v>
      </c>
      <c r="AD209" s="80">
        <f t="shared" ca="1" si="47"/>
        <v>1</v>
      </c>
    </row>
    <row r="210" spans="1:30">
      <c r="A210" s="56">
        <v>19</v>
      </c>
      <c r="B210" s="12">
        <f t="shared" si="41"/>
        <v>4.399450104444445</v>
      </c>
      <c r="C210" s="12">
        <f t="shared" si="42"/>
        <v>4.399450104444445</v>
      </c>
      <c r="D210" s="23">
        <f t="array" ref="D210">MATCH(MIN(ABS(ServerTypeA!$A$106:$A$165-$C210)),ABS(ServerTypeA!$A$106:$A$165-$C210),0)</f>
        <v>44</v>
      </c>
      <c r="E210" s="23">
        <f t="array" ref="E210">INDEX(ServerTypeA!$A$106:$A$165,MATCH(MIN(ABS(ServerTypeA!$A$106:$A$165-$C210)),ABS(ServerTypeA!$A$106:$A$165-$C210),0))</f>
        <v>4.4000000000000004</v>
      </c>
      <c r="F210" s="80">
        <f t="shared" ca="1" si="48"/>
        <v>0</v>
      </c>
      <c r="G210" s="80">
        <f t="shared" ca="1" si="48"/>
        <v>1.1324045275092948E-65</v>
      </c>
      <c r="H210" s="80">
        <f t="shared" ca="1" si="48"/>
        <v>1.0240139345634852E-37</v>
      </c>
      <c r="I210" s="80">
        <f t="shared" ca="1" si="48"/>
        <v>1.1963954622512039E-23</v>
      </c>
      <c r="J210" s="80">
        <f t="shared" ca="1" si="48"/>
        <v>9.728326217269486E-17</v>
      </c>
      <c r="K210" s="80">
        <f t="shared" ca="1" si="48"/>
        <v>4.9549950547790573E-11</v>
      </c>
      <c r="L210" s="80">
        <f t="shared" ca="1" si="48"/>
        <v>2.6393002512798672E-7</v>
      </c>
      <c r="M210" s="80">
        <f t="shared" ca="1" si="48"/>
        <v>7.8831483922981946E-5</v>
      </c>
      <c r="N210" s="80">
        <f t="shared" ca="1" si="48"/>
        <v>3.3981376375431527E-3</v>
      </c>
      <c r="O210" s="80">
        <f t="shared" ca="1" si="48"/>
        <v>3.7183996373000627E-2</v>
      </c>
      <c r="P210" s="80">
        <f t="shared" ca="1" si="49"/>
        <v>0.14746118765791461</v>
      </c>
      <c r="Q210" s="80">
        <f t="shared" ca="1" si="49"/>
        <v>0.26959173636167788</v>
      </c>
      <c r="R210" s="80">
        <f t="shared" ca="1" si="49"/>
        <v>0.27015420719258254</v>
      </c>
      <c r="S210" s="80">
        <f t="shared" ca="1" si="49"/>
        <v>0.16887707489021397</v>
      </c>
      <c r="T210" s="80">
        <f t="shared" ca="1" si="49"/>
        <v>7.268072477294607E-2</v>
      </c>
      <c r="U210" s="80">
        <f t="shared" ca="1" si="49"/>
        <v>2.3239036953590642E-2</v>
      </c>
      <c r="V210" s="80">
        <f t="shared" ca="1" si="49"/>
        <v>5.8577236837721314E-3</v>
      </c>
      <c r="W210" s="80">
        <f t="shared" ca="1" si="49"/>
        <v>1.2195628628653976E-3</v>
      </c>
      <c r="X210" s="80">
        <f t="shared" ca="1" si="49"/>
        <v>2.1762200366570728E-4</v>
      </c>
      <c r="Y210" s="80">
        <f t="shared" ca="1" si="49"/>
        <v>3.4281764194066255E-5</v>
      </c>
      <c r="Z210" s="80">
        <f t="shared" ca="1" si="49"/>
        <v>5.6123825350473666E-6</v>
      </c>
      <c r="AA210" s="80">
        <f ca="1">SUMPRODUCT(F210:Z210,FailureForCPU!E$17:Y$17)</f>
        <v>3.4628183374226617E-3</v>
      </c>
      <c r="AB210" s="80">
        <f t="shared" ca="1" si="45"/>
        <v>1.5234496496246268E-2</v>
      </c>
      <c r="AC210" s="80">
        <f t="shared" ca="1" si="46"/>
        <v>4.3842156079481986</v>
      </c>
      <c r="AD210" s="80">
        <f t="shared" ca="1" si="47"/>
        <v>1</v>
      </c>
    </row>
    <row r="211" spans="1:30">
      <c r="A211" s="56">
        <v>20</v>
      </c>
      <c r="B211" s="12">
        <f t="shared" si="41"/>
        <v>4.2813726177777767</v>
      </c>
      <c r="C211" s="12">
        <f t="shared" si="42"/>
        <v>4.2813726177777767</v>
      </c>
      <c r="D211" s="23">
        <f t="array" ref="D211">MATCH(MIN(ABS(ServerTypeA!$A$106:$A$165-$C211)),ABS(ServerTypeA!$A$106:$A$165-$C211),0)</f>
        <v>43</v>
      </c>
      <c r="E211" s="23">
        <f t="array" ref="E211">INDEX(ServerTypeA!$A$106:$A$165,MATCH(MIN(ABS(ServerTypeA!$A$106:$A$165-$C211)),ABS(ServerTypeA!$A$106:$A$165-$C211),0))</f>
        <v>4.3</v>
      </c>
      <c r="F211" s="80">
        <f t="shared" ca="1" si="48"/>
        <v>0</v>
      </c>
      <c r="G211" s="80">
        <f t="shared" ca="1" si="48"/>
        <v>9.0454725765050155E-62</v>
      </c>
      <c r="H211" s="80">
        <f t="shared" ca="1" si="48"/>
        <v>3.3071630419731202E-35</v>
      </c>
      <c r="I211" s="80">
        <f t="shared" ca="1" si="48"/>
        <v>6.6421944053507699E-22</v>
      </c>
      <c r="J211" s="80">
        <f t="shared" ca="1" si="48"/>
        <v>2.1129338192891968E-15</v>
      </c>
      <c r="K211" s="80">
        <f t="shared" ca="1" si="48"/>
        <v>4.6256221569369465E-10</v>
      </c>
      <c r="L211" s="80">
        <f t="shared" ca="1" si="48"/>
        <v>1.3334674643288203E-6</v>
      </c>
      <c r="M211" s="80">
        <f t="shared" ca="1" si="48"/>
        <v>2.5070667075921538E-4</v>
      </c>
      <c r="N211" s="80">
        <f t="shared" ca="1" si="48"/>
        <v>7.5362516333303819E-3</v>
      </c>
      <c r="O211" s="80">
        <f t="shared" ca="1" si="48"/>
        <v>6.1712816655367098E-2</v>
      </c>
      <c r="P211" s="80">
        <f t="shared" ca="1" si="49"/>
        <v>0.19277123755774583</v>
      </c>
      <c r="Q211" s="80">
        <f t="shared" ca="1" si="49"/>
        <v>0.28889760850516655</v>
      </c>
      <c r="R211" s="80">
        <f t="shared" ca="1" si="49"/>
        <v>0.24518773690087892</v>
      </c>
      <c r="S211" s="80">
        <f t="shared" ca="1" si="49"/>
        <v>0.13340081215367483</v>
      </c>
      <c r="T211" s="80">
        <f t="shared" ca="1" si="49"/>
        <v>5.1132246544152049E-2</v>
      </c>
      <c r="U211" s="80">
        <f t="shared" ca="1" si="49"/>
        <v>1.4846791900960388E-2</v>
      </c>
      <c r="V211" s="80">
        <f t="shared" ca="1" si="49"/>
        <v>3.4550977976198771E-3</v>
      </c>
      <c r="W211" s="80">
        <f t="shared" ca="1" si="49"/>
        <v>6.7355821227010892E-4</v>
      </c>
      <c r="X211" s="80">
        <f t="shared" ca="1" si="49"/>
        <v>1.1390934504773575E-4</v>
      </c>
      <c r="Y211" s="80">
        <f t="shared" ca="1" si="49"/>
        <v>1.7183906437789886E-5</v>
      </c>
      <c r="Z211" s="80">
        <f t="shared" ca="1" si="49"/>
        <v>2.7082865605709827E-6</v>
      </c>
      <c r="AA211" s="80">
        <f ca="1">SUMPRODUCT(F211:Z211,FailureForCPU!E$17:Y$17)</f>
        <v>2.4870501944822022E-3</v>
      </c>
      <c r="AB211" s="80">
        <f t="shared" ca="1" si="45"/>
        <v>1.0647988601694995E-2</v>
      </c>
      <c r="AC211" s="80">
        <f t="shared" ca="1" si="46"/>
        <v>4.2707246291760814</v>
      </c>
      <c r="AD211" s="80">
        <f t="shared" ca="1" si="47"/>
        <v>1</v>
      </c>
    </row>
    <row r="212" spans="1:30">
      <c r="A212" s="56">
        <v>21</v>
      </c>
      <c r="B212" s="12">
        <f t="shared" si="41"/>
        <v>3.3526749333333328</v>
      </c>
      <c r="C212" s="12">
        <f t="shared" si="42"/>
        <v>3.3526749333333328</v>
      </c>
      <c r="D212" s="23">
        <f t="array" ref="D212">MATCH(MIN(ABS(ServerTypeA!$A$106:$A$165-$C212)),ABS(ServerTypeA!$A$106:$A$165-$C212),0)</f>
        <v>34</v>
      </c>
      <c r="E212" s="23">
        <f t="array" ref="E212">INDEX(ServerTypeA!$A$106:$A$165,MATCH(MIN(ABS(ServerTypeA!$A$106:$A$165-$C212)),ABS(ServerTypeA!$A$106:$A$165-$C212),0))</f>
        <v>3.4</v>
      </c>
      <c r="F212" s="80">
        <f t="shared" ca="1" si="48"/>
        <v>0</v>
      </c>
      <c r="G212" s="80">
        <f t="shared" ca="1" si="48"/>
        <v>2.3413889379144568E-36</v>
      </c>
      <c r="H212" s="80">
        <f t="shared" ca="1" si="48"/>
        <v>1.608623308048538E-19</v>
      </c>
      <c r="I212" s="80">
        <f t="shared" ca="1" si="48"/>
        <v>1.980236814927837E-11</v>
      </c>
      <c r="J212" s="80">
        <f t="shared" ca="1" si="48"/>
        <v>1.2052742135292165E-7</v>
      </c>
      <c r="K212" s="80">
        <f t="shared" ca="1" si="48"/>
        <v>1.0735980372559706E-4</v>
      </c>
      <c r="L212" s="80">
        <f t="shared" ca="1" si="48"/>
        <v>6.2657685124898332E-3</v>
      </c>
      <c r="M212" s="80">
        <f t="shared" ca="1" si="48"/>
        <v>6.584953536887217E-2</v>
      </c>
      <c r="N212" s="80">
        <f t="shared" ca="1" si="48"/>
        <v>0.21527557821161225</v>
      </c>
      <c r="O212" s="80">
        <f t="shared" ca="1" si="48"/>
        <v>0.30565189124168957</v>
      </c>
      <c r="P212" s="80">
        <f t="shared" ca="1" si="49"/>
        <v>0.23594832879039862</v>
      </c>
      <c r="Q212" s="80">
        <f t="shared" ca="1" si="49"/>
        <v>0.11602034300290032</v>
      </c>
      <c r="R212" s="80">
        <f t="shared" ca="1" si="49"/>
        <v>4.072297112433354E-2</v>
      </c>
      <c r="S212" s="80">
        <f t="shared" ca="1" si="49"/>
        <v>1.1086765592116077E-2</v>
      </c>
      <c r="T212" s="80">
        <f t="shared" ca="1" si="49"/>
        <v>2.4893585971403898E-3</v>
      </c>
      <c r="U212" s="80">
        <f t="shared" ca="1" si="49"/>
        <v>4.8266392697660088E-4</v>
      </c>
      <c r="V212" s="80">
        <f t="shared" ca="1" si="49"/>
        <v>8.3676986869840597E-5</v>
      </c>
      <c r="W212" s="80">
        <f t="shared" ca="1" si="49"/>
        <v>1.3322107353386237E-5</v>
      </c>
      <c r="X212" s="80">
        <f t="shared" ca="1" si="49"/>
        <v>1.9885491443494274E-6</v>
      </c>
      <c r="Y212" s="80">
        <f t="shared" ca="1" si="49"/>
        <v>2.8283206821022588E-7</v>
      </c>
      <c r="Z212" s="80">
        <f t="shared" ca="1" si="49"/>
        <v>4.4805085530619237E-8</v>
      </c>
      <c r="AA212" s="80">
        <f ca="1">SUMPRODUCT(F212:Z212,FailureForCPU!E$17:Y$17)</f>
        <v>1.4944005530324509E-4</v>
      </c>
      <c r="AB212" s="80">
        <f t="shared" ca="1" si="45"/>
        <v>5.0102392745113679E-4</v>
      </c>
      <c r="AC212" s="80">
        <f t="shared" ca="1" si="46"/>
        <v>3.3521739094058818</v>
      </c>
      <c r="AD212" s="80">
        <f t="shared" ca="1" si="47"/>
        <v>1</v>
      </c>
    </row>
    <row r="213" spans="1:30">
      <c r="A213" s="56">
        <v>22</v>
      </c>
      <c r="B213" s="12">
        <f t="shared" si="41"/>
        <v>2.0333673111111108</v>
      </c>
      <c r="C213" s="12">
        <f t="shared" si="42"/>
        <v>2.0333673111111108</v>
      </c>
      <c r="D213" s="23">
        <f t="array" ref="D213">MATCH(MIN(ABS(ServerTypeA!$A$106:$A$165-$C213)),ABS(ServerTypeA!$A$106:$A$165-$C213),0)</f>
        <v>20</v>
      </c>
      <c r="E213" s="23">
        <f t="array" ref="E213">INDEX(ServerTypeA!$A$106:$A$165,MATCH(MIN(ABS(ServerTypeA!$A$106:$A$165-$C213)),ABS(ServerTypeA!$A$106:$A$165-$C213),0))</f>
        <v>2</v>
      </c>
      <c r="F213" s="80">
        <f t="shared" ca="1" si="48"/>
        <v>0</v>
      </c>
      <c r="G213" s="80">
        <f t="shared" ca="1" si="48"/>
        <v>4.0327851882455048E-14</v>
      </c>
      <c r="H213" s="80">
        <f t="shared" ca="1" si="48"/>
        <v>7.6343649033183721E-7</v>
      </c>
      <c r="I213" s="80">
        <f t="shared" ca="1" si="48"/>
        <v>1.1261859468466584E-3</v>
      </c>
      <c r="J213" s="80">
        <f t="shared" ca="1" si="48"/>
        <v>2.2612201701377344E-2</v>
      </c>
      <c r="K213" s="80">
        <f t="shared" ca="1" si="48"/>
        <v>0.16230317290931873</v>
      </c>
      <c r="L213" s="80">
        <f t="shared" ca="1" si="48"/>
        <v>0.31714492139955697</v>
      </c>
      <c r="M213" s="80">
        <f t="shared" ca="1" si="48"/>
        <v>0.27781919593603943</v>
      </c>
      <c r="N213" s="80">
        <f t="shared" ca="1" si="48"/>
        <v>0.14469470987553978</v>
      </c>
      <c r="O213" s="80">
        <f t="shared" ca="1" si="48"/>
        <v>5.3484922732303541E-2</v>
      </c>
      <c r="P213" s="80">
        <f t="shared" ca="1" si="49"/>
        <v>1.5719419243440669E-2</v>
      </c>
      <c r="Q213" s="80">
        <f t="shared" ca="1" si="49"/>
        <v>3.9583848233887275E-3</v>
      </c>
      <c r="R213" s="80">
        <f t="shared" ca="1" si="49"/>
        <v>8.981527125127009E-4</v>
      </c>
      <c r="S213" s="80">
        <f t="shared" ca="1" si="49"/>
        <v>1.9011234478316652E-4</v>
      </c>
      <c r="T213" s="80">
        <f t="shared" ca="1" si="49"/>
        <v>3.8467327741598112E-5</v>
      </c>
      <c r="U213" s="80">
        <f t="shared" ca="1" si="49"/>
        <v>7.5710929109407132E-6</v>
      </c>
      <c r="V213" s="80">
        <f t="shared" ca="1" si="49"/>
        <v>1.4678447695093411E-6</v>
      </c>
      <c r="W213" s="80">
        <f t="shared" ca="1" si="49"/>
        <v>2.8291288289850058E-7</v>
      </c>
      <c r="X213" s="80">
        <f t="shared" ca="1" si="49"/>
        <v>5.4577875108208218E-8</v>
      </c>
      <c r="Y213" s="80">
        <f t="shared" ca="1" si="49"/>
        <v>1.0591190591213717E-8</v>
      </c>
      <c r="Z213" s="80">
        <f t="shared" ca="1" si="49"/>
        <v>2.5909909773247364E-9</v>
      </c>
      <c r="AA213" s="80">
        <f ca="1">SUMPRODUCT(F213:Z213,FailureForCPU!E$17:Y$17)</f>
        <v>2.4804686957341508E-6</v>
      </c>
      <c r="AB213" s="80">
        <f t="shared" ca="1" si="45"/>
        <v>5.0437039621402342E-6</v>
      </c>
      <c r="AC213" s="80">
        <f t="shared" ca="1" si="46"/>
        <v>2.0333622674071488</v>
      </c>
      <c r="AD213" s="80">
        <f t="shared" ca="1" si="47"/>
        <v>1</v>
      </c>
    </row>
    <row r="214" spans="1:30">
      <c r="A214" s="56">
        <v>23</v>
      </c>
      <c r="B214" s="12">
        <f t="shared" si="41"/>
        <v>1.0004340733333335</v>
      </c>
      <c r="C214" s="12">
        <f t="shared" si="42"/>
        <v>1.0004340733333335</v>
      </c>
      <c r="D214" s="23">
        <f t="array" ref="D214">MATCH(MIN(ABS(ServerTypeA!$A$106:$A$165-$C214)),ABS(ServerTypeA!$A$106:$A$165-$C214),0)</f>
        <v>10</v>
      </c>
      <c r="E214" s="23">
        <f t="array" ref="E214">INDEX(ServerTypeA!$A$106:$A$165,MATCH(MIN(ABS(ServerTypeA!$A$106:$A$165-$C214)),ABS(ServerTypeA!$A$106:$A$165-$C214),0))</f>
        <v>1</v>
      </c>
      <c r="F214" s="80">
        <f t="shared" ca="1" si="48"/>
        <v>0</v>
      </c>
      <c r="G214" s="80">
        <f t="shared" ca="1" si="48"/>
        <v>6.3362385179783882E-5</v>
      </c>
      <c r="H214" s="80">
        <f t="shared" ca="1" si="48"/>
        <v>3.2995538185137452E-2</v>
      </c>
      <c r="I214" s="80">
        <f t="shared" ca="1" si="48"/>
        <v>0.26726256706287965</v>
      </c>
      <c r="J214" s="80">
        <f t="shared" ca="1" si="48"/>
        <v>0.31013660162702217</v>
      </c>
      <c r="K214" s="80">
        <f t="shared" ca="1" si="48"/>
        <v>0.2532552756998514</v>
      </c>
      <c r="L214" s="80">
        <f t="shared" ca="1" si="48"/>
        <v>9.8107796915847922E-2</v>
      </c>
      <c r="M214" s="80">
        <f t="shared" ca="1" si="48"/>
        <v>2.8732042413077363E-2</v>
      </c>
      <c r="N214" s="80">
        <f t="shared" ca="1" si="48"/>
        <v>7.2542263535837481E-3</v>
      </c>
      <c r="O214" s="80">
        <f t="shared" ca="1" si="48"/>
        <v>1.6975679546920031E-3</v>
      </c>
      <c r="P214" s="80">
        <f t="shared" ca="1" si="49"/>
        <v>3.8387097105896384E-4</v>
      </c>
      <c r="Q214" s="80">
        <f t="shared" ca="1" si="49"/>
        <v>8.5988652237634078E-5</v>
      </c>
      <c r="R214" s="80">
        <f t="shared" ca="1" si="49"/>
        <v>1.9370639502747089E-5</v>
      </c>
      <c r="S214" s="80">
        <f t="shared" ca="1" si="49"/>
        <v>4.4290582862371863E-6</v>
      </c>
      <c r="T214" s="80">
        <f t="shared" ca="1" si="49"/>
        <v>1.033706087172348E-6</v>
      </c>
      <c r="U214" s="80">
        <f t="shared" ca="1" si="49"/>
        <v>2.4709440304970798E-7</v>
      </c>
      <c r="V214" s="80">
        <f t="shared" ca="1" si="49"/>
        <v>6.0608630669811703E-8</v>
      </c>
      <c r="W214" s="80">
        <f t="shared" ca="1" si="49"/>
        <v>1.5269196684819519E-8</v>
      </c>
      <c r="X214" s="80">
        <f t="shared" ca="1" si="49"/>
        <v>3.9522030093053218E-9</v>
      </c>
      <c r="Y214" s="80">
        <f t="shared" ca="1" si="49"/>
        <v>1.0508791614682877E-9</v>
      </c>
      <c r="Z214" s="80">
        <f t="shared" ca="1" si="49"/>
        <v>4.0024294989393638E-10</v>
      </c>
      <c r="AA214" s="80">
        <f ca="1">SUMPRODUCT(F214:Z214,FailureForCPU!E$17:Y$17)</f>
        <v>6.3473937673511974E-8</v>
      </c>
      <c r="AB214" s="80">
        <f t="shared" ca="1" si="45"/>
        <v>6.3501490017217716E-8</v>
      </c>
      <c r="AC214" s="80">
        <f t="shared" ca="1" si="46"/>
        <v>1.0004340098318434</v>
      </c>
      <c r="AD214" s="80">
        <f t="shared" ca="1" si="47"/>
        <v>0.99999999999999978</v>
      </c>
    </row>
    <row r="215" spans="1:30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</row>
    <row r="216" spans="1:30">
      <c r="A216" s="54" t="s">
        <v>55</v>
      </c>
      <c r="B216" s="12">
        <f>SUM(B191:B214)</f>
        <v>48.744819081532569</v>
      </c>
      <c r="C216" s="12">
        <f>SUM(C191:C214)</f>
        <v>48.744819081532569</v>
      </c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25">
        <f ca="1">SUM(AB191:AB214)</f>
        <v>2.7680534781286185E-2</v>
      </c>
      <c r="AC216" s="25">
        <f ca="1">SUM(AC191:AC214)</f>
        <v>48.717138546751279</v>
      </c>
    </row>
    <row r="217" spans="1:30">
      <c r="A217" s="54" t="s">
        <v>66</v>
      </c>
      <c r="B217" s="69">
        <f ca="1">AC216/C216</f>
        <v>0.99943213380821072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</row>
    <row r="219" spans="1:30">
      <c r="A219" s="22" t="s">
        <v>113</v>
      </c>
    </row>
    <row r="220" spans="1:30">
      <c r="A220" s="22" t="s">
        <v>51</v>
      </c>
      <c r="B220" s="37">
        <f>QResults!C11/QResults!B11</f>
        <v>1.05</v>
      </c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</row>
    <row r="221" spans="1:30">
      <c r="A221" s="44"/>
      <c r="B221" s="44"/>
      <c r="C221" s="44"/>
      <c r="D221" s="44"/>
      <c r="E221" s="44" t="s">
        <v>59</v>
      </c>
      <c r="F221" s="45">
        <v>0</v>
      </c>
      <c r="G221" s="45">
        <v>1</v>
      </c>
      <c r="H221" s="45">
        <v>2</v>
      </c>
      <c r="I221" s="45">
        <v>3</v>
      </c>
      <c r="J221" s="45">
        <v>4</v>
      </c>
      <c r="K221" s="45">
        <v>5</v>
      </c>
      <c r="L221" s="45">
        <v>6</v>
      </c>
      <c r="M221" s="45">
        <v>7</v>
      </c>
      <c r="N221" s="45">
        <v>8</v>
      </c>
      <c r="O221" s="45">
        <v>9</v>
      </c>
      <c r="P221" s="45">
        <v>10</v>
      </c>
      <c r="Q221" s="45">
        <v>11</v>
      </c>
      <c r="R221" s="45">
        <v>12</v>
      </c>
      <c r="S221" s="45">
        <v>13</v>
      </c>
      <c r="T221" s="45">
        <v>14</v>
      </c>
      <c r="U221" s="45">
        <v>15</v>
      </c>
      <c r="V221" s="45">
        <v>16</v>
      </c>
      <c r="W221" s="45">
        <v>17</v>
      </c>
      <c r="X221" s="45">
        <v>18</v>
      </c>
      <c r="Y221" s="45">
        <v>19</v>
      </c>
      <c r="Z221" s="45">
        <v>20</v>
      </c>
      <c r="AA221" s="44"/>
    </row>
    <row r="222" spans="1:30" ht="45">
      <c r="A222" s="45" t="s">
        <v>52</v>
      </c>
      <c r="B222" s="45" t="s">
        <v>53</v>
      </c>
      <c r="C222" s="45" t="s">
        <v>54</v>
      </c>
      <c r="D222" s="48" t="s">
        <v>56</v>
      </c>
      <c r="E222" s="48" t="s">
        <v>57</v>
      </c>
      <c r="F222" s="45" t="s">
        <v>20</v>
      </c>
      <c r="G222" s="45" t="s">
        <v>21</v>
      </c>
      <c r="H222" s="45" t="s">
        <v>22</v>
      </c>
      <c r="I222" s="45" t="s">
        <v>23</v>
      </c>
      <c r="J222" s="45" t="s">
        <v>24</v>
      </c>
      <c r="K222" s="45" t="s">
        <v>25</v>
      </c>
      <c r="L222" s="45" t="s">
        <v>26</v>
      </c>
      <c r="M222" s="45" t="s">
        <v>27</v>
      </c>
      <c r="N222" s="45" t="s">
        <v>28</v>
      </c>
      <c r="O222" s="45" t="s">
        <v>29</v>
      </c>
      <c r="P222" s="45" t="s">
        <v>30</v>
      </c>
      <c r="Q222" s="45" t="s">
        <v>31</v>
      </c>
      <c r="R222" s="45" t="s">
        <v>32</v>
      </c>
      <c r="S222" s="45" t="s">
        <v>33</v>
      </c>
      <c r="T222" s="45" t="s">
        <v>34</v>
      </c>
      <c r="U222" s="45" t="s">
        <v>35</v>
      </c>
      <c r="V222" s="45" t="s">
        <v>36</v>
      </c>
      <c r="W222" s="45" t="s">
        <v>37</v>
      </c>
      <c r="X222" s="45" t="s">
        <v>38</v>
      </c>
      <c r="Y222" s="45" t="s">
        <v>39</v>
      </c>
      <c r="Z222" s="45" t="s">
        <v>40</v>
      </c>
      <c r="AA222" s="48" t="s">
        <v>58</v>
      </c>
      <c r="AB222" s="48" t="s">
        <v>64</v>
      </c>
      <c r="AC222" s="48" t="s">
        <v>65</v>
      </c>
      <c r="AD222" s="56" t="s">
        <v>75</v>
      </c>
    </row>
    <row r="223" spans="1:30">
      <c r="A223" s="45">
        <v>0</v>
      </c>
      <c r="B223" s="12">
        <f t="shared" ref="B223:B246" si="50">B191</f>
        <v>0.54705915111111103</v>
      </c>
      <c r="C223" s="12">
        <f t="shared" ref="C223:C246" si="51">$B$220*B223</f>
        <v>0.57441210866666659</v>
      </c>
      <c r="D223" s="23">
        <f t="array" ref="D223">MATCH(MIN(ABS(ServerTypeA!$A$106:$A$165-$C223)),ABS(ServerTypeA!$A$106:$A$165-$C223),0)</f>
        <v>6</v>
      </c>
      <c r="E223" s="23">
        <f t="array" ref="E223">INDEX(ServerTypeA!$A$106:$A$165,MATCH(MIN(ABS(ServerTypeA!$A$106:$A$165-$C223)),ABS(ServerTypeA!$A$106:$A$165-$C223),0))</f>
        <v>0.6</v>
      </c>
      <c r="F223" s="12">
        <f t="shared" ref="F223:O232" ca="1" si="52">OFFSET($B$106,$D223-1,F$221,1,1)</f>
        <v>0</v>
      </c>
      <c r="G223" s="80">
        <f t="shared" ca="1" si="52"/>
        <v>8.8501101347481185E-3</v>
      </c>
      <c r="H223" s="12">
        <f t="shared" ca="1" si="52"/>
        <v>0.23702524946475678</v>
      </c>
      <c r="I223" s="12">
        <f t="shared" ca="1" si="52"/>
        <v>0.41757389753529983</v>
      </c>
      <c r="J223" s="12">
        <f t="shared" ca="1" si="52"/>
        <v>0.20102280901080527</v>
      </c>
      <c r="K223" s="12">
        <f t="shared" ca="1" si="52"/>
        <v>9.8805432504243562E-2</v>
      </c>
      <c r="L223" s="12">
        <f t="shared" ca="1" si="52"/>
        <v>2.7583944128667937E-2</v>
      </c>
      <c r="M223" s="12">
        <f t="shared" ca="1" si="52"/>
        <v>6.9229815342005674E-3</v>
      </c>
      <c r="N223" s="12">
        <f t="shared" ca="1" si="52"/>
        <v>1.6759676772103438E-3</v>
      </c>
      <c r="O223" s="12">
        <f t="shared" ca="1" si="52"/>
        <v>4.054455240855015E-4</v>
      </c>
      <c r="P223" s="12">
        <f t="shared" ref="P223:Z232" ca="1" si="53">OFFSET($B$106,$D223-1,P$221,1,1)</f>
        <v>9.9826693368942898E-5</v>
      </c>
      <c r="Q223" s="12">
        <f t="shared" ca="1" si="53"/>
        <v>2.5253762408916636E-5</v>
      </c>
      <c r="R223" s="12">
        <f t="shared" ca="1" si="53"/>
        <v>6.5949166127010628E-6</v>
      </c>
      <c r="S223" s="12">
        <f t="shared" ca="1" si="53"/>
        <v>1.7814388527659375E-6</v>
      </c>
      <c r="T223" s="12">
        <f t="shared" ca="1" si="53"/>
        <v>4.9799148915674607E-7</v>
      </c>
      <c r="U223" s="12">
        <f t="shared" ca="1" si="53"/>
        <v>1.4400980208328917E-7</v>
      </c>
      <c r="V223" s="12">
        <f t="shared" ca="1" si="53"/>
        <v>4.3042460484699063E-8</v>
      </c>
      <c r="W223" s="12">
        <f t="shared" ca="1" si="53"/>
        <v>1.3281143851351374E-8</v>
      </c>
      <c r="X223" s="12">
        <f t="shared" ca="1" si="53"/>
        <v>4.2252131793318881E-9</v>
      </c>
      <c r="Y223" s="12">
        <f t="shared" ca="1" si="53"/>
        <v>1.3840658619201918E-9</v>
      </c>
      <c r="Z223" s="12">
        <f t="shared" ca="1" si="53"/>
        <v>7.1807870760665082E-10</v>
      </c>
      <c r="AA223" s="80">
        <f ca="1">SUMPRODUCT(F223:Z223,FailureForCPU!E$17:Y$17)</f>
        <v>2.9442263253335687E-8</v>
      </c>
      <c r="AB223" s="80">
        <f t="shared" ref="AB223:AB246" ca="1" si="54">AA223*C223</f>
        <v>1.6911992519267662E-8</v>
      </c>
      <c r="AC223" s="12">
        <f t="shared" ref="AC223:AC246" ca="1" si="55">C223-AB223</f>
        <v>0.57441209175467411</v>
      </c>
      <c r="AD223" s="12">
        <f t="shared" ref="AD223:AD246" ca="1" si="56">SUM(F223:Z223)</f>
        <v>0.99999999897751457</v>
      </c>
    </row>
    <row r="224" spans="1:30">
      <c r="A224" s="45">
        <v>1</v>
      </c>
      <c r="B224" s="12">
        <f t="shared" si="50"/>
        <v>0.30210809111111114</v>
      </c>
      <c r="C224" s="12">
        <f t="shared" si="51"/>
        <v>0.31721349566666673</v>
      </c>
      <c r="D224" s="23">
        <f t="array" ref="D224">MATCH(MIN(ABS(ServerTypeA!$A$106:$A$165-$C224)),ABS(ServerTypeA!$A$106:$A$165-$C224),0)</f>
        <v>3</v>
      </c>
      <c r="E224" s="23">
        <f t="array" ref="E224">INDEX(ServerTypeA!$A$106:$A$165,MATCH(MIN(ABS(ServerTypeA!$A$106:$A$165-$C224)),ABS(ServerTypeA!$A$106:$A$165-$C224),0))</f>
        <v>0.3</v>
      </c>
      <c r="F224" s="12">
        <f t="shared" ca="1" si="52"/>
        <v>0</v>
      </c>
      <c r="G224" s="80">
        <f t="shared" ca="1" si="52"/>
        <v>9.3645685149841063E-2</v>
      </c>
      <c r="H224" s="12">
        <f t="shared" ca="1" si="52"/>
        <v>0.43496774121179493</v>
      </c>
      <c r="I224" s="12">
        <f t="shared" ca="1" si="52"/>
        <v>0.30971202206367943</v>
      </c>
      <c r="J224" s="12">
        <f t="shared" ca="1" si="52"/>
        <v>0.10084687618964905</v>
      </c>
      <c r="K224" s="12">
        <f t="shared" ca="1" si="52"/>
        <v>4.369155763676158E-2</v>
      </c>
      <c r="L224" s="12">
        <f t="shared" ca="1" si="52"/>
        <v>1.2294147338348549E-2</v>
      </c>
      <c r="M224" s="12">
        <f t="shared" ca="1" si="52"/>
        <v>3.4319914015099595E-3</v>
      </c>
      <c r="N224" s="12">
        <f t="shared" ca="1" si="52"/>
        <v>9.7974800056666034E-4</v>
      </c>
      <c r="O224" s="12">
        <f t="shared" ca="1" si="52"/>
        <v>2.8965646966772063E-4</v>
      </c>
      <c r="P224" s="12">
        <f t="shared" ca="1" si="53"/>
        <v>8.9102308850064205E-5</v>
      </c>
      <c r="Q224" s="12">
        <f t="shared" ca="1" si="53"/>
        <v>2.8546284221997453E-5</v>
      </c>
      <c r="R224" s="12">
        <f t="shared" ca="1" si="53"/>
        <v>9.5172244658492389E-6</v>
      </c>
      <c r="S224" s="12">
        <f t="shared" ca="1" si="53"/>
        <v>3.2965250564842563E-6</v>
      </c>
      <c r="T224" s="12">
        <f t="shared" ca="1" si="53"/>
        <v>1.1839190681151024E-6</v>
      </c>
      <c r="U224" s="12">
        <f t="shared" ca="1" si="53"/>
        <v>4.3994472476160951E-7</v>
      </c>
      <c r="V224" s="12">
        <f t="shared" ca="1" si="53"/>
        <v>1.688057024162859E-7</v>
      </c>
      <c r="W224" s="12">
        <f t="shared" ca="1" si="53"/>
        <v>6.6746950189155996E-8</v>
      </c>
      <c r="X224" s="12">
        <f t="shared" ca="1" si="53"/>
        <v>2.7147205150512832E-8</v>
      </c>
      <c r="Y224" s="12">
        <f t="shared" ca="1" si="53"/>
        <v>1.1337537686451071E-8</v>
      </c>
      <c r="Z224" s="12">
        <f t="shared" ca="1" si="53"/>
        <v>8.7650239288805665E-9</v>
      </c>
      <c r="AA224" s="80">
        <f ca="1">SUMPRODUCT(F224:Z224,FailureForCPU!E$17:Y$17)</f>
        <v>7.3483250387362808E-8</v>
      </c>
      <c r="AB224" s="80">
        <f t="shared" ca="1" si="54"/>
        <v>2.33098787283243E-8</v>
      </c>
      <c r="AC224" s="12">
        <f t="shared" ca="1" si="55"/>
        <v>0.31721347235678798</v>
      </c>
      <c r="AD224" s="12">
        <f t="shared" ca="1" si="56"/>
        <v>0.99999179447062558</v>
      </c>
    </row>
    <row r="225" spans="1:30">
      <c r="A225" s="45">
        <v>2</v>
      </c>
      <c r="B225" s="12">
        <f t="shared" si="50"/>
        <v>0.19123856888888888</v>
      </c>
      <c r="C225" s="12">
        <f t="shared" si="51"/>
        <v>0.20080049733333333</v>
      </c>
      <c r="D225" s="23">
        <f t="array" ref="D225">MATCH(MIN(ABS(ServerTypeA!$A$106:$A$165-$C225)),ABS(ServerTypeA!$A$106:$A$165-$C225),0)</f>
        <v>2</v>
      </c>
      <c r="E225" s="23">
        <f t="array" ref="E225">INDEX(ServerTypeA!$A$106:$A$165,MATCH(MIN(ABS(ServerTypeA!$A$106:$A$165-$C225)),ABS(ServerTypeA!$A$106:$A$165-$C225),0))</f>
        <v>0.2</v>
      </c>
      <c r="F225" s="12">
        <f t="shared" ca="1" si="52"/>
        <v>0</v>
      </c>
      <c r="G225" s="80">
        <f t="shared" ca="1" si="52"/>
        <v>0.1626364559668394</v>
      </c>
      <c r="H225" s="12">
        <f t="shared" ca="1" si="52"/>
        <v>0.44689177712898531</v>
      </c>
      <c r="I225" s="12">
        <f t="shared" ca="1" si="52"/>
        <v>0.25672841154259229</v>
      </c>
      <c r="J225" s="12">
        <f t="shared" ca="1" si="52"/>
        <v>8.0778867012517908E-2</v>
      </c>
      <c r="K225" s="12">
        <f t="shared" ca="1" si="52"/>
        <v>3.6441263038010985E-2</v>
      </c>
      <c r="L225" s="12">
        <f t="shared" ca="1" si="52"/>
        <v>1.1196275956871338E-2</v>
      </c>
      <c r="M225" s="12">
        <f t="shared" ca="1" si="52"/>
        <v>3.494913428613633E-3</v>
      </c>
      <c r="N225" s="12">
        <f t="shared" ca="1" si="52"/>
        <v>1.1292488621793551E-3</v>
      </c>
      <c r="O225" s="12">
        <f t="shared" ca="1" si="52"/>
        <v>3.8010943408661735E-4</v>
      </c>
      <c r="P225" s="12">
        <f t="shared" ca="1" si="53"/>
        <v>1.3344624165900765E-4</v>
      </c>
      <c r="Q225" s="12">
        <f t="shared" ca="1" si="53"/>
        <v>4.881027651226777E-5</v>
      </c>
      <c r="R225" s="12">
        <f t="shared" ca="1" si="53"/>
        <v>1.8562562802637572E-5</v>
      </c>
      <c r="S225" s="12">
        <f t="shared" ca="1" si="53"/>
        <v>7.3223909015096567E-6</v>
      </c>
      <c r="T225" s="12">
        <f t="shared" ca="1" si="53"/>
        <v>2.9888294735824772E-6</v>
      </c>
      <c r="U225" s="12">
        <f t="shared" ca="1" si="53"/>
        <v>1.2594040589286593E-6</v>
      </c>
      <c r="V225" s="12">
        <f t="shared" ca="1" si="53"/>
        <v>5.4662697912544189E-7</v>
      </c>
      <c r="W225" s="12">
        <f t="shared" ca="1" si="53"/>
        <v>2.4389220010245793E-7</v>
      </c>
      <c r="X225" s="12">
        <f t="shared" ca="1" si="53"/>
        <v>1.1165486546449443E-7</v>
      </c>
      <c r="Y225" s="12">
        <f t="shared" ca="1" si="53"/>
        <v>5.2359286684122708E-8</v>
      </c>
      <c r="Z225" s="12">
        <f t="shared" ca="1" si="53"/>
        <v>5.0177817123575608E-8</v>
      </c>
      <c r="AA225" s="80">
        <f ca="1">SUMPRODUCT(F225:Z225,FailureForCPU!E$17:Y$17)</f>
        <v>2.0660950502404687E-7</v>
      </c>
      <c r="AB225" s="80">
        <f t="shared" ca="1" si="54"/>
        <v>4.1487291362622444E-8</v>
      </c>
      <c r="AC225" s="12">
        <f t="shared" ca="1" si="55"/>
        <v>0.20080045584604198</v>
      </c>
      <c r="AD225" s="12">
        <f t="shared" ca="1" si="56"/>
        <v>0.99989071678725328</v>
      </c>
    </row>
    <row r="226" spans="1:30">
      <c r="A226" s="45">
        <v>3</v>
      </c>
      <c r="B226" s="12">
        <f t="shared" si="50"/>
        <v>0.17781025555555557</v>
      </c>
      <c r="C226" s="12">
        <f t="shared" si="51"/>
        <v>0.18670076833333335</v>
      </c>
      <c r="D226" s="23">
        <f t="array" ref="D226">MATCH(MIN(ABS(ServerTypeA!$A$106:$A$165-$C226)),ABS(ServerTypeA!$A$106:$A$165-$C226),0)</f>
        <v>2</v>
      </c>
      <c r="E226" s="23">
        <f t="array" ref="E226">INDEX(ServerTypeA!$A$106:$A$165,MATCH(MIN(ABS(ServerTypeA!$A$106:$A$165-$C226)),ABS(ServerTypeA!$A$106:$A$165-$C226),0))</f>
        <v>0.2</v>
      </c>
      <c r="F226" s="80">
        <f t="shared" ca="1" si="52"/>
        <v>0</v>
      </c>
      <c r="G226" s="80">
        <f t="shared" ca="1" si="52"/>
        <v>0.1626364559668394</v>
      </c>
      <c r="H226" s="80">
        <f t="shared" ca="1" si="52"/>
        <v>0.44689177712898531</v>
      </c>
      <c r="I226" s="80">
        <f t="shared" ca="1" si="52"/>
        <v>0.25672841154259229</v>
      </c>
      <c r="J226" s="80">
        <f t="shared" ca="1" si="52"/>
        <v>8.0778867012517908E-2</v>
      </c>
      <c r="K226" s="80">
        <f t="shared" ca="1" si="52"/>
        <v>3.6441263038010985E-2</v>
      </c>
      <c r="L226" s="80">
        <f t="shared" ca="1" si="52"/>
        <v>1.1196275956871338E-2</v>
      </c>
      <c r="M226" s="80">
        <f t="shared" ca="1" si="52"/>
        <v>3.494913428613633E-3</v>
      </c>
      <c r="N226" s="80">
        <f t="shared" ca="1" si="52"/>
        <v>1.1292488621793551E-3</v>
      </c>
      <c r="O226" s="80">
        <f t="shared" ca="1" si="52"/>
        <v>3.8010943408661735E-4</v>
      </c>
      <c r="P226" s="80">
        <f t="shared" ca="1" si="53"/>
        <v>1.3344624165900765E-4</v>
      </c>
      <c r="Q226" s="80">
        <f t="shared" ca="1" si="53"/>
        <v>4.881027651226777E-5</v>
      </c>
      <c r="R226" s="80">
        <f t="shared" ca="1" si="53"/>
        <v>1.8562562802637572E-5</v>
      </c>
      <c r="S226" s="80">
        <f t="shared" ca="1" si="53"/>
        <v>7.3223909015096567E-6</v>
      </c>
      <c r="T226" s="80">
        <f t="shared" ca="1" si="53"/>
        <v>2.9888294735824772E-6</v>
      </c>
      <c r="U226" s="80">
        <f t="shared" ca="1" si="53"/>
        <v>1.2594040589286593E-6</v>
      </c>
      <c r="V226" s="80">
        <f t="shared" ca="1" si="53"/>
        <v>5.4662697912544189E-7</v>
      </c>
      <c r="W226" s="80">
        <f t="shared" ca="1" si="53"/>
        <v>2.4389220010245793E-7</v>
      </c>
      <c r="X226" s="80">
        <f t="shared" ca="1" si="53"/>
        <v>1.1165486546449443E-7</v>
      </c>
      <c r="Y226" s="80">
        <f t="shared" ca="1" si="53"/>
        <v>5.2359286684122708E-8</v>
      </c>
      <c r="Z226" s="80">
        <f t="shared" ca="1" si="53"/>
        <v>5.0177817123575608E-8</v>
      </c>
      <c r="AA226" s="80">
        <f ca="1">SUMPRODUCT(F226:Z226,FailureForCPU!E$17:Y$17)</f>
        <v>2.0660950502404687E-7</v>
      </c>
      <c r="AB226" s="80">
        <f t="shared" ca="1" si="54"/>
        <v>3.8574153332959246E-8</v>
      </c>
      <c r="AC226" s="12">
        <f t="shared" ca="1" si="55"/>
        <v>0.18670072975918001</v>
      </c>
      <c r="AD226" s="12">
        <f t="shared" ca="1" si="56"/>
        <v>0.99989071678725328</v>
      </c>
    </row>
    <row r="227" spans="1:30">
      <c r="A227" s="45">
        <v>4</v>
      </c>
      <c r="B227" s="12">
        <f t="shared" si="50"/>
        <v>0.35924234000000005</v>
      </c>
      <c r="C227" s="12">
        <f t="shared" si="51"/>
        <v>0.37720445700000005</v>
      </c>
      <c r="D227" s="23">
        <f t="array" ref="D227">MATCH(MIN(ABS(ServerTypeA!$A$106:$A$165-$C227)),ABS(ServerTypeA!$A$106:$A$165-$C227),0)</f>
        <v>4</v>
      </c>
      <c r="E227" s="23">
        <f t="array" ref="E227">INDEX(ServerTypeA!$A$106:$A$165,MATCH(MIN(ABS(ServerTypeA!$A$106:$A$165-$C227)),ABS(ServerTypeA!$A$106:$A$165-$C227),0))</f>
        <v>0.4</v>
      </c>
      <c r="F227" s="80">
        <f t="shared" ca="1" si="52"/>
        <v>0</v>
      </c>
      <c r="G227" s="80">
        <f t="shared" ca="1" si="52"/>
        <v>4.8173495024784518E-2</v>
      </c>
      <c r="H227" s="80">
        <f t="shared" ca="1" si="52"/>
        <v>0.38674242167765105</v>
      </c>
      <c r="I227" s="80">
        <f t="shared" ca="1" si="52"/>
        <v>0.35996128270467487</v>
      </c>
      <c r="J227" s="80">
        <f t="shared" ca="1" si="52"/>
        <v>0.12840573422331936</v>
      </c>
      <c r="K227" s="80">
        <f t="shared" ca="1" si="52"/>
        <v>5.6094229657256189E-2</v>
      </c>
      <c r="L227" s="80">
        <f t="shared" ca="1" si="52"/>
        <v>1.5209033974828756E-2</v>
      </c>
      <c r="M227" s="80">
        <f t="shared" ca="1" si="52"/>
        <v>3.9746438089780511E-3</v>
      </c>
      <c r="N227" s="80">
        <f t="shared" ca="1" si="52"/>
        <v>1.0450649719873084E-3</v>
      </c>
      <c r="O227" s="80">
        <f t="shared" ca="1" si="52"/>
        <v>2.8192928270942552E-4</v>
      </c>
      <c r="P227" s="80">
        <f t="shared" ca="1" si="53"/>
        <v>7.8721555912264485E-5</v>
      </c>
      <c r="Q227" s="80">
        <f t="shared" ca="1" si="53"/>
        <v>2.2829740597640757E-5</v>
      </c>
      <c r="R227" s="80">
        <f t="shared" ca="1" si="53"/>
        <v>6.8815575364755688E-6</v>
      </c>
      <c r="S227" s="80">
        <f t="shared" ca="1" si="53"/>
        <v>2.1546338000444365E-6</v>
      </c>
      <c r="T227" s="80">
        <f t="shared" ca="1" si="53"/>
        <v>6.9981033046229157E-7</v>
      </c>
      <c r="U227" s="80">
        <f t="shared" ca="1" si="53"/>
        <v>2.3538909244003037E-7</v>
      </c>
      <c r="V227" s="80">
        <f t="shared" ca="1" si="53"/>
        <v>8.1849132360645172E-8</v>
      </c>
      <c r="W227" s="80">
        <f t="shared" ca="1" si="53"/>
        <v>2.9368769638438152E-8</v>
      </c>
      <c r="X227" s="80">
        <f t="shared" ca="1" si="53"/>
        <v>1.085533962719154E-8</v>
      </c>
      <c r="Y227" s="80">
        <f t="shared" ca="1" si="53"/>
        <v>4.126343045030012E-9</v>
      </c>
      <c r="Z227" s="80">
        <f t="shared" ca="1" si="53"/>
        <v>2.7148532311116469E-9</v>
      </c>
      <c r="AA227" s="80">
        <f ca="1">SUMPRODUCT(F227:Z227,FailureForCPU!E$17:Y$17)</f>
        <v>4.1768345534117412E-8</v>
      </c>
      <c r="AB227" s="80">
        <f t="shared" ca="1" si="54"/>
        <v>1.5755206096985134E-8</v>
      </c>
      <c r="AC227" s="12">
        <f t="shared" ca="1" si="55"/>
        <v>0.37720444124479396</v>
      </c>
      <c r="AD227" s="12">
        <f t="shared" ca="1" si="56"/>
        <v>0.99999948692789675</v>
      </c>
    </row>
    <row r="228" spans="1:30">
      <c r="A228" s="45">
        <v>5</v>
      </c>
      <c r="B228" s="12">
        <f t="shared" si="50"/>
        <v>0.95434750888888886</v>
      </c>
      <c r="C228" s="12">
        <f t="shared" si="51"/>
        <v>1.0020648843333333</v>
      </c>
      <c r="D228" s="23">
        <f t="array" ref="D228">MATCH(MIN(ABS(ServerTypeA!$A$106:$A$165-$C228)),ABS(ServerTypeA!$A$106:$A$165-$C228),0)</f>
        <v>10</v>
      </c>
      <c r="E228" s="23">
        <f t="array" ref="E228">INDEX(ServerTypeA!$A$106:$A$165,MATCH(MIN(ABS(ServerTypeA!$A$106:$A$165-$C228)),ABS(ServerTypeA!$A$106:$A$165-$C228),0))</f>
        <v>1</v>
      </c>
      <c r="F228" s="80">
        <f t="shared" ca="1" si="52"/>
        <v>0</v>
      </c>
      <c r="G228" s="80">
        <f t="shared" ca="1" si="52"/>
        <v>6.3362385179783882E-5</v>
      </c>
      <c r="H228" s="80">
        <f t="shared" ca="1" si="52"/>
        <v>3.2995538185137452E-2</v>
      </c>
      <c r="I228" s="80">
        <f t="shared" ca="1" si="52"/>
        <v>0.26726256706287965</v>
      </c>
      <c r="J228" s="80">
        <f t="shared" ca="1" si="52"/>
        <v>0.31013660162702217</v>
      </c>
      <c r="K228" s="80">
        <f t="shared" ca="1" si="52"/>
        <v>0.2532552756998514</v>
      </c>
      <c r="L228" s="80">
        <f t="shared" ca="1" si="52"/>
        <v>9.8107796915847922E-2</v>
      </c>
      <c r="M228" s="80">
        <f t="shared" ca="1" si="52"/>
        <v>2.8732042413077363E-2</v>
      </c>
      <c r="N228" s="80">
        <f t="shared" ca="1" si="52"/>
        <v>7.2542263535837481E-3</v>
      </c>
      <c r="O228" s="80">
        <f t="shared" ca="1" si="52"/>
        <v>1.6975679546920031E-3</v>
      </c>
      <c r="P228" s="80">
        <f t="shared" ca="1" si="53"/>
        <v>3.8387097105896384E-4</v>
      </c>
      <c r="Q228" s="80">
        <f t="shared" ca="1" si="53"/>
        <v>8.5988652237634078E-5</v>
      </c>
      <c r="R228" s="80">
        <f t="shared" ca="1" si="53"/>
        <v>1.9370639502747089E-5</v>
      </c>
      <c r="S228" s="80">
        <f t="shared" ca="1" si="53"/>
        <v>4.4290582862371863E-6</v>
      </c>
      <c r="T228" s="80">
        <f t="shared" ca="1" si="53"/>
        <v>1.033706087172348E-6</v>
      </c>
      <c r="U228" s="80">
        <f t="shared" ca="1" si="53"/>
        <v>2.4709440304970798E-7</v>
      </c>
      <c r="V228" s="80">
        <f t="shared" ca="1" si="53"/>
        <v>6.0608630669811703E-8</v>
      </c>
      <c r="W228" s="80">
        <f t="shared" ca="1" si="53"/>
        <v>1.5269196684819519E-8</v>
      </c>
      <c r="X228" s="80">
        <f t="shared" ca="1" si="53"/>
        <v>3.9522030093053218E-9</v>
      </c>
      <c r="Y228" s="80">
        <f t="shared" ca="1" si="53"/>
        <v>1.0508791614682877E-9</v>
      </c>
      <c r="Z228" s="80">
        <f t="shared" ca="1" si="53"/>
        <v>4.0024294989393638E-10</v>
      </c>
      <c r="AA228" s="80">
        <f ca="1">SUMPRODUCT(F228:Z228,FailureForCPU!E$17:Y$17)</f>
        <v>6.3473937673511974E-8</v>
      </c>
      <c r="AB228" s="80">
        <f t="shared" ca="1" si="54"/>
        <v>6.360500401298898E-8</v>
      </c>
      <c r="AC228" s="12">
        <f t="shared" ca="1" si="55"/>
        <v>1.0020648207283294</v>
      </c>
      <c r="AD228" s="12">
        <f t="shared" ca="1" si="56"/>
        <v>0.99999999999999978</v>
      </c>
    </row>
    <row r="229" spans="1:30">
      <c r="A229" s="45">
        <v>6</v>
      </c>
      <c r="B229" s="12">
        <f t="shared" si="50"/>
        <v>1.3952391016858241</v>
      </c>
      <c r="C229" s="12">
        <f t="shared" si="51"/>
        <v>1.4650010567701153</v>
      </c>
      <c r="D229" s="23">
        <f t="array" ref="D229">MATCH(MIN(ABS(ServerTypeA!$A$106:$A$165-$C229)),ABS(ServerTypeA!$A$106:$A$165-$C229),0)</f>
        <v>15</v>
      </c>
      <c r="E229" s="23">
        <f t="array" ref="E229">INDEX(ServerTypeA!$A$106:$A$165,MATCH(MIN(ABS(ServerTypeA!$A$106:$A$165-$C229)),ABS(ServerTypeA!$A$106:$A$165-$C229),0))</f>
        <v>1.5</v>
      </c>
      <c r="F229" s="80">
        <f t="shared" ca="1" si="52"/>
        <v>0</v>
      </c>
      <c r="G229" s="80">
        <f t="shared" ca="1" si="52"/>
        <v>7.2350469922239067E-9</v>
      </c>
      <c r="H229" s="80">
        <f t="shared" ca="1" si="52"/>
        <v>4.338515779256506E-4</v>
      </c>
      <c r="I229" s="80">
        <f t="shared" ca="1" si="52"/>
        <v>3.6247235280012169E-2</v>
      </c>
      <c r="J229" s="80">
        <f t="shared" ca="1" si="52"/>
        <v>0.16136806259489112</v>
      </c>
      <c r="K229" s="80">
        <f t="shared" ca="1" si="52"/>
        <v>0.34502261692311387</v>
      </c>
      <c r="L229" s="80">
        <f t="shared" ca="1" si="52"/>
        <v>0.27262558855603425</v>
      </c>
      <c r="M229" s="80">
        <f t="shared" ca="1" si="52"/>
        <v>0.12647029608674076</v>
      </c>
      <c r="N229" s="80">
        <f t="shared" ca="1" si="52"/>
        <v>4.2472876602146714E-2</v>
      </c>
      <c r="O229" s="80">
        <f t="shared" ca="1" si="52"/>
        <v>1.1692028861120196E-2</v>
      </c>
      <c r="P229" s="80">
        <f t="shared" ca="1" si="53"/>
        <v>2.8471096150606279E-3</v>
      </c>
      <c r="Q229" s="80">
        <f t="shared" ca="1" si="53"/>
        <v>6.4358558270427579E-4</v>
      </c>
      <c r="R229" s="80">
        <f t="shared" ca="1" si="53"/>
        <v>1.3936039102613318E-4</v>
      </c>
      <c r="S229" s="80">
        <f t="shared" ca="1" si="53"/>
        <v>2.9518059099342686E-5</v>
      </c>
      <c r="T229" s="80">
        <f t="shared" ca="1" si="53"/>
        <v>6.203032520524232E-6</v>
      </c>
      <c r="U229" s="80">
        <f t="shared" ca="1" si="53"/>
        <v>1.305882522339985E-6</v>
      </c>
      <c r="V229" s="80">
        <f t="shared" ca="1" si="53"/>
        <v>2.7726535167804656E-7</v>
      </c>
      <c r="W229" s="80">
        <f t="shared" ca="1" si="53"/>
        <v>5.9646639072319374E-8</v>
      </c>
      <c r="X229" s="80">
        <f t="shared" ca="1" si="53"/>
        <v>1.3042227076098811E-8</v>
      </c>
      <c r="Y229" s="80">
        <f t="shared" ca="1" si="53"/>
        <v>2.9048460303826573E-9</v>
      </c>
      <c r="Z229" s="80">
        <f t="shared" ca="1" si="53"/>
        <v>8.6097118323635868E-10</v>
      </c>
      <c r="AA229" s="80">
        <f ca="1">SUMPRODUCT(F229:Z229,FailureForCPU!E$17:Y$17)</f>
        <v>3.9511530079416883E-7</v>
      </c>
      <c r="AB229" s="80">
        <f t="shared" ca="1" si="54"/>
        <v>5.7884433320949926E-7</v>
      </c>
      <c r="AC229" s="12">
        <f t="shared" ca="1" si="55"/>
        <v>1.4650004779257821</v>
      </c>
      <c r="AD229" s="12">
        <f t="shared" ca="1" si="56"/>
        <v>1</v>
      </c>
    </row>
    <row r="230" spans="1:30">
      <c r="A230" s="45">
        <v>7</v>
      </c>
      <c r="B230" s="12">
        <f t="shared" si="50"/>
        <v>1.6468302396934869</v>
      </c>
      <c r="C230" s="12">
        <f t="shared" si="51"/>
        <v>1.7291717516781613</v>
      </c>
      <c r="D230" s="23">
        <f t="array" ref="D230">MATCH(MIN(ABS(ServerTypeA!$A$106:$A$165-$C230)),ABS(ServerTypeA!$A$106:$A$165-$C230),0)</f>
        <v>17</v>
      </c>
      <c r="E230" s="23">
        <f t="array" ref="E230">INDEX(ServerTypeA!$A$106:$A$165,MATCH(MIN(ABS(ServerTypeA!$A$106:$A$165-$C230)),ABS(ServerTypeA!$A$106:$A$165-$C230),0))</f>
        <v>1.7</v>
      </c>
      <c r="F230" s="80">
        <f t="shared" ca="1" si="52"/>
        <v>0</v>
      </c>
      <c r="G230" s="80">
        <f t="shared" ca="1" si="52"/>
        <v>8.1253198802544112E-11</v>
      </c>
      <c r="H230" s="80">
        <f t="shared" ca="1" si="52"/>
        <v>4.33826302524141E-5</v>
      </c>
      <c r="I230" s="80">
        <f t="shared" ca="1" si="52"/>
        <v>1.0705987157923591E-2</v>
      </c>
      <c r="J230" s="80">
        <f t="shared" ca="1" si="52"/>
        <v>8.5289399602454408E-2</v>
      </c>
      <c r="K230" s="80">
        <f t="shared" ca="1" si="52"/>
        <v>0.28828196681177598</v>
      </c>
      <c r="L230" s="80">
        <f t="shared" ca="1" si="52"/>
        <v>0.32142633077115734</v>
      </c>
      <c r="M230" s="80">
        <f t="shared" ca="1" si="52"/>
        <v>0.18912407351993599</v>
      </c>
      <c r="N230" s="80">
        <f t="shared" ca="1" si="52"/>
        <v>7.4607012926096727E-2</v>
      </c>
      <c r="O230" s="80">
        <f t="shared" ca="1" si="52"/>
        <v>2.2822152808572804E-2</v>
      </c>
      <c r="P230" s="80">
        <f t="shared" ca="1" si="53"/>
        <v>5.9287841336530533E-3</v>
      </c>
      <c r="Q230" s="80">
        <f t="shared" ca="1" si="53"/>
        <v>1.3868580523002105E-3</v>
      </c>
      <c r="R230" s="80">
        <f t="shared" ca="1" si="53"/>
        <v>3.0365091844619663E-4</v>
      </c>
      <c r="S230" s="80">
        <f t="shared" ca="1" si="53"/>
        <v>6.3881746393823491E-5</v>
      </c>
      <c r="T230" s="80">
        <f t="shared" ca="1" si="53"/>
        <v>1.3148842294530283E-5</v>
      </c>
      <c r="U230" s="80">
        <f t="shared" ca="1" si="53"/>
        <v>2.6816199827361942E-6</v>
      </c>
      <c r="V230" s="80">
        <f t="shared" ca="1" si="53"/>
        <v>5.4674756877481911E-7</v>
      </c>
      <c r="W230" s="80">
        <f t="shared" ca="1" si="53"/>
        <v>1.1215444262191454E-7</v>
      </c>
      <c r="X230" s="80">
        <f t="shared" ca="1" si="53"/>
        <v>2.3251678915592322E-8</v>
      </c>
      <c r="Y230" s="80">
        <f t="shared" ca="1" si="53"/>
        <v>4.8876390712493389E-9</v>
      </c>
      <c r="Z230" s="80">
        <f t="shared" ca="1" si="53"/>
        <v>1.3361776129983127E-9</v>
      </c>
      <c r="AA230" s="80">
        <f ca="1">SUMPRODUCT(F230:Z230,FailureForCPU!E$17:Y$17)</f>
        <v>8.4375321515358262E-7</v>
      </c>
      <c r="AB230" s="80">
        <f t="shared" ca="1" si="54"/>
        <v>1.4589942250312009E-6</v>
      </c>
      <c r="AC230" s="12">
        <f t="shared" ca="1" si="55"/>
        <v>1.7291702926839363</v>
      </c>
      <c r="AD230" s="12">
        <f t="shared" ca="1" si="56"/>
        <v>1</v>
      </c>
    </row>
    <row r="231" spans="1:30">
      <c r="A231" s="45">
        <v>8</v>
      </c>
      <c r="B231" s="12">
        <f t="shared" si="50"/>
        <v>1.8977111415325671</v>
      </c>
      <c r="C231" s="12">
        <f t="shared" si="51"/>
        <v>1.9925966986091956</v>
      </c>
      <c r="D231" s="23">
        <f t="array" ref="D231">MATCH(MIN(ABS(ServerTypeA!$A$106:$A$165-$C231)),ABS(ServerTypeA!$A$106:$A$165-$C231),0)</f>
        <v>20</v>
      </c>
      <c r="E231" s="23">
        <f t="array" ref="E231">INDEX(ServerTypeA!$A$106:$A$165,MATCH(MIN(ABS(ServerTypeA!$A$106:$A$165-$C231)),ABS(ServerTypeA!$A$106:$A$165-$C231),0))</f>
        <v>2</v>
      </c>
      <c r="F231" s="80">
        <f t="shared" ca="1" si="52"/>
        <v>0</v>
      </c>
      <c r="G231" s="80">
        <f t="shared" ca="1" si="52"/>
        <v>4.0327851882455048E-14</v>
      </c>
      <c r="H231" s="80">
        <f t="shared" ca="1" si="52"/>
        <v>7.6343649033183721E-7</v>
      </c>
      <c r="I231" s="80">
        <f t="shared" ca="1" si="52"/>
        <v>1.1261859468466584E-3</v>
      </c>
      <c r="J231" s="80">
        <f t="shared" ca="1" si="52"/>
        <v>2.2612201701377344E-2</v>
      </c>
      <c r="K231" s="80">
        <f t="shared" ca="1" si="52"/>
        <v>0.16230317290931873</v>
      </c>
      <c r="L231" s="80">
        <f t="shared" ca="1" si="52"/>
        <v>0.31714492139955697</v>
      </c>
      <c r="M231" s="80">
        <f t="shared" ca="1" si="52"/>
        <v>0.27781919593603943</v>
      </c>
      <c r="N231" s="80">
        <f t="shared" ca="1" si="52"/>
        <v>0.14469470987553978</v>
      </c>
      <c r="O231" s="80">
        <f t="shared" ca="1" si="52"/>
        <v>5.3484922732303541E-2</v>
      </c>
      <c r="P231" s="80">
        <f t="shared" ca="1" si="53"/>
        <v>1.5719419243440669E-2</v>
      </c>
      <c r="Q231" s="80">
        <f t="shared" ca="1" si="53"/>
        <v>3.9583848233887275E-3</v>
      </c>
      <c r="R231" s="80">
        <f t="shared" ca="1" si="53"/>
        <v>8.981527125127009E-4</v>
      </c>
      <c r="S231" s="80">
        <f t="shared" ca="1" si="53"/>
        <v>1.9011234478316652E-4</v>
      </c>
      <c r="T231" s="80">
        <f t="shared" ca="1" si="53"/>
        <v>3.8467327741598112E-5</v>
      </c>
      <c r="U231" s="80">
        <f t="shared" ca="1" si="53"/>
        <v>7.5710929109407132E-6</v>
      </c>
      <c r="V231" s="80">
        <f t="shared" ca="1" si="53"/>
        <v>1.4678447695093411E-6</v>
      </c>
      <c r="W231" s="80">
        <f t="shared" ca="1" si="53"/>
        <v>2.8291288289850058E-7</v>
      </c>
      <c r="X231" s="80">
        <f t="shared" ca="1" si="53"/>
        <v>5.4577875108208218E-8</v>
      </c>
      <c r="Y231" s="80">
        <f t="shared" ca="1" si="53"/>
        <v>1.0591190591213717E-8</v>
      </c>
      <c r="Z231" s="80">
        <f t="shared" ca="1" si="53"/>
        <v>2.5909909773247364E-9</v>
      </c>
      <c r="AA231" s="80">
        <f ca="1">SUMPRODUCT(F231:Z231,FailureForCPU!E$17:Y$17)</f>
        <v>2.4804686957341508E-6</v>
      </c>
      <c r="AB231" s="80">
        <f t="shared" ca="1" si="54"/>
        <v>4.942573734123326E-6</v>
      </c>
      <c r="AC231" s="12">
        <f t="shared" ca="1" si="55"/>
        <v>1.9925917560354616</v>
      </c>
      <c r="AD231" s="12">
        <f t="shared" ca="1" si="56"/>
        <v>1</v>
      </c>
    </row>
    <row r="232" spans="1:30">
      <c r="A232" s="45">
        <v>9</v>
      </c>
      <c r="B232" s="12">
        <f t="shared" si="50"/>
        <v>2.1127480528735636</v>
      </c>
      <c r="C232" s="12">
        <f t="shared" si="51"/>
        <v>2.2183854555172418</v>
      </c>
      <c r="D232" s="23">
        <f t="array" ref="D232">MATCH(MIN(ABS(ServerTypeA!$A$106:$A$165-$C232)),ABS(ServerTypeA!$A$106:$A$165-$C232),0)</f>
        <v>22</v>
      </c>
      <c r="E232" s="23">
        <f t="array" ref="E232">INDEX(ServerTypeA!$A$106:$A$165,MATCH(MIN(ABS(ServerTypeA!$A$106:$A$165-$C232)),ABS(ServerTypeA!$A$106:$A$165-$C232),0))</f>
        <v>2.2000000000000002</v>
      </c>
      <c r="F232" s="80">
        <f t="shared" ca="1" si="52"/>
        <v>0</v>
      </c>
      <c r="G232" s="80">
        <f t="shared" ca="1" si="52"/>
        <v>1.4197865135647501E-16</v>
      </c>
      <c r="H232" s="80">
        <f t="shared" ca="1" si="52"/>
        <v>3.5178484297494661E-8</v>
      </c>
      <c r="I232" s="80">
        <f t="shared" ca="1" si="52"/>
        <v>1.9059109896381863E-4</v>
      </c>
      <c r="J232" s="80">
        <f t="shared" ca="1" si="52"/>
        <v>7.3891799340688458E-3</v>
      </c>
      <c r="K232" s="80">
        <f t="shared" ca="1" si="52"/>
        <v>9.1526270384004405E-2</v>
      </c>
      <c r="L232" s="80">
        <f t="shared" ca="1" si="52"/>
        <v>0.26679036397934275</v>
      </c>
      <c r="M232" s="80">
        <f t="shared" ca="1" si="52"/>
        <v>0.31199858065834007</v>
      </c>
      <c r="N232" s="80">
        <f t="shared" ca="1" si="52"/>
        <v>0.19967588337153253</v>
      </c>
      <c r="O232" s="80">
        <f t="shared" ca="1" si="52"/>
        <v>8.5232169616926923E-2</v>
      </c>
      <c r="P232" s="80">
        <f t="shared" ca="1" si="53"/>
        <v>2.7604715117663936E-2</v>
      </c>
      <c r="Q232" s="80">
        <f t="shared" ca="1" si="53"/>
        <v>7.3921295639194362E-3</v>
      </c>
      <c r="R232" s="80">
        <f t="shared" ca="1" si="53"/>
        <v>1.7353282851382268E-3</v>
      </c>
      <c r="S232" s="80">
        <f t="shared" ca="1" si="53"/>
        <v>3.7197373049924209E-4</v>
      </c>
      <c r="T232" s="80">
        <f t="shared" ca="1" si="53"/>
        <v>7.4939643748717089E-5</v>
      </c>
      <c r="U232" s="80">
        <f t="shared" ca="1" si="53"/>
        <v>1.4488656518762966E-5</v>
      </c>
      <c r="V232" s="80">
        <f t="shared" ca="1" si="53"/>
        <v>2.7294494167051653E-6</v>
      </c>
      <c r="W232" s="80">
        <f t="shared" ca="1" si="53"/>
        <v>5.0668760964711623E-7</v>
      </c>
      <c r="X232" s="80">
        <f t="shared" ca="1" si="53"/>
        <v>9.3468969675214453E-8</v>
      </c>
      <c r="Y232" s="80">
        <f t="shared" ca="1" si="53"/>
        <v>1.7242146377327572E-8</v>
      </c>
      <c r="Z232" s="80">
        <f t="shared" ca="1" si="53"/>
        <v>3.9327054945914597E-9</v>
      </c>
      <c r="AA232" s="80">
        <f ca="1">SUMPRODUCT(F232:Z232,FailureForCPU!E$17:Y$17)</f>
        <v>4.8314492097689671E-6</v>
      </c>
      <c r="AB232" s="80">
        <f t="shared" ca="1" si="54"/>
        <v>1.0718016656021748E-5</v>
      </c>
      <c r="AC232" s="12">
        <f t="shared" ca="1" si="55"/>
        <v>2.2183747375005858</v>
      </c>
      <c r="AD232" s="12">
        <f t="shared" ca="1" si="56"/>
        <v>1</v>
      </c>
    </row>
    <row r="233" spans="1:30">
      <c r="A233" s="45">
        <v>10</v>
      </c>
      <c r="B233" s="12">
        <f t="shared" si="50"/>
        <v>2.2471277933333327</v>
      </c>
      <c r="C233" s="12">
        <f t="shared" si="51"/>
        <v>2.3594841829999993</v>
      </c>
      <c r="D233" s="23">
        <f t="array" ref="D233">MATCH(MIN(ABS(ServerTypeA!$A$106:$A$165-$C233)),ABS(ServerTypeA!$A$106:$A$165-$C233),0)</f>
        <v>24</v>
      </c>
      <c r="E233" s="23">
        <f t="array" ref="E233">INDEX(ServerTypeA!$A$106:$A$165,MATCH(MIN(ABS(ServerTypeA!$A$106:$A$165-$C233)),ABS(ServerTypeA!$A$106:$A$165-$C233),0))</f>
        <v>2.4</v>
      </c>
      <c r="F233" s="80">
        <f t="shared" ref="F233:O246" ca="1" si="57">OFFSET($B$106,$D233-1,F$221,1,1)</f>
        <v>0</v>
      </c>
      <c r="G233" s="80">
        <f t="shared" ca="1" si="57"/>
        <v>3.1167221746766763E-19</v>
      </c>
      <c r="H233" s="80">
        <f t="shared" ca="1" si="57"/>
        <v>1.1873417779384991E-9</v>
      </c>
      <c r="I233" s="80">
        <f t="shared" ca="1" si="57"/>
        <v>2.5843525653936865E-5</v>
      </c>
      <c r="J233" s="80">
        <f t="shared" ca="1" si="57"/>
        <v>2.0136703289901359E-3</v>
      </c>
      <c r="K233" s="80">
        <f t="shared" ca="1" si="57"/>
        <v>4.4672201065323769E-2</v>
      </c>
      <c r="L233" s="80">
        <f t="shared" ca="1" si="57"/>
        <v>0.19829249902226209</v>
      </c>
      <c r="M233" s="80">
        <f t="shared" ca="1" si="57"/>
        <v>0.31510797306156924</v>
      </c>
      <c r="N233" s="80">
        <f t="shared" ca="1" si="57"/>
        <v>0.25169979823357103</v>
      </c>
      <c r="O233" s="80">
        <f t="shared" ca="1" si="57"/>
        <v>0.12572328963604151</v>
      </c>
      <c r="P233" s="80">
        <f t="shared" ref="P233:Z246" ca="1" si="58">OFFSET($B$106,$D233-1,P$221,1,1)</f>
        <v>4.536838566680601E-2</v>
      </c>
      <c r="Q233" s="80">
        <f t="shared" ca="1" si="58"/>
        <v>1.3036812185681645E-2</v>
      </c>
      <c r="R233" s="80">
        <f t="shared" ca="1" si="58"/>
        <v>3.1898099842099237E-3</v>
      </c>
      <c r="S233" s="80">
        <f t="shared" ca="1" si="58"/>
        <v>6.9656424110131621E-4</v>
      </c>
      <c r="T233" s="80">
        <f t="shared" ca="1" si="58"/>
        <v>1.4040043471519326E-4</v>
      </c>
      <c r="U233" s="80">
        <f t="shared" ca="1" si="58"/>
        <v>2.676723389849478E-5</v>
      </c>
      <c r="V233" s="80">
        <f t="shared" ca="1" si="58"/>
        <v>4.9146294129887025E-6</v>
      </c>
      <c r="W233" s="80">
        <f t="shared" ca="1" si="58"/>
        <v>8.8077484361459568E-7</v>
      </c>
      <c r="X233" s="80">
        <f t="shared" ca="1" si="58"/>
        <v>1.5563918720484793E-7</v>
      </c>
      <c r="Y233" s="80">
        <f t="shared" ca="1" si="58"/>
        <v>2.7326620855028239E-8</v>
      </c>
      <c r="Z233" s="80">
        <f t="shared" ca="1" si="58"/>
        <v>5.8227692667500719E-9</v>
      </c>
      <c r="AA233" s="80">
        <f ca="1">SUMPRODUCT(F233:Z233,FailureForCPU!E$17:Y$17)</f>
        <v>9.0278360402225779E-6</v>
      </c>
      <c r="AB233" s="80">
        <f t="shared" ca="1" si="54"/>
        <v>2.1301036343622517E-5</v>
      </c>
      <c r="AC233" s="12">
        <f t="shared" ca="1" si="55"/>
        <v>2.3594628819636556</v>
      </c>
      <c r="AD233" s="12">
        <f t="shared" ca="1" si="56"/>
        <v>1</v>
      </c>
    </row>
    <row r="234" spans="1:30">
      <c r="A234" s="45">
        <v>11</v>
      </c>
      <c r="B234" s="12">
        <f t="shared" si="50"/>
        <v>2.3458744600000001</v>
      </c>
      <c r="C234" s="12">
        <f t="shared" si="51"/>
        <v>2.4631681830000001</v>
      </c>
      <c r="D234" s="23">
        <f t="array" ref="D234">MATCH(MIN(ABS(ServerTypeA!$A$106:$A$165-$C234)),ABS(ServerTypeA!$A$106:$A$165-$C234),0)</f>
        <v>25</v>
      </c>
      <c r="E234" s="23">
        <f t="array" ref="E234">INDEX(ServerTypeA!$A$106:$A$165,MATCH(MIN(ABS(ServerTypeA!$A$106:$A$165-$C234)),ABS(ServerTypeA!$A$106:$A$165-$C234),0))</f>
        <v>2.5</v>
      </c>
      <c r="F234" s="80">
        <f t="shared" ca="1" si="57"/>
        <v>0</v>
      </c>
      <c r="G234" s="80">
        <f t="shared" ca="1" si="57"/>
        <v>1.2137760509315399E-20</v>
      </c>
      <c r="H234" s="80">
        <f t="shared" ca="1" si="57"/>
        <v>1.9326201529708933E-10</v>
      </c>
      <c r="I234" s="80">
        <f t="shared" ca="1" si="57"/>
        <v>8.7341173443133668E-6</v>
      </c>
      <c r="J234" s="80">
        <f t="shared" ca="1" si="57"/>
        <v>9.8125281786110019E-4</v>
      </c>
      <c r="K234" s="80">
        <f t="shared" ca="1" si="57"/>
        <v>2.9577600372578838E-2</v>
      </c>
      <c r="L234" s="80">
        <f t="shared" ca="1" si="57"/>
        <v>0.16338041471185938</v>
      </c>
      <c r="M234" s="80">
        <f t="shared" ca="1" si="57"/>
        <v>0.30471964738252599</v>
      </c>
      <c r="N234" s="80">
        <f t="shared" ca="1" si="57"/>
        <v>0.27354850600177016</v>
      </c>
      <c r="O234" s="80">
        <f t="shared" ca="1" si="57"/>
        <v>0.14855876609231511</v>
      </c>
      <c r="P234" s="80">
        <f t="shared" ca="1" si="58"/>
        <v>5.6826152134675012E-2</v>
      </c>
      <c r="Q234" s="80">
        <f t="shared" ca="1" si="58"/>
        <v>1.6974050828764242E-2</v>
      </c>
      <c r="R234" s="80">
        <f t="shared" ca="1" si="58"/>
        <v>4.2519750570353398E-3</v>
      </c>
      <c r="S234" s="80">
        <f t="shared" ca="1" si="58"/>
        <v>9.3929976448769992E-4</v>
      </c>
      <c r="T234" s="80">
        <f t="shared" ca="1" si="58"/>
        <v>1.8971508504428414E-4</v>
      </c>
      <c r="U234" s="80">
        <f t="shared" ca="1" si="58"/>
        <v>3.5968071562475501E-5</v>
      </c>
      <c r="V234" s="80">
        <f t="shared" ca="1" si="58"/>
        <v>6.526896262126769E-6</v>
      </c>
      <c r="W234" s="80">
        <f t="shared" ca="1" si="58"/>
        <v>1.1502714638567113E-6</v>
      </c>
      <c r="X234" s="80">
        <f t="shared" ca="1" si="58"/>
        <v>1.9905972403755356E-7</v>
      </c>
      <c r="Y234" s="80">
        <f t="shared" ca="1" si="58"/>
        <v>3.4111659608093703E-8</v>
      </c>
      <c r="Z234" s="80">
        <f t="shared" ca="1" si="58"/>
        <v>7.0298044052563569E-9</v>
      </c>
      <c r="AA234" s="80">
        <f ca="1">SUMPRODUCT(F234:Z234,FailureForCPU!E$17:Y$17)</f>
        <v>1.217098815129436E-5</v>
      </c>
      <c r="AB234" s="80">
        <f t="shared" ca="1" si="54"/>
        <v>2.997919076993826E-5</v>
      </c>
      <c r="AC234" s="12">
        <f t="shared" ca="1" si="55"/>
        <v>2.4631382038092302</v>
      </c>
      <c r="AD234" s="12">
        <f t="shared" ca="1" si="56"/>
        <v>1</v>
      </c>
    </row>
    <row r="235" spans="1:30">
      <c r="A235" s="45">
        <v>12</v>
      </c>
      <c r="B235" s="12">
        <f t="shared" si="50"/>
        <v>2.6348075555555552</v>
      </c>
      <c r="C235" s="12">
        <f t="shared" si="51"/>
        <v>2.7665479333333329</v>
      </c>
      <c r="D235" s="23">
        <f t="array" ref="D235">MATCH(MIN(ABS(ServerTypeA!$A$106:$A$165-$C235)),ABS(ServerTypeA!$A$106:$A$165-$C235),0)</f>
        <v>28</v>
      </c>
      <c r="E235" s="23">
        <f t="array" ref="E235">INDEX(ServerTypeA!$A$106:$A$165,MATCH(MIN(ABS(ServerTypeA!$A$106:$A$165-$C235)),ABS(ServerTypeA!$A$106:$A$165-$C235),0))</f>
        <v>2.8</v>
      </c>
      <c r="F235" s="80">
        <f t="shared" ca="1" si="57"/>
        <v>0</v>
      </c>
      <c r="G235" s="80">
        <f t="shared" ca="1" si="57"/>
        <v>3.2014838861642734E-25</v>
      </c>
      <c r="H235" s="80">
        <f t="shared" ca="1" si="57"/>
        <v>4.9265370227173325E-13</v>
      </c>
      <c r="I235" s="80">
        <f t="shared" ca="1" si="57"/>
        <v>2.3260569688671958E-7</v>
      </c>
      <c r="J235" s="80">
        <f t="shared" ca="1" si="57"/>
        <v>8.4722779199233693E-5</v>
      </c>
      <c r="K235" s="80">
        <f t="shared" ca="1" si="57"/>
        <v>6.8671365489865188E-3</v>
      </c>
      <c r="L235" s="80">
        <f t="shared" ca="1" si="57"/>
        <v>7.6093165585766731E-2</v>
      </c>
      <c r="M235" s="80">
        <f t="shared" ca="1" si="57"/>
        <v>0.2365929721208383</v>
      </c>
      <c r="N235" s="80">
        <f t="shared" ca="1" si="57"/>
        <v>0.30952971082579805</v>
      </c>
      <c r="O235" s="80">
        <f t="shared" ca="1" si="57"/>
        <v>0.22098283242873895</v>
      </c>
      <c r="P235" s="80">
        <f t="shared" ca="1" si="58"/>
        <v>0.10260586206497568</v>
      </c>
      <c r="Q235" s="80">
        <f t="shared" ca="1" si="58"/>
        <v>3.4968210674430344E-2</v>
      </c>
      <c r="R235" s="80">
        <f t="shared" ca="1" si="58"/>
        <v>9.5212444115283512E-3</v>
      </c>
      <c r="S235" s="80">
        <f t="shared" ca="1" si="58"/>
        <v>2.2003932167329321E-3</v>
      </c>
      <c r="T235" s="80">
        <f t="shared" ca="1" si="58"/>
        <v>4.5096087870266643E-4</v>
      </c>
      <c r="U235" s="80">
        <f t="shared" ca="1" si="58"/>
        <v>8.4651126864176973E-5</v>
      </c>
      <c r="V235" s="80">
        <f t="shared" ca="1" si="58"/>
        <v>1.4909074353308682E-5</v>
      </c>
      <c r="W235" s="80">
        <f t="shared" ca="1" si="58"/>
        <v>2.5090146867912111E-6</v>
      </c>
      <c r="X235" s="80">
        <f t="shared" ca="1" si="58"/>
        <v>4.0910072174327183E-7</v>
      </c>
      <c r="Y235" s="80">
        <f t="shared" ca="1" si="58"/>
        <v>6.5325990061815276E-8</v>
      </c>
      <c r="Z235" s="80">
        <f t="shared" ca="1" si="58"/>
        <v>1.2215496614231824E-8</v>
      </c>
      <c r="AA235" s="80">
        <f ca="1">SUMPRODUCT(F235:Z235,FailureForCPU!E$17:Y$17)</f>
        <v>2.8603509763217017E-5</v>
      </c>
      <c r="AB235" s="80">
        <f t="shared" ca="1" si="54"/>
        <v>7.9132980821507848E-5</v>
      </c>
      <c r="AC235" s="12">
        <f t="shared" ca="1" si="55"/>
        <v>2.7664688003525115</v>
      </c>
      <c r="AD235" s="12">
        <f t="shared" ca="1" si="56"/>
        <v>1</v>
      </c>
    </row>
    <row r="236" spans="1:30">
      <c r="A236" s="45">
        <v>13</v>
      </c>
      <c r="B236" s="12">
        <f t="shared" si="50"/>
        <v>2.5970738657471264</v>
      </c>
      <c r="C236" s="12">
        <f t="shared" si="51"/>
        <v>2.726927559034483</v>
      </c>
      <c r="D236" s="23">
        <f t="array" ref="D236">MATCH(MIN(ABS(ServerTypeA!$A$106:$A$165-$C236)),ABS(ServerTypeA!$A$106:$A$165-$C236),0)</f>
        <v>27</v>
      </c>
      <c r="E236" s="23">
        <f t="array" ref="E236">INDEX(ServerTypeA!$A$106:$A$165,MATCH(MIN(ABS(ServerTypeA!$A$106:$A$165-$C236)),ABS(ServerTypeA!$A$106:$A$165-$C236),0))</f>
        <v>2.7</v>
      </c>
      <c r="F236" s="80">
        <f t="shared" ca="1" si="57"/>
        <v>0</v>
      </c>
      <c r="G236" s="80">
        <f t="shared" ca="1" si="57"/>
        <v>1.239169873735288E-23</v>
      </c>
      <c r="H236" s="80">
        <f t="shared" ca="1" si="57"/>
        <v>3.9552592835852416E-12</v>
      </c>
      <c r="I236" s="80">
        <f t="shared" ca="1" si="57"/>
        <v>8.3133291341925023E-7</v>
      </c>
      <c r="J236" s="80">
        <f t="shared" ca="1" si="57"/>
        <v>2.0173249503252499E-4</v>
      </c>
      <c r="K236" s="80">
        <f t="shared" ca="1" si="57"/>
        <v>1.1612561064618721E-2</v>
      </c>
      <c r="L236" s="80">
        <f t="shared" ca="1" si="57"/>
        <v>0.10127489089389075</v>
      </c>
      <c r="M236" s="80">
        <f t="shared" ca="1" si="57"/>
        <v>0.26410179348864982</v>
      </c>
      <c r="N236" s="80">
        <f t="shared" ca="1" si="57"/>
        <v>0.30332291293257807</v>
      </c>
      <c r="O236" s="80">
        <f t="shared" ca="1" si="57"/>
        <v>0.19688249400125168</v>
      </c>
      <c r="P236" s="80">
        <f t="shared" ca="1" si="58"/>
        <v>8.5404838049038867E-2</v>
      </c>
      <c r="Q236" s="80">
        <f t="shared" ca="1" si="58"/>
        <v>2.7775370702588065E-2</v>
      </c>
      <c r="R236" s="80">
        <f t="shared" ca="1" si="58"/>
        <v>7.3381726042808237E-3</v>
      </c>
      <c r="S236" s="80">
        <f t="shared" ca="1" si="58"/>
        <v>1.6673465755835393E-3</v>
      </c>
      <c r="T236" s="80">
        <f t="shared" ca="1" si="58"/>
        <v>3.3952157254268922E-4</v>
      </c>
      <c r="U236" s="80">
        <f t="shared" ca="1" si="58"/>
        <v>6.386281174752817E-5</v>
      </c>
      <c r="V236" s="80">
        <f t="shared" ca="1" si="58"/>
        <v>1.1348687767864796E-5</v>
      </c>
      <c r="W236" s="80">
        <f t="shared" ca="1" si="58"/>
        <v>1.9378808218117882E-6</v>
      </c>
      <c r="X236" s="80">
        <f t="shared" ca="1" si="58"/>
        <v>3.2210748901473352E-7</v>
      </c>
      <c r="Y236" s="80">
        <f t="shared" ca="1" si="58"/>
        <v>5.2634755443037307E-8</v>
      </c>
      <c r="Z236" s="80">
        <f t="shared" ca="1" si="58"/>
        <v>1.016049411273201E-8</v>
      </c>
      <c r="AA236" s="80">
        <f ca="1">SUMPRODUCT(F236:Z236,FailureForCPU!E$17:Y$17)</f>
        <v>2.1635301689484909E-5</v>
      </c>
      <c r="AB236" s="80">
        <f t="shared" ca="1" si="54"/>
        <v>5.8997900425081709E-5</v>
      </c>
      <c r="AC236" s="12">
        <f t="shared" ca="1" si="55"/>
        <v>2.726868561134058</v>
      </c>
      <c r="AD236" s="12">
        <f t="shared" ca="1" si="56"/>
        <v>1</v>
      </c>
    </row>
    <row r="237" spans="1:30">
      <c r="A237" s="45">
        <v>14</v>
      </c>
      <c r="B237" s="12">
        <f t="shared" si="50"/>
        <v>2.6367986977777775</v>
      </c>
      <c r="C237" s="12">
        <f t="shared" si="51"/>
        <v>2.7686386326666663</v>
      </c>
      <c r="D237" s="23">
        <f t="array" ref="D237">MATCH(MIN(ABS(ServerTypeA!$A$106:$A$165-$C237)),ABS(ServerTypeA!$A$106:$A$165-$C237),0)</f>
        <v>28</v>
      </c>
      <c r="E237" s="23">
        <f t="array" ref="E237">INDEX(ServerTypeA!$A$106:$A$165,MATCH(MIN(ABS(ServerTypeA!$A$106:$A$165-$C237)),ABS(ServerTypeA!$A$106:$A$165-$C237),0))</f>
        <v>2.8</v>
      </c>
      <c r="F237" s="80">
        <f t="shared" ca="1" si="57"/>
        <v>0</v>
      </c>
      <c r="G237" s="80">
        <f t="shared" ca="1" si="57"/>
        <v>3.2014838861642734E-25</v>
      </c>
      <c r="H237" s="80">
        <f t="shared" ca="1" si="57"/>
        <v>4.9265370227173325E-13</v>
      </c>
      <c r="I237" s="80">
        <f t="shared" ca="1" si="57"/>
        <v>2.3260569688671958E-7</v>
      </c>
      <c r="J237" s="80">
        <f t="shared" ca="1" si="57"/>
        <v>8.4722779199233693E-5</v>
      </c>
      <c r="K237" s="80">
        <f t="shared" ca="1" si="57"/>
        <v>6.8671365489865188E-3</v>
      </c>
      <c r="L237" s="80">
        <f t="shared" ca="1" si="57"/>
        <v>7.6093165585766731E-2</v>
      </c>
      <c r="M237" s="80">
        <f t="shared" ca="1" si="57"/>
        <v>0.2365929721208383</v>
      </c>
      <c r="N237" s="80">
        <f t="shared" ca="1" si="57"/>
        <v>0.30952971082579805</v>
      </c>
      <c r="O237" s="80">
        <f t="shared" ca="1" si="57"/>
        <v>0.22098283242873895</v>
      </c>
      <c r="P237" s="80">
        <f t="shared" ca="1" si="58"/>
        <v>0.10260586206497568</v>
      </c>
      <c r="Q237" s="80">
        <f t="shared" ca="1" si="58"/>
        <v>3.4968210674430344E-2</v>
      </c>
      <c r="R237" s="80">
        <f t="shared" ca="1" si="58"/>
        <v>9.5212444115283512E-3</v>
      </c>
      <c r="S237" s="80">
        <f t="shared" ca="1" si="58"/>
        <v>2.2003932167329321E-3</v>
      </c>
      <c r="T237" s="80">
        <f t="shared" ca="1" si="58"/>
        <v>4.5096087870266643E-4</v>
      </c>
      <c r="U237" s="80">
        <f t="shared" ca="1" si="58"/>
        <v>8.4651126864176973E-5</v>
      </c>
      <c r="V237" s="80">
        <f t="shared" ca="1" si="58"/>
        <v>1.4909074353308682E-5</v>
      </c>
      <c r="W237" s="80">
        <f t="shared" ca="1" si="58"/>
        <v>2.5090146867912111E-6</v>
      </c>
      <c r="X237" s="80">
        <f t="shared" ca="1" si="58"/>
        <v>4.0910072174327183E-7</v>
      </c>
      <c r="Y237" s="80">
        <f t="shared" ca="1" si="58"/>
        <v>6.5325990061815276E-8</v>
      </c>
      <c r="Z237" s="80">
        <f t="shared" ca="1" si="58"/>
        <v>1.2215496614231824E-8</v>
      </c>
      <c r="AA237" s="80">
        <f ca="1">SUMPRODUCT(F237:Z237,FailureForCPU!E$17:Y$17)</f>
        <v>2.8603509763217017E-5</v>
      </c>
      <c r="AB237" s="80">
        <f t="shared" ca="1" si="54"/>
        <v>7.9192782160300798E-5</v>
      </c>
      <c r="AC237" s="12">
        <f t="shared" ca="1" si="55"/>
        <v>2.7685594398845059</v>
      </c>
      <c r="AD237" s="12">
        <f t="shared" ca="1" si="56"/>
        <v>1</v>
      </c>
    </row>
    <row r="238" spans="1:30">
      <c r="A238" s="45">
        <v>15</v>
      </c>
      <c r="B238" s="12">
        <f t="shared" si="50"/>
        <v>2.6291948468199231</v>
      </c>
      <c r="C238" s="12">
        <f t="shared" si="51"/>
        <v>2.7606545891609193</v>
      </c>
      <c r="D238" s="23">
        <f t="array" ref="D238">MATCH(MIN(ABS(ServerTypeA!$A$106:$A$165-$C238)),ABS(ServerTypeA!$A$106:$A$165-$C238),0)</f>
        <v>28</v>
      </c>
      <c r="E238" s="23">
        <f t="array" ref="E238">INDEX(ServerTypeA!$A$106:$A$165,MATCH(MIN(ABS(ServerTypeA!$A$106:$A$165-$C238)),ABS(ServerTypeA!$A$106:$A$165-$C238),0))</f>
        <v>2.8</v>
      </c>
      <c r="F238" s="80">
        <f t="shared" ca="1" si="57"/>
        <v>0</v>
      </c>
      <c r="G238" s="80">
        <f t="shared" ca="1" si="57"/>
        <v>3.2014838861642734E-25</v>
      </c>
      <c r="H238" s="80">
        <f t="shared" ca="1" si="57"/>
        <v>4.9265370227173325E-13</v>
      </c>
      <c r="I238" s="80">
        <f t="shared" ca="1" si="57"/>
        <v>2.3260569688671958E-7</v>
      </c>
      <c r="J238" s="80">
        <f t="shared" ca="1" si="57"/>
        <v>8.4722779199233693E-5</v>
      </c>
      <c r="K238" s="80">
        <f t="shared" ca="1" si="57"/>
        <v>6.8671365489865188E-3</v>
      </c>
      <c r="L238" s="80">
        <f t="shared" ca="1" si="57"/>
        <v>7.6093165585766731E-2</v>
      </c>
      <c r="M238" s="80">
        <f t="shared" ca="1" si="57"/>
        <v>0.2365929721208383</v>
      </c>
      <c r="N238" s="80">
        <f t="shared" ca="1" si="57"/>
        <v>0.30952971082579805</v>
      </c>
      <c r="O238" s="80">
        <f t="shared" ca="1" si="57"/>
        <v>0.22098283242873895</v>
      </c>
      <c r="P238" s="80">
        <f t="shared" ca="1" si="58"/>
        <v>0.10260586206497568</v>
      </c>
      <c r="Q238" s="80">
        <f t="shared" ca="1" si="58"/>
        <v>3.4968210674430344E-2</v>
      </c>
      <c r="R238" s="80">
        <f t="shared" ca="1" si="58"/>
        <v>9.5212444115283512E-3</v>
      </c>
      <c r="S238" s="80">
        <f t="shared" ca="1" si="58"/>
        <v>2.2003932167329321E-3</v>
      </c>
      <c r="T238" s="80">
        <f t="shared" ca="1" si="58"/>
        <v>4.5096087870266643E-4</v>
      </c>
      <c r="U238" s="80">
        <f t="shared" ca="1" si="58"/>
        <v>8.4651126864176973E-5</v>
      </c>
      <c r="V238" s="80">
        <f t="shared" ca="1" si="58"/>
        <v>1.4909074353308682E-5</v>
      </c>
      <c r="W238" s="80">
        <f t="shared" ca="1" si="58"/>
        <v>2.5090146867912111E-6</v>
      </c>
      <c r="X238" s="80">
        <f t="shared" ca="1" si="58"/>
        <v>4.0910072174327183E-7</v>
      </c>
      <c r="Y238" s="80">
        <f t="shared" ca="1" si="58"/>
        <v>6.5325990061815276E-8</v>
      </c>
      <c r="Z238" s="80">
        <f t="shared" ca="1" si="58"/>
        <v>1.2215496614231824E-8</v>
      </c>
      <c r="AA238" s="80">
        <f ca="1">SUMPRODUCT(F238:Z238,FailureForCPU!E$17:Y$17)</f>
        <v>2.8603509763217017E-5</v>
      </c>
      <c r="AB238" s="80">
        <f t="shared" ca="1" si="54"/>
        <v>7.8964410493934225E-5</v>
      </c>
      <c r="AC238" s="12">
        <f t="shared" ca="1" si="55"/>
        <v>2.7605756247504254</v>
      </c>
      <c r="AD238" s="12">
        <f t="shared" ca="1" si="56"/>
        <v>1</v>
      </c>
    </row>
    <row r="239" spans="1:30">
      <c r="A239" s="45">
        <v>16</v>
      </c>
      <c r="B239" s="12">
        <f t="shared" si="50"/>
        <v>2.7095263688888891</v>
      </c>
      <c r="C239" s="12">
        <f t="shared" si="51"/>
        <v>2.8450026873333338</v>
      </c>
      <c r="D239" s="23">
        <f t="array" ref="D239">MATCH(MIN(ABS(ServerTypeA!$A$106:$A$165-$C239)),ABS(ServerTypeA!$A$106:$A$165-$C239),0)</f>
        <v>28</v>
      </c>
      <c r="E239" s="23">
        <f t="array" ref="E239">INDEX(ServerTypeA!$A$106:$A$165,MATCH(MIN(ABS(ServerTypeA!$A$106:$A$165-$C239)),ABS(ServerTypeA!$A$106:$A$165-$C239),0))</f>
        <v>2.8</v>
      </c>
      <c r="F239" s="80">
        <f t="shared" ca="1" si="57"/>
        <v>0</v>
      </c>
      <c r="G239" s="80">
        <f t="shared" ca="1" si="57"/>
        <v>3.2014838861642734E-25</v>
      </c>
      <c r="H239" s="80">
        <f t="shared" ca="1" si="57"/>
        <v>4.9265370227173325E-13</v>
      </c>
      <c r="I239" s="80">
        <f t="shared" ca="1" si="57"/>
        <v>2.3260569688671958E-7</v>
      </c>
      <c r="J239" s="80">
        <f t="shared" ca="1" si="57"/>
        <v>8.4722779199233693E-5</v>
      </c>
      <c r="K239" s="80">
        <f t="shared" ca="1" si="57"/>
        <v>6.8671365489865188E-3</v>
      </c>
      <c r="L239" s="80">
        <f t="shared" ca="1" si="57"/>
        <v>7.6093165585766731E-2</v>
      </c>
      <c r="M239" s="80">
        <f t="shared" ca="1" si="57"/>
        <v>0.2365929721208383</v>
      </c>
      <c r="N239" s="80">
        <f t="shared" ca="1" si="57"/>
        <v>0.30952971082579805</v>
      </c>
      <c r="O239" s="80">
        <f t="shared" ca="1" si="57"/>
        <v>0.22098283242873895</v>
      </c>
      <c r="P239" s="80">
        <f t="shared" ca="1" si="58"/>
        <v>0.10260586206497568</v>
      </c>
      <c r="Q239" s="80">
        <f t="shared" ca="1" si="58"/>
        <v>3.4968210674430344E-2</v>
      </c>
      <c r="R239" s="80">
        <f t="shared" ca="1" si="58"/>
        <v>9.5212444115283512E-3</v>
      </c>
      <c r="S239" s="80">
        <f t="shared" ca="1" si="58"/>
        <v>2.2003932167329321E-3</v>
      </c>
      <c r="T239" s="80">
        <f t="shared" ca="1" si="58"/>
        <v>4.5096087870266643E-4</v>
      </c>
      <c r="U239" s="80">
        <f t="shared" ca="1" si="58"/>
        <v>8.4651126864176973E-5</v>
      </c>
      <c r="V239" s="80">
        <f t="shared" ca="1" si="58"/>
        <v>1.4909074353308682E-5</v>
      </c>
      <c r="W239" s="80">
        <f t="shared" ca="1" si="58"/>
        <v>2.5090146867912111E-6</v>
      </c>
      <c r="X239" s="80">
        <f t="shared" ca="1" si="58"/>
        <v>4.0910072174327183E-7</v>
      </c>
      <c r="Y239" s="80">
        <f t="shared" ca="1" si="58"/>
        <v>6.5325990061815276E-8</v>
      </c>
      <c r="Z239" s="80">
        <f t="shared" ca="1" si="58"/>
        <v>1.2215496614231824E-8</v>
      </c>
      <c r="AA239" s="80">
        <f ca="1">SUMPRODUCT(F239:Z239,FailureForCPU!E$17:Y$17)</f>
        <v>2.8603509763217017E-5</v>
      </c>
      <c r="AB239" s="80">
        <f t="shared" ca="1" si="54"/>
        <v>8.1377062143517671E-5</v>
      </c>
      <c r="AC239" s="12">
        <f t="shared" ca="1" si="55"/>
        <v>2.8449213102711903</v>
      </c>
      <c r="AD239" s="12">
        <f t="shared" ca="1" si="56"/>
        <v>1</v>
      </c>
    </row>
    <row r="240" spans="1:30">
      <c r="A240" s="45">
        <v>17</v>
      </c>
      <c r="B240" s="12">
        <f t="shared" si="50"/>
        <v>2.6672917514942527</v>
      </c>
      <c r="C240" s="12">
        <f t="shared" si="51"/>
        <v>2.8006563390689654</v>
      </c>
      <c r="D240" s="23">
        <f t="array" ref="D240">MATCH(MIN(ABS(ServerTypeA!$A$106:$A$165-$C240)),ABS(ServerTypeA!$A$106:$A$165-$C240),0)</f>
        <v>28</v>
      </c>
      <c r="E240" s="23">
        <f t="array" ref="E240">INDEX(ServerTypeA!$A$106:$A$165,MATCH(MIN(ABS(ServerTypeA!$A$106:$A$165-$C240)),ABS(ServerTypeA!$A$106:$A$165-$C240),0))</f>
        <v>2.8</v>
      </c>
      <c r="F240" s="80">
        <f t="shared" ca="1" si="57"/>
        <v>0</v>
      </c>
      <c r="G240" s="80">
        <f t="shared" ca="1" si="57"/>
        <v>3.2014838861642734E-25</v>
      </c>
      <c r="H240" s="80">
        <f t="shared" ca="1" si="57"/>
        <v>4.9265370227173325E-13</v>
      </c>
      <c r="I240" s="80">
        <f t="shared" ca="1" si="57"/>
        <v>2.3260569688671958E-7</v>
      </c>
      <c r="J240" s="80">
        <f t="shared" ca="1" si="57"/>
        <v>8.4722779199233693E-5</v>
      </c>
      <c r="K240" s="80">
        <f t="shared" ca="1" si="57"/>
        <v>6.8671365489865188E-3</v>
      </c>
      <c r="L240" s="80">
        <f t="shared" ca="1" si="57"/>
        <v>7.6093165585766731E-2</v>
      </c>
      <c r="M240" s="80">
        <f t="shared" ca="1" si="57"/>
        <v>0.2365929721208383</v>
      </c>
      <c r="N240" s="80">
        <f t="shared" ca="1" si="57"/>
        <v>0.30952971082579805</v>
      </c>
      <c r="O240" s="80">
        <f t="shared" ca="1" si="57"/>
        <v>0.22098283242873895</v>
      </c>
      <c r="P240" s="80">
        <f t="shared" ca="1" si="58"/>
        <v>0.10260586206497568</v>
      </c>
      <c r="Q240" s="80">
        <f t="shared" ca="1" si="58"/>
        <v>3.4968210674430344E-2</v>
      </c>
      <c r="R240" s="80">
        <f t="shared" ca="1" si="58"/>
        <v>9.5212444115283512E-3</v>
      </c>
      <c r="S240" s="80">
        <f t="shared" ca="1" si="58"/>
        <v>2.2003932167329321E-3</v>
      </c>
      <c r="T240" s="80">
        <f t="shared" ca="1" si="58"/>
        <v>4.5096087870266643E-4</v>
      </c>
      <c r="U240" s="80">
        <f t="shared" ca="1" si="58"/>
        <v>8.4651126864176973E-5</v>
      </c>
      <c r="V240" s="80">
        <f t="shared" ca="1" si="58"/>
        <v>1.4909074353308682E-5</v>
      </c>
      <c r="W240" s="80">
        <f t="shared" ca="1" si="58"/>
        <v>2.5090146867912111E-6</v>
      </c>
      <c r="X240" s="80">
        <f t="shared" ca="1" si="58"/>
        <v>4.0910072174327183E-7</v>
      </c>
      <c r="Y240" s="80">
        <f t="shared" ca="1" si="58"/>
        <v>6.5325990061815276E-8</v>
      </c>
      <c r="Z240" s="80">
        <f t="shared" ca="1" si="58"/>
        <v>1.2215496614231824E-8</v>
      </c>
      <c r="AA240" s="80">
        <f ca="1">SUMPRODUCT(F240:Z240,FailureForCPU!E$17:Y$17)</f>
        <v>2.8603509763217017E-5</v>
      </c>
      <c r="AB240" s="80">
        <f t="shared" ca="1" si="54"/>
        <v>8.0108600937974783E-5</v>
      </c>
      <c r="AC240" s="12">
        <f t="shared" ca="1" si="55"/>
        <v>2.8005762304680273</v>
      </c>
      <c r="AD240" s="12">
        <f t="shared" ca="1" si="56"/>
        <v>1</v>
      </c>
    </row>
    <row r="241" spans="1:30">
      <c r="A241" s="45">
        <v>18</v>
      </c>
      <c r="B241" s="12">
        <f t="shared" si="50"/>
        <v>3.6254902505747126</v>
      </c>
      <c r="C241" s="12">
        <f t="shared" si="51"/>
        <v>3.8067647631034482</v>
      </c>
      <c r="D241" s="23">
        <f t="array" ref="D241">MATCH(MIN(ABS(ServerTypeA!$A$106:$A$165-$C241)),ABS(ServerTypeA!$A$106:$A$165-$C241),0)</f>
        <v>38</v>
      </c>
      <c r="E241" s="23">
        <f t="array" ref="E241">INDEX(ServerTypeA!$A$106:$A$165,MATCH(MIN(ABS(ServerTypeA!$A$106:$A$165-$C241)),ABS(ServerTypeA!$A$106:$A$165-$C241),0))</f>
        <v>3.8</v>
      </c>
      <c r="F241" s="80">
        <f t="shared" ca="1" si="57"/>
        <v>0</v>
      </c>
      <c r="G241" s="80">
        <f t="shared" ca="1" si="57"/>
        <v>6.5312926879350731E-46</v>
      </c>
      <c r="H241" s="80">
        <f t="shared" ca="1" si="57"/>
        <v>2.8143973933355599E-25</v>
      </c>
      <c r="I241" s="80">
        <f t="shared" ca="1" si="57"/>
        <v>3.5321807014289214E-15</v>
      </c>
      <c r="J241" s="80">
        <f t="shared" ca="1" si="57"/>
        <v>2.3257528185905219E-10</v>
      </c>
      <c r="K241" s="80">
        <f t="shared" ca="1" si="57"/>
        <v>1.6347075631228405E-6</v>
      </c>
      <c r="L241" s="80">
        <f t="shared" ca="1" si="57"/>
        <v>4.0356941892139009E-4</v>
      </c>
      <c r="M241" s="80">
        <f t="shared" ca="1" si="57"/>
        <v>1.2210671899512637E-2</v>
      </c>
      <c r="N241" s="80">
        <f t="shared" ca="1" si="57"/>
        <v>8.9540096173005512E-2</v>
      </c>
      <c r="O241" s="80">
        <f t="shared" ca="1" si="57"/>
        <v>0.23830884811724729</v>
      </c>
      <c r="P241" s="80">
        <f t="shared" ca="1" si="58"/>
        <v>0.29982862470348182</v>
      </c>
      <c r="Q241" s="80">
        <f t="shared" ca="1" si="58"/>
        <v>0.21473289900032877</v>
      </c>
      <c r="R241" s="80">
        <f t="shared" ca="1" si="58"/>
        <v>0.10021223078119768</v>
      </c>
      <c r="S241" s="80">
        <f t="shared" ca="1" si="58"/>
        <v>3.3680272588844318E-2</v>
      </c>
      <c r="T241" s="80">
        <f t="shared" ca="1" si="58"/>
        <v>8.7860043976981661E-3</v>
      </c>
      <c r="U241" s="80">
        <f t="shared" ca="1" si="58"/>
        <v>1.8827963306442541E-3</v>
      </c>
      <c r="V241" s="80">
        <f t="shared" ca="1" si="58"/>
        <v>3.4615917330360624E-4</v>
      </c>
      <c r="W241" s="80">
        <f t="shared" ca="1" si="58"/>
        <v>5.6468823641075971E-5</v>
      </c>
      <c r="X241" s="80">
        <f t="shared" ca="1" si="58"/>
        <v>8.3910143091614486E-6</v>
      </c>
      <c r="Y241" s="80">
        <f t="shared" ca="1" si="58"/>
        <v>1.1595675561970609E-6</v>
      </c>
      <c r="Z241" s="80">
        <f t="shared" ca="1" si="58"/>
        <v>1.7307016619838578E-7</v>
      </c>
      <c r="AA241" s="80">
        <f ca="1">SUMPRODUCT(F241:Z241,FailureForCPU!E$17:Y$17)</f>
        <v>4.8868580245078712E-4</v>
      </c>
      <c r="AB241" s="80">
        <f t="shared" ca="1" si="54"/>
        <v>1.860311892998589E-3</v>
      </c>
      <c r="AC241" s="12">
        <f t="shared" ca="1" si="55"/>
        <v>3.8049044512104495</v>
      </c>
      <c r="AD241" s="12">
        <f t="shared" ca="1" si="56"/>
        <v>1</v>
      </c>
    </row>
    <row r="242" spans="1:30">
      <c r="A242" s="45">
        <v>19</v>
      </c>
      <c r="B242" s="12">
        <f t="shared" si="50"/>
        <v>4.399450104444445</v>
      </c>
      <c r="C242" s="12">
        <f t="shared" si="51"/>
        <v>4.6194226096666675</v>
      </c>
      <c r="D242" s="23">
        <f t="array" ref="D242">MATCH(MIN(ABS(ServerTypeA!$A$106:$A$165-$C242)),ABS(ServerTypeA!$A$106:$A$165-$C242),0)</f>
        <v>46</v>
      </c>
      <c r="E242" s="23">
        <f t="array" ref="E242">INDEX(ServerTypeA!$A$106:$A$165,MATCH(MIN(ABS(ServerTypeA!$A$106:$A$165-$C242)),ABS(ServerTypeA!$A$106:$A$165-$C242),0))</f>
        <v>4.5999999999999996</v>
      </c>
      <c r="F242" s="80">
        <f t="shared" ca="1" si="57"/>
        <v>0</v>
      </c>
      <c r="G242" s="80">
        <f t="shared" ca="1" si="57"/>
        <v>1.9450312335676643E-74</v>
      </c>
      <c r="H242" s="80">
        <f t="shared" ca="1" si="57"/>
        <v>1.9518708621362601E-43</v>
      </c>
      <c r="I242" s="80">
        <f t="shared" ca="1" si="57"/>
        <v>1.1056346077656767E-27</v>
      </c>
      <c r="J242" s="80">
        <f t="shared" ca="1" si="57"/>
        <v>7.2268934232827396E-20</v>
      </c>
      <c r="K242" s="80">
        <f t="shared" ca="1" si="57"/>
        <v>2.4352876517075336E-13</v>
      </c>
      <c r="L242" s="80">
        <f t="shared" ca="1" si="57"/>
        <v>5.1888508943521619E-9</v>
      </c>
      <c r="M242" s="80">
        <f t="shared" ca="1" si="57"/>
        <v>4.4489077413810326E-6</v>
      </c>
      <c r="N242" s="80">
        <f t="shared" ca="1" si="57"/>
        <v>4.3815966701965525E-4</v>
      </c>
      <c r="O242" s="80">
        <f t="shared" ca="1" si="57"/>
        <v>9.341943128058583E-3</v>
      </c>
      <c r="P242" s="80">
        <f t="shared" ca="1" si="58"/>
        <v>6.4364624363827283E-2</v>
      </c>
      <c r="Q242" s="80">
        <f t="shared" ca="1" si="58"/>
        <v>0.18724244103695353</v>
      </c>
      <c r="R242" s="80">
        <f t="shared" ca="1" si="58"/>
        <v>0.27804414187644511</v>
      </c>
      <c r="S242" s="80">
        <f t="shared" ca="1" si="58"/>
        <v>0.24268112672331099</v>
      </c>
      <c r="T242" s="80">
        <f t="shared" ca="1" si="58"/>
        <v>0.13866743727673425</v>
      </c>
      <c r="U242" s="80">
        <f t="shared" ca="1" si="58"/>
        <v>5.6395391897555269E-2</v>
      </c>
      <c r="V242" s="80">
        <f t="shared" ca="1" si="58"/>
        <v>1.7430667954212442E-2</v>
      </c>
      <c r="W242" s="80">
        <f t="shared" ca="1" si="58"/>
        <v>4.3122263170891628E-3</v>
      </c>
      <c r="X242" s="80">
        <f t="shared" ca="1" si="58"/>
        <v>8.899336850339834E-4</v>
      </c>
      <c r="Y242" s="80">
        <f t="shared" ca="1" si="58"/>
        <v>1.583822800058643E-4</v>
      </c>
      <c r="Z242" s="80">
        <f t="shared" ca="1" si="58"/>
        <v>2.9069696918071486E-5</v>
      </c>
      <c r="AA242" s="80">
        <f ca="1">SUMPRODUCT(F242:Z242,FailureForCPU!E$17:Y$17)</f>
        <v>6.5789195971424942E-3</v>
      </c>
      <c r="AB242" s="80">
        <f t="shared" ca="1" si="54"/>
        <v>3.0390809934219162E-2</v>
      </c>
      <c r="AC242" s="12">
        <f t="shared" ca="1" si="55"/>
        <v>4.5890317997324486</v>
      </c>
      <c r="AD242" s="12">
        <f t="shared" ca="1" si="56"/>
        <v>1</v>
      </c>
    </row>
    <row r="243" spans="1:30">
      <c r="A243" s="45">
        <v>20</v>
      </c>
      <c r="B243" s="12">
        <f t="shared" si="50"/>
        <v>4.2813726177777767</v>
      </c>
      <c r="C243" s="12">
        <f t="shared" si="51"/>
        <v>4.4954412486666655</v>
      </c>
      <c r="D243" s="23">
        <f t="array" ref="D243">MATCH(MIN(ABS(ServerTypeA!$A$106:$A$165-$C243)),ABS(ServerTypeA!$A$106:$A$165-$C243),0)</f>
        <v>45</v>
      </c>
      <c r="E243" s="23">
        <f t="array" ref="E243">INDEX(ServerTypeA!$A$106:$A$165,MATCH(MIN(ABS(ServerTypeA!$A$106:$A$165-$C243)),ABS(ServerTypeA!$A$106:$A$165-$C243),0))</f>
        <v>4.5</v>
      </c>
      <c r="F243" s="80">
        <f t="shared" ca="1" si="57"/>
        <v>0</v>
      </c>
      <c r="G243" s="80">
        <f t="shared" ca="1" si="57"/>
        <v>6.9655455666713566E-70</v>
      </c>
      <c r="H243" s="80">
        <f t="shared" ca="1" si="57"/>
        <v>1.8893711733857201E-40</v>
      </c>
      <c r="I243" s="80">
        <f t="shared" ca="1" si="57"/>
        <v>1.4424705501454407E-25</v>
      </c>
      <c r="J243" s="80">
        <f t="shared" ca="1" si="57"/>
        <v>3.2057972095918001E-18</v>
      </c>
      <c r="K243" s="80">
        <f t="shared" ca="1" si="57"/>
        <v>4.0531579361925604E-12</v>
      </c>
      <c r="L243" s="80">
        <f t="shared" ca="1" si="57"/>
        <v>4.1981610680679031E-8</v>
      </c>
      <c r="M243" s="80">
        <f t="shared" ca="1" si="57"/>
        <v>2.0762947292799943E-5</v>
      </c>
      <c r="N243" s="80">
        <f t="shared" ca="1" si="57"/>
        <v>1.3275589332837345E-3</v>
      </c>
      <c r="O243" s="80">
        <f t="shared" ca="1" si="57"/>
        <v>1.9962450271537202E-2</v>
      </c>
      <c r="P243" s="80">
        <f t="shared" ca="1" si="58"/>
        <v>0.10295681050996575</v>
      </c>
      <c r="Q243" s="80">
        <f t="shared" ca="1" si="58"/>
        <v>0.23462145619464825</v>
      </c>
      <c r="R243" s="80">
        <f t="shared" ca="1" si="58"/>
        <v>0.28311128601389479</v>
      </c>
      <c r="S243" s="80">
        <f t="shared" ca="1" si="58"/>
        <v>0.20704130454057612</v>
      </c>
      <c r="T243" s="80">
        <f t="shared" ca="1" si="58"/>
        <v>0.10172827806463602</v>
      </c>
      <c r="U243" s="80">
        <f t="shared" ca="1" si="58"/>
        <v>3.6371972182144274E-2</v>
      </c>
      <c r="V243" s="80">
        <f t="shared" ca="1" si="58"/>
        <v>1.0072113546646499E-2</v>
      </c>
      <c r="W243" s="80">
        <f t="shared" ca="1" si="58"/>
        <v>2.2691400981915688E-3</v>
      </c>
      <c r="X243" s="80">
        <f t="shared" ca="1" si="58"/>
        <v>4.3248403269002811E-4</v>
      </c>
      <c r="Y243" s="80">
        <f t="shared" ca="1" si="58"/>
        <v>7.1954245743133249E-5</v>
      </c>
      <c r="Z243" s="80">
        <f t="shared" ca="1" si="58"/>
        <v>1.2386433085986859E-5</v>
      </c>
      <c r="AA243" s="80">
        <f ca="1">SUMPRODUCT(F243:Z243,FailureForCPU!E$17:Y$17)</f>
        <v>4.7954122752003475E-3</v>
      </c>
      <c r="AB243" s="80">
        <f t="shared" ca="1" si="54"/>
        <v>2.1557494146298106E-2</v>
      </c>
      <c r="AC243" s="12">
        <f t="shared" ca="1" si="55"/>
        <v>4.4738837545203678</v>
      </c>
      <c r="AD243" s="12">
        <f t="shared" ca="1" si="56"/>
        <v>1</v>
      </c>
    </row>
    <row r="244" spans="1:30">
      <c r="A244" s="45">
        <v>21</v>
      </c>
      <c r="B244" s="12">
        <f t="shared" si="50"/>
        <v>3.3526749333333328</v>
      </c>
      <c r="C244" s="12">
        <f t="shared" si="51"/>
        <v>3.5203086799999994</v>
      </c>
      <c r="D244" s="23">
        <f t="array" ref="D244">MATCH(MIN(ABS(ServerTypeA!$A$106:$A$165-$C244)),ABS(ServerTypeA!$A$106:$A$165-$C244),0)</f>
        <v>35</v>
      </c>
      <c r="E244" s="23">
        <f t="array" ref="E244">INDEX(ServerTypeA!$A$106:$A$165,MATCH(MIN(ABS(ServerTypeA!$A$106:$A$165-$C244)),ABS(ServerTypeA!$A$106:$A$165-$C244),0))</f>
        <v>3.5</v>
      </c>
      <c r="F244" s="80">
        <f t="shared" ca="1" si="57"/>
        <v>0</v>
      </c>
      <c r="G244" s="80">
        <f t="shared" ca="1" si="57"/>
        <v>1.50366484881224E-38</v>
      </c>
      <c r="H244" s="80">
        <f t="shared" ca="1" si="57"/>
        <v>7.9630702305120814E-21</v>
      </c>
      <c r="I244" s="80">
        <f t="shared" ca="1" si="57"/>
        <v>2.8669683470833189E-12</v>
      </c>
      <c r="J244" s="80">
        <f t="shared" ca="1" si="57"/>
        <v>3.0218697383724031E-8</v>
      </c>
      <c r="K244" s="80">
        <f t="shared" ca="1" si="57"/>
        <v>4.3199956064287151E-5</v>
      </c>
      <c r="L244" s="80">
        <f t="shared" ca="1" si="57"/>
        <v>3.5013605088770605E-3</v>
      </c>
      <c r="M244" s="80">
        <f t="shared" ca="1" si="57"/>
        <v>4.6796239906555681E-2</v>
      </c>
      <c r="N244" s="80">
        <f t="shared" ca="1" si="57"/>
        <v>0.1836888456785849</v>
      </c>
      <c r="O244" s="80">
        <f t="shared" ca="1" si="57"/>
        <v>0.30021993974432037</v>
      </c>
      <c r="P244" s="80">
        <f t="shared" ca="1" si="58"/>
        <v>0.25809558618541772</v>
      </c>
      <c r="Q244" s="80">
        <f t="shared" ca="1" si="58"/>
        <v>0.13763547452249747</v>
      </c>
      <c r="R244" s="80">
        <f t="shared" ca="1" si="58"/>
        <v>5.1284801903269006E-2</v>
      </c>
      <c r="S244" s="80">
        <f t="shared" ca="1" si="58"/>
        <v>1.4568035999753315E-2</v>
      </c>
      <c r="T244" s="80">
        <f t="shared" ca="1" si="58"/>
        <v>3.365317272463475E-3</v>
      </c>
      <c r="U244" s="80">
        <f t="shared" ca="1" si="58"/>
        <v>6.6363492525067791E-4</v>
      </c>
      <c r="V244" s="80">
        <f t="shared" ca="1" si="58"/>
        <v>1.1590947375528238E-4</v>
      </c>
      <c r="W244" s="80">
        <f t="shared" ca="1" si="58"/>
        <v>1.8445870450967128E-5</v>
      </c>
      <c r="X244" s="80">
        <f t="shared" ca="1" si="58"/>
        <v>2.7341701650529515E-6</v>
      </c>
      <c r="Y244" s="80">
        <f t="shared" ca="1" si="58"/>
        <v>3.8405104496597176E-7</v>
      </c>
      <c r="Z244" s="80">
        <f t="shared" ca="1" si="58"/>
        <v>5.9609965408213839E-8</v>
      </c>
      <c r="AA244" s="80">
        <f ca="1">SUMPRODUCT(F244:Z244,FailureForCPU!E$17:Y$17)</f>
        <v>1.9891693999302221E-4</v>
      </c>
      <c r="AB244" s="80">
        <f t="shared" ca="1" si="54"/>
        <v>7.0024903045647513E-4</v>
      </c>
      <c r="AC244" s="12">
        <f t="shared" ca="1" si="55"/>
        <v>3.519608430969543</v>
      </c>
      <c r="AD244" s="12">
        <f t="shared" ca="1" si="56"/>
        <v>1</v>
      </c>
    </row>
    <row r="245" spans="1:30">
      <c r="A245" s="45">
        <v>22</v>
      </c>
      <c r="B245" s="12">
        <f t="shared" si="50"/>
        <v>2.0333673111111108</v>
      </c>
      <c r="C245" s="12">
        <f t="shared" si="51"/>
        <v>2.1350356766666665</v>
      </c>
      <c r="D245" s="23">
        <f t="array" ref="D245">MATCH(MIN(ABS(ServerTypeA!$A$106:$A$165-$C245)),ABS(ServerTypeA!$A$106:$A$165-$C245),0)</f>
        <v>21</v>
      </c>
      <c r="E245" s="23">
        <f t="array" ref="E245">INDEX(ServerTypeA!$A$106:$A$165,MATCH(MIN(ABS(ServerTypeA!$A$106:$A$165-$C245)),ABS(ServerTypeA!$A$106:$A$165-$C245),0))</f>
        <v>2.1</v>
      </c>
      <c r="F245" s="80">
        <f t="shared" ca="1" si="57"/>
        <v>0</v>
      </c>
      <c r="G245" s="80">
        <f t="shared" ca="1" si="57"/>
        <v>2.5357922694985603E-15</v>
      </c>
      <c r="H245" s="80">
        <f t="shared" ca="1" si="57"/>
        <v>1.702973368267634E-7</v>
      </c>
      <c r="I245" s="80">
        <f t="shared" ca="1" si="57"/>
        <v>4.7617402327868697E-4</v>
      </c>
      <c r="J245" s="80">
        <f t="shared" ca="1" si="57"/>
        <v>1.3224086946461266E-2</v>
      </c>
      <c r="K245" s="80">
        <f t="shared" ca="1" si="57"/>
        <v>0.12413549219269859</v>
      </c>
      <c r="L245" s="80">
        <f t="shared" ca="1" si="57"/>
        <v>0.29551688970197165</v>
      </c>
      <c r="M245" s="80">
        <f t="shared" ca="1" si="57"/>
        <v>0.29844063028975598</v>
      </c>
      <c r="N245" s="80">
        <f t="shared" ca="1" si="57"/>
        <v>0.17196326563138287</v>
      </c>
      <c r="O245" s="80">
        <f t="shared" ca="1" si="57"/>
        <v>6.8192738245804185E-2</v>
      </c>
      <c r="P245" s="80">
        <f t="shared" ca="1" si="58"/>
        <v>2.1010021948516533E-2</v>
      </c>
      <c r="Q245" s="80">
        <f t="shared" ca="1" si="58"/>
        <v>5.4495764603040842E-3</v>
      </c>
      <c r="R245" s="80">
        <f t="shared" ca="1" si="58"/>
        <v>1.2565417597770745E-3</v>
      </c>
      <c r="S245" s="80">
        <f t="shared" ca="1" si="58"/>
        <v>2.6744785902110824E-4</v>
      </c>
      <c r="T245" s="80">
        <f t="shared" ca="1" si="58"/>
        <v>5.3964566450792617E-5</v>
      </c>
      <c r="U245" s="80">
        <f t="shared" ca="1" si="58"/>
        <v>1.0521585664613475E-5</v>
      </c>
      <c r="V245" s="80">
        <f t="shared" ca="1" si="58"/>
        <v>2.0099721521615876E-6</v>
      </c>
      <c r="W245" s="80">
        <f t="shared" ca="1" si="58"/>
        <v>3.8007576763643414E-7</v>
      </c>
      <c r="X245" s="80">
        <f t="shared" ca="1" si="58"/>
        <v>7.1681720892335932E-8</v>
      </c>
      <c r="Y245" s="80">
        <f t="shared" ca="1" si="58"/>
        <v>1.3559813938357479E-8</v>
      </c>
      <c r="Z245" s="80">
        <f t="shared" ca="1" si="58"/>
        <v>3.202118570300172E-9</v>
      </c>
      <c r="AA245" s="80">
        <f ca="1">SUMPRODUCT(F245:Z245,FailureForCPU!E$17:Y$17)</f>
        <v>3.4805579297516227E-6</v>
      </c>
      <c r="AB245" s="80">
        <f t="shared" ca="1" si="54"/>
        <v>7.4311153547247878E-6</v>
      </c>
      <c r="AC245" s="12">
        <f t="shared" ca="1" si="55"/>
        <v>2.1350282455513119</v>
      </c>
      <c r="AD245" s="12">
        <f t="shared" ca="1" si="56"/>
        <v>1</v>
      </c>
    </row>
    <row r="246" spans="1:30">
      <c r="A246" s="45">
        <v>23</v>
      </c>
      <c r="B246" s="12">
        <f t="shared" si="50"/>
        <v>1.0004340733333335</v>
      </c>
      <c r="C246" s="12">
        <f t="shared" si="51"/>
        <v>1.0504557770000003</v>
      </c>
      <c r="D246" s="23">
        <f t="array" ref="D246">MATCH(MIN(ABS(ServerTypeA!$A$106:$A$165-$C246)),ABS(ServerTypeA!$A$106:$A$165-$C246),0)</f>
        <v>11</v>
      </c>
      <c r="E246" s="23">
        <f t="array" ref="E246">INDEX(ServerTypeA!$A$106:$A$165,MATCH(MIN(ABS(ServerTypeA!$A$106:$A$165-$C246)),ABS(ServerTypeA!$A$106:$A$165-$C246),0))</f>
        <v>1.1000000000000001</v>
      </c>
      <c r="F246" s="80">
        <f t="shared" ca="1" si="57"/>
        <v>0</v>
      </c>
      <c r="G246" s="80">
        <f t="shared" ca="1" si="57"/>
        <v>1.3288802586994355E-5</v>
      </c>
      <c r="H246" s="80">
        <f t="shared" ca="1" si="57"/>
        <v>1.637898414143435E-2</v>
      </c>
      <c r="I246" s="80">
        <f t="shared" ca="1" si="57"/>
        <v>0.20316070407873044</v>
      </c>
      <c r="J246" s="80">
        <f t="shared" ca="1" si="57"/>
        <v>0.30395273866991168</v>
      </c>
      <c r="K246" s="80">
        <f t="shared" ca="1" si="57"/>
        <v>0.29368657283601118</v>
      </c>
      <c r="L246" s="80">
        <f t="shared" ca="1" si="57"/>
        <v>0.12843466598417763</v>
      </c>
      <c r="M246" s="80">
        <f t="shared" ca="1" si="57"/>
        <v>4.0461560085454429E-2</v>
      </c>
      <c r="N246" s="80">
        <f t="shared" ca="1" si="57"/>
        <v>1.0638166837066088E-2</v>
      </c>
      <c r="O246" s="80">
        <f t="shared" ca="1" si="57"/>
        <v>2.5349437167617728E-3</v>
      </c>
      <c r="P246" s="80">
        <f t="shared" ca="1" si="58"/>
        <v>5.7450209046405742E-4</v>
      </c>
      <c r="Q246" s="80">
        <f t="shared" ca="1" si="58"/>
        <v>1.2749958764213254E-4</v>
      </c>
      <c r="R246" s="80">
        <f t="shared" ca="1" si="58"/>
        <v>2.82147425199053E-5</v>
      </c>
      <c r="S246" s="80">
        <f t="shared" ca="1" si="58"/>
        <v>6.2970386472960271E-6</v>
      </c>
      <c r="T246" s="80">
        <f t="shared" ca="1" si="58"/>
        <v>1.427621541427726E-6</v>
      </c>
      <c r="U246" s="80">
        <f t="shared" ca="1" si="58"/>
        <v>3.3026641810263158E-7</v>
      </c>
      <c r="V246" s="80">
        <f t="shared" ca="1" si="58"/>
        <v>7.8178267526318734E-8</v>
      </c>
      <c r="W246" s="80">
        <f t="shared" ca="1" si="58"/>
        <v>1.8965667925030516E-8</v>
      </c>
      <c r="X246" s="80">
        <f t="shared" ca="1" si="58"/>
        <v>4.7191185403860914E-9</v>
      </c>
      <c r="Y246" s="80">
        <f t="shared" ca="1" si="58"/>
        <v>1.2047168818085652E-9</v>
      </c>
      <c r="Z246" s="80">
        <f t="shared" ca="1" si="58"/>
        <v>4.3286163542433087E-10</v>
      </c>
      <c r="AA246" s="80">
        <f ca="1">SUMPRODUCT(F246:Z246,FailureForCPU!E$17:Y$17)</f>
        <v>8.8494711717827345E-8</v>
      </c>
      <c r="AB246" s="80">
        <f t="shared" ca="1" si="54"/>
        <v>9.2959781157941356E-8</v>
      </c>
      <c r="AC246" s="12">
        <f t="shared" ca="1" si="55"/>
        <v>1.0504556840402191</v>
      </c>
      <c r="AD246" s="12">
        <f t="shared" ca="1" si="56"/>
        <v>1</v>
      </c>
    </row>
    <row r="247" spans="1:30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</row>
    <row r="248" spans="1:30">
      <c r="A248" s="44" t="s">
        <v>55</v>
      </c>
      <c r="B248" s="12">
        <f>SUM(B223:B246)</f>
        <v>48.744819081532569</v>
      </c>
      <c r="C248" s="12">
        <f>SUM(C223:C246)</f>
        <v>51.182060035609197</v>
      </c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25">
        <f ca="1">SUM(AB223:AB246)</f>
        <v>5.5043341115678532E-2</v>
      </c>
      <c r="AC248" s="25">
        <f ca="1">SUM(AC223:AC246)</f>
        <v>51.127016694493506</v>
      </c>
    </row>
    <row r="249" spans="1:30">
      <c r="A249" s="44" t="s">
        <v>66</v>
      </c>
      <c r="B249" s="69">
        <f ca="1">AC248/C248</f>
        <v>0.99892455791975943</v>
      </c>
    </row>
    <row r="250" spans="1:30">
      <c r="A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>
      <c r="A251" s="22" t="s">
        <v>114</v>
      </c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>
      <c r="A252" s="22" t="s">
        <v>51</v>
      </c>
      <c r="B252" s="37">
        <f>QResults!D11/QResults!B11</f>
        <v>1.0404462704089794</v>
      </c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>
      <c r="A253" s="54"/>
      <c r="B253" s="54"/>
      <c r="C253" s="54"/>
      <c r="D253" s="54"/>
      <c r="E253" s="54" t="s">
        <v>59</v>
      </c>
      <c r="F253" s="56">
        <v>0</v>
      </c>
      <c r="G253" s="56">
        <v>1</v>
      </c>
      <c r="H253" s="56">
        <v>2</v>
      </c>
      <c r="I253" s="56">
        <v>3</v>
      </c>
      <c r="J253" s="56">
        <v>4</v>
      </c>
      <c r="K253" s="56">
        <v>5</v>
      </c>
      <c r="L253" s="56">
        <v>6</v>
      </c>
      <c r="M253" s="56">
        <v>7</v>
      </c>
      <c r="N253" s="56">
        <v>8</v>
      </c>
      <c r="O253" s="56">
        <v>9</v>
      </c>
      <c r="P253" s="56">
        <v>10</v>
      </c>
      <c r="Q253" s="56">
        <v>11</v>
      </c>
      <c r="R253" s="56">
        <v>12</v>
      </c>
      <c r="S253" s="56">
        <v>13</v>
      </c>
      <c r="T253" s="56">
        <v>14</v>
      </c>
      <c r="U253" s="56">
        <v>15</v>
      </c>
      <c r="V253" s="56">
        <v>16</v>
      </c>
      <c r="W253" s="56">
        <v>17</v>
      </c>
      <c r="X253" s="56">
        <v>18</v>
      </c>
      <c r="Y253" s="56">
        <v>19</v>
      </c>
      <c r="Z253" s="56">
        <v>20</v>
      </c>
      <c r="AA253" s="54"/>
      <c r="AB253" s="54"/>
      <c r="AC253" s="54"/>
      <c r="AD253" s="54"/>
    </row>
    <row r="254" spans="1:30" ht="45">
      <c r="A254" s="56" t="s">
        <v>52</v>
      </c>
      <c r="B254" s="56" t="s">
        <v>53</v>
      </c>
      <c r="C254" s="56" t="s">
        <v>54</v>
      </c>
      <c r="D254" s="61" t="s">
        <v>56</v>
      </c>
      <c r="E254" s="61" t="s">
        <v>57</v>
      </c>
      <c r="F254" s="56" t="s">
        <v>20</v>
      </c>
      <c r="G254" s="56" t="s">
        <v>21</v>
      </c>
      <c r="H254" s="56" t="s">
        <v>22</v>
      </c>
      <c r="I254" s="56" t="s">
        <v>23</v>
      </c>
      <c r="J254" s="56" t="s">
        <v>24</v>
      </c>
      <c r="K254" s="56" t="s">
        <v>25</v>
      </c>
      <c r="L254" s="56" t="s">
        <v>26</v>
      </c>
      <c r="M254" s="56" t="s">
        <v>27</v>
      </c>
      <c r="N254" s="56" t="s">
        <v>28</v>
      </c>
      <c r="O254" s="56" t="s">
        <v>29</v>
      </c>
      <c r="P254" s="56" t="s">
        <v>30</v>
      </c>
      <c r="Q254" s="56" t="s">
        <v>31</v>
      </c>
      <c r="R254" s="56" t="s">
        <v>32</v>
      </c>
      <c r="S254" s="56" t="s">
        <v>33</v>
      </c>
      <c r="T254" s="56" t="s">
        <v>34</v>
      </c>
      <c r="U254" s="56" t="s">
        <v>35</v>
      </c>
      <c r="V254" s="56" t="s">
        <v>36</v>
      </c>
      <c r="W254" s="56" t="s">
        <v>37</v>
      </c>
      <c r="X254" s="56" t="s">
        <v>38</v>
      </c>
      <c r="Y254" s="56" t="s">
        <v>39</v>
      </c>
      <c r="Z254" s="56" t="s">
        <v>40</v>
      </c>
      <c r="AA254" s="61" t="s">
        <v>58</v>
      </c>
      <c r="AB254" s="61" t="s">
        <v>64</v>
      </c>
      <c r="AC254" s="61" t="s">
        <v>65</v>
      </c>
      <c r="AD254" s="56" t="s">
        <v>75</v>
      </c>
    </row>
    <row r="255" spans="1:30">
      <c r="A255" s="56">
        <v>0</v>
      </c>
      <c r="B255" s="12">
        <f t="shared" ref="B255:B278" si="59">B191</f>
        <v>0.54705915111111103</v>
      </c>
      <c r="C255" s="12">
        <f t="shared" ref="C255:C278" si="60">$B$252*B255</f>
        <v>0.56918565346665773</v>
      </c>
      <c r="D255" s="23">
        <f t="array" ref="D255">MATCH(MIN(ABS(ServerTypeA!$A$106:$A$165-$C255)),ABS(ServerTypeA!$A$106:$A$165-$C255),0)</f>
        <v>6</v>
      </c>
      <c r="E255" s="23">
        <f t="array" ref="E255">INDEX(ServerTypeA!$A$106:$A$165,MATCH(MIN(ABS(ServerTypeA!$A$106:$A$165-$C255)),ABS(ServerTypeA!$A$106:$A$165-$C255),0))</f>
        <v>0.6</v>
      </c>
      <c r="F255" s="12">
        <f t="shared" ref="F255:O264" ca="1" si="61">OFFSET($B$106,$D255-1,F$221,1,1)</f>
        <v>0</v>
      </c>
      <c r="G255" s="80">
        <f t="shared" ca="1" si="61"/>
        <v>8.8501101347481185E-3</v>
      </c>
      <c r="H255" s="12">
        <f t="shared" ca="1" si="61"/>
        <v>0.23702524946475678</v>
      </c>
      <c r="I255" s="12">
        <f t="shared" ca="1" si="61"/>
        <v>0.41757389753529983</v>
      </c>
      <c r="J255" s="12">
        <f t="shared" ca="1" si="61"/>
        <v>0.20102280901080527</v>
      </c>
      <c r="K255" s="12">
        <f t="shared" ca="1" si="61"/>
        <v>9.8805432504243562E-2</v>
      </c>
      <c r="L255" s="12">
        <f t="shared" ca="1" si="61"/>
        <v>2.7583944128667937E-2</v>
      </c>
      <c r="M255" s="12">
        <f t="shared" ca="1" si="61"/>
        <v>6.9229815342005674E-3</v>
      </c>
      <c r="N255" s="12">
        <f t="shared" ca="1" si="61"/>
        <v>1.6759676772103438E-3</v>
      </c>
      <c r="O255" s="12">
        <f t="shared" ca="1" si="61"/>
        <v>4.054455240855015E-4</v>
      </c>
      <c r="P255" s="12">
        <f t="shared" ref="P255:Z264" ca="1" si="62">OFFSET($B$106,$D255-1,P$221,1,1)</f>
        <v>9.9826693368942898E-5</v>
      </c>
      <c r="Q255" s="12">
        <f t="shared" ca="1" si="62"/>
        <v>2.5253762408916636E-5</v>
      </c>
      <c r="R255" s="12">
        <f t="shared" ca="1" si="62"/>
        <v>6.5949166127010628E-6</v>
      </c>
      <c r="S255" s="12">
        <f t="shared" ca="1" si="62"/>
        <v>1.7814388527659375E-6</v>
      </c>
      <c r="T255" s="12">
        <f t="shared" ca="1" si="62"/>
        <v>4.9799148915674607E-7</v>
      </c>
      <c r="U255" s="12">
        <f t="shared" ca="1" si="62"/>
        <v>1.4400980208328917E-7</v>
      </c>
      <c r="V255" s="12">
        <f t="shared" ca="1" si="62"/>
        <v>4.3042460484699063E-8</v>
      </c>
      <c r="W255" s="12">
        <f t="shared" ca="1" si="62"/>
        <v>1.3281143851351374E-8</v>
      </c>
      <c r="X255" s="12">
        <f t="shared" ca="1" si="62"/>
        <v>4.2252131793318881E-9</v>
      </c>
      <c r="Y255" s="12">
        <f t="shared" ca="1" si="62"/>
        <v>1.3840658619201918E-9</v>
      </c>
      <c r="Z255" s="12">
        <f t="shared" ca="1" si="62"/>
        <v>7.1807870760665082E-10</v>
      </c>
      <c r="AA255" s="80">
        <f ca="1">SUMPRODUCT(F255:Z255,FailureForCPU!E$17:Y$17)</f>
        <v>2.9442263253335687E-8</v>
      </c>
      <c r="AB255" s="80">
        <f t="shared" ref="AB255:AB278" ca="1" si="63">AA255*C255</f>
        <v>1.6758113849387235E-8</v>
      </c>
      <c r="AC255" s="12">
        <f t="shared" ref="AC255:AC278" ca="1" si="64">C255-AB255</f>
        <v>0.56918563670854383</v>
      </c>
      <c r="AD255" s="12">
        <f t="shared" ref="AD255:AD278" ca="1" si="65">SUM(F255:Z255)</f>
        <v>0.99999999897751457</v>
      </c>
    </row>
    <row r="256" spans="1:30">
      <c r="A256" s="56">
        <v>1</v>
      </c>
      <c r="B256" s="12">
        <f t="shared" si="59"/>
        <v>0.30210809111111114</v>
      </c>
      <c r="C256" s="12">
        <f t="shared" si="60"/>
        <v>0.31432723665693174</v>
      </c>
      <c r="D256" s="23">
        <f t="array" ref="D256">MATCH(MIN(ABS(ServerTypeA!$A$106:$A$165-$C256)),ABS(ServerTypeA!$A$106:$A$165-$C256),0)</f>
        <v>3</v>
      </c>
      <c r="E256" s="23">
        <f t="array" ref="E256">INDEX(ServerTypeA!$A$106:$A$165,MATCH(MIN(ABS(ServerTypeA!$A$106:$A$165-$C256)),ABS(ServerTypeA!$A$106:$A$165-$C256),0))</f>
        <v>0.3</v>
      </c>
      <c r="F256" s="12">
        <f t="shared" ca="1" si="61"/>
        <v>0</v>
      </c>
      <c r="G256" s="80">
        <f t="shared" ca="1" si="61"/>
        <v>9.3645685149841063E-2</v>
      </c>
      <c r="H256" s="12">
        <f t="shared" ca="1" si="61"/>
        <v>0.43496774121179493</v>
      </c>
      <c r="I256" s="12">
        <f t="shared" ca="1" si="61"/>
        <v>0.30971202206367943</v>
      </c>
      <c r="J256" s="12">
        <f t="shared" ca="1" si="61"/>
        <v>0.10084687618964905</v>
      </c>
      <c r="K256" s="12">
        <f t="shared" ca="1" si="61"/>
        <v>4.369155763676158E-2</v>
      </c>
      <c r="L256" s="12">
        <f t="shared" ca="1" si="61"/>
        <v>1.2294147338348549E-2</v>
      </c>
      <c r="M256" s="12">
        <f t="shared" ca="1" si="61"/>
        <v>3.4319914015099595E-3</v>
      </c>
      <c r="N256" s="12">
        <f t="shared" ca="1" si="61"/>
        <v>9.7974800056666034E-4</v>
      </c>
      <c r="O256" s="12">
        <f t="shared" ca="1" si="61"/>
        <v>2.8965646966772063E-4</v>
      </c>
      <c r="P256" s="12">
        <f t="shared" ca="1" si="62"/>
        <v>8.9102308850064205E-5</v>
      </c>
      <c r="Q256" s="12">
        <f t="shared" ca="1" si="62"/>
        <v>2.8546284221997453E-5</v>
      </c>
      <c r="R256" s="12">
        <f t="shared" ca="1" si="62"/>
        <v>9.5172244658492389E-6</v>
      </c>
      <c r="S256" s="12">
        <f t="shared" ca="1" si="62"/>
        <v>3.2965250564842563E-6</v>
      </c>
      <c r="T256" s="12">
        <f t="shared" ca="1" si="62"/>
        <v>1.1839190681151024E-6</v>
      </c>
      <c r="U256" s="12">
        <f t="shared" ca="1" si="62"/>
        <v>4.3994472476160951E-7</v>
      </c>
      <c r="V256" s="12">
        <f t="shared" ca="1" si="62"/>
        <v>1.688057024162859E-7</v>
      </c>
      <c r="W256" s="12">
        <f t="shared" ca="1" si="62"/>
        <v>6.6746950189155996E-8</v>
      </c>
      <c r="X256" s="12">
        <f t="shared" ca="1" si="62"/>
        <v>2.7147205150512832E-8</v>
      </c>
      <c r="Y256" s="12">
        <f t="shared" ca="1" si="62"/>
        <v>1.1337537686451071E-8</v>
      </c>
      <c r="Z256" s="12">
        <f t="shared" ca="1" si="62"/>
        <v>8.7650239288805665E-9</v>
      </c>
      <c r="AA256" s="80">
        <f ca="1">SUMPRODUCT(F256:Z256,FailureForCPU!E$17:Y$17)</f>
        <v>7.3483250387362808E-8</v>
      </c>
      <c r="AB256" s="80">
        <f t="shared" ca="1" si="63"/>
        <v>2.3097787034829162E-8</v>
      </c>
      <c r="AC256" s="12">
        <f t="shared" ca="1" si="64"/>
        <v>0.31432721355914472</v>
      </c>
      <c r="AD256" s="12">
        <f t="shared" ca="1" si="65"/>
        <v>0.99999179447062558</v>
      </c>
    </row>
    <row r="257" spans="1:30">
      <c r="A257" s="56">
        <v>2</v>
      </c>
      <c r="B257" s="12">
        <f t="shared" si="59"/>
        <v>0.19123856888888888</v>
      </c>
      <c r="C257" s="12">
        <f t="shared" si="60"/>
        <v>0.1989734557587951</v>
      </c>
      <c r="D257" s="23">
        <f t="array" ref="D257">MATCH(MIN(ABS(ServerTypeA!$A$106:$A$165-$C257)),ABS(ServerTypeA!$A$106:$A$165-$C257),0)</f>
        <v>2</v>
      </c>
      <c r="E257" s="23">
        <f t="array" ref="E257">INDEX(ServerTypeA!$A$106:$A$165,MATCH(MIN(ABS(ServerTypeA!$A$106:$A$165-$C257)),ABS(ServerTypeA!$A$106:$A$165-$C257),0))</f>
        <v>0.2</v>
      </c>
      <c r="F257" s="12">
        <f t="shared" ca="1" si="61"/>
        <v>0</v>
      </c>
      <c r="G257" s="80">
        <f t="shared" ca="1" si="61"/>
        <v>0.1626364559668394</v>
      </c>
      <c r="H257" s="12">
        <f t="shared" ca="1" si="61"/>
        <v>0.44689177712898531</v>
      </c>
      <c r="I257" s="12">
        <f t="shared" ca="1" si="61"/>
        <v>0.25672841154259229</v>
      </c>
      <c r="J257" s="12">
        <f t="shared" ca="1" si="61"/>
        <v>8.0778867012517908E-2</v>
      </c>
      <c r="K257" s="12">
        <f t="shared" ca="1" si="61"/>
        <v>3.6441263038010985E-2</v>
      </c>
      <c r="L257" s="12">
        <f t="shared" ca="1" si="61"/>
        <v>1.1196275956871338E-2</v>
      </c>
      <c r="M257" s="12">
        <f t="shared" ca="1" si="61"/>
        <v>3.494913428613633E-3</v>
      </c>
      <c r="N257" s="12">
        <f t="shared" ca="1" si="61"/>
        <v>1.1292488621793551E-3</v>
      </c>
      <c r="O257" s="12">
        <f t="shared" ca="1" si="61"/>
        <v>3.8010943408661735E-4</v>
      </c>
      <c r="P257" s="12">
        <f t="shared" ca="1" si="62"/>
        <v>1.3344624165900765E-4</v>
      </c>
      <c r="Q257" s="12">
        <f t="shared" ca="1" si="62"/>
        <v>4.881027651226777E-5</v>
      </c>
      <c r="R257" s="12">
        <f t="shared" ca="1" si="62"/>
        <v>1.8562562802637572E-5</v>
      </c>
      <c r="S257" s="12">
        <f t="shared" ca="1" si="62"/>
        <v>7.3223909015096567E-6</v>
      </c>
      <c r="T257" s="12">
        <f t="shared" ca="1" si="62"/>
        <v>2.9888294735824772E-6</v>
      </c>
      <c r="U257" s="12">
        <f t="shared" ca="1" si="62"/>
        <v>1.2594040589286593E-6</v>
      </c>
      <c r="V257" s="12">
        <f t="shared" ca="1" si="62"/>
        <v>5.4662697912544189E-7</v>
      </c>
      <c r="W257" s="12">
        <f t="shared" ca="1" si="62"/>
        <v>2.4389220010245793E-7</v>
      </c>
      <c r="X257" s="12">
        <f t="shared" ca="1" si="62"/>
        <v>1.1165486546449443E-7</v>
      </c>
      <c r="Y257" s="12">
        <f t="shared" ca="1" si="62"/>
        <v>5.2359286684122708E-8</v>
      </c>
      <c r="Z257" s="12">
        <f t="shared" ca="1" si="62"/>
        <v>5.0177817123575608E-8</v>
      </c>
      <c r="AA257" s="80">
        <f ca="1">SUMPRODUCT(F257:Z257,FailureForCPU!E$17:Y$17)</f>
        <v>2.0660950502404687E-7</v>
      </c>
      <c r="AB257" s="80">
        <f t="shared" ca="1" si="63"/>
        <v>4.1109807207248743E-8</v>
      </c>
      <c r="AC257" s="12">
        <f t="shared" ca="1" si="64"/>
        <v>0.19897341464898791</v>
      </c>
      <c r="AD257" s="12">
        <f t="shared" ca="1" si="65"/>
        <v>0.99989071678725328</v>
      </c>
    </row>
    <row r="258" spans="1:30">
      <c r="A258" s="56">
        <v>3</v>
      </c>
      <c r="B258" s="12">
        <f t="shared" si="59"/>
        <v>0.17781025555555557</v>
      </c>
      <c r="C258" s="12">
        <f t="shared" si="60"/>
        <v>0.1850020172332453</v>
      </c>
      <c r="D258" s="23">
        <f t="array" ref="D258">MATCH(MIN(ABS(ServerTypeA!$A$106:$A$165-$C258)),ABS(ServerTypeA!$A$106:$A$165-$C258),0)</f>
        <v>2</v>
      </c>
      <c r="E258" s="23">
        <f t="array" ref="E258">INDEX(ServerTypeA!$A$106:$A$165,MATCH(MIN(ABS(ServerTypeA!$A$106:$A$165-$C258)),ABS(ServerTypeA!$A$106:$A$165-$C258),0))</f>
        <v>0.2</v>
      </c>
      <c r="F258" s="80">
        <f t="shared" ca="1" si="61"/>
        <v>0</v>
      </c>
      <c r="G258" s="80">
        <f t="shared" ca="1" si="61"/>
        <v>0.1626364559668394</v>
      </c>
      <c r="H258" s="80">
        <f t="shared" ca="1" si="61"/>
        <v>0.44689177712898531</v>
      </c>
      <c r="I258" s="80">
        <f t="shared" ca="1" si="61"/>
        <v>0.25672841154259229</v>
      </c>
      <c r="J258" s="80">
        <f t="shared" ca="1" si="61"/>
        <v>8.0778867012517908E-2</v>
      </c>
      <c r="K258" s="80">
        <f t="shared" ca="1" si="61"/>
        <v>3.6441263038010985E-2</v>
      </c>
      <c r="L258" s="80">
        <f t="shared" ca="1" si="61"/>
        <v>1.1196275956871338E-2</v>
      </c>
      <c r="M258" s="80">
        <f t="shared" ca="1" si="61"/>
        <v>3.494913428613633E-3</v>
      </c>
      <c r="N258" s="80">
        <f t="shared" ca="1" si="61"/>
        <v>1.1292488621793551E-3</v>
      </c>
      <c r="O258" s="80">
        <f t="shared" ca="1" si="61"/>
        <v>3.8010943408661735E-4</v>
      </c>
      <c r="P258" s="80">
        <f t="shared" ca="1" si="62"/>
        <v>1.3344624165900765E-4</v>
      </c>
      <c r="Q258" s="80">
        <f t="shared" ca="1" si="62"/>
        <v>4.881027651226777E-5</v>
      </c>
      <c r="R258" s="80">
        <f t="shared" ca="1" si="62"/>
        <v>1.8562562802637572E-5</v>
      </c>
      <c r="S258" s="80">
        <f t="shared" ca="1" si="62"/>
        <v>7.3223909015096567E-6</v>
      </c>
      <c r="T258" s="80">
        <f t="shared" ca="1" si="62"/>
        <v>2.9888294735824772E-6</v>
      </c>
      <c r="U258" s="80">
        <f t="shared" ca="1" si="62"/>
        <v>1.2594040589286593E-6</v>
      </c>
      <c r="V258" s="80">
        <f t="shared" ca="1" si="62"/>
        <v>5.4662697912544189E-7</v>
      </c>
      <c r="W258" s="80">
        <f t="shared" ca="1" si="62"/>
        <v>2.4389220010245793E-7</v>
      </c>
      <c r="X258" s="80">
        <f t="shared" ca="1" si="62"/>
        <v>1.1165486546449443E-7</v>
      </c>
      <c r="Y258" s="80">
        <f t="shared" ca="1" si="62"/>
        <v>5.2359286684122708E-8</v>
      </c>
      <c r="Z258" s="80">
        <f t="shared" ca="1" si="62"/>
        <v>5.0177817123575608E-8</v>
      </c>
      <c r="AA258" s="80">
        <f ca="1">SUMPRODUCT(F258:Z258,FailureForCPU!E$17:Y$17)</f>
        <v>2.0660950502404687E-7</v>
      </c>
      <c r="AB258" s="80">
        <f t="shared" ca="1" si="63"/>
        <v>3.8223175209011002E-8</v>
      </c>
      <c r="AC258" s="12">
        <f t="shared" ca="1" si="64"/>
        <v>0.18500197901007009</v>
      </c>
      <c r="AD258" s="12">
        <f t="shared" ca="1" si="65"/>
        <v>0.99989071678725328</v>
      </c>
    </row>
    <row r="259" spans="1:30">
      <c r="A259" s="56">
        <v>4</v>
      </c>
      <c r="B259" s="12">
        <f t="shared" si="59"/>
        <v>0.35924234000000005</v>
      </c>
      <c r="C259" s="12">
        <f t="shared" si="60"/>
        <v>0.37377235282599458</v>
      </c>
      <c r="D259" s="23">
        <f t="array" ref="D259">MATCH(MIN(ABS(ServerTypeA!$A$106:$A$165-$C259)),ABS(ServerTypeA!$A$106:$A$165-$C259),0)</f>
        <v>4</v>
      </c>
      <c r="E259" s="23">
        <f t="array" ref="E259">INDEX(ServerTypeA!$A$106:$A$165,MATCH(MIN(ABS(ServerTypeA!$A$106:$A$165-$C259)),ABS(ServerTypeA!$A$106:$A$165-$C259),0))</f>
        <v>0.4</v>
      </c>
      <c r="F259" s="80">
        <f t="shared" ca="1" si="61"/>
        <v>0</v>
      </c>
      <c r="G259" s="80">
        <f t="shared" ca="1" si="61"/>
        <v>4.8173495024784518E-2</v>
      </c>
      <c r="H259" s="80">
        <f t="shared" ca="1" si="61"/>
        <v>0.38674242167765105</v>
      </c>
      <c r="I259" s="80">
        <f t="shared" ca="1" si="61"/>
        <v>0.35996128270467487</v>
      </c>
      <c r="J259" s="80">
        <f t="shared" ca="1" si="61"/>
        <v>0.12840573422331936</v>
      </c>
      <c r="K259" s="80">
        <f t="shared" ca="1" si="61"/>
        <v>5.6094229657256189E-2</v>
      </c>
      <c r="L259" s="80">
        <f t="shared" ca="1" si="61"/>
        <v>1.5209033974828756E-2</v>
      </c>
      <c r="M259" s="80">
        <f t="shared" ca="1" si="61"/>
        <v>3.9746438089780511E-3</v>
      </c>
      <c r="N259" s="80">
        <f t="shared" ca="1" si="61"/>
        <v>1.0450649719873084E-3</v>
      </c>
      <c r="O259" s="80">
        <f t="shared" ca="1" si="61"/>
        <v>2.8192928270942552E-4</v>
      </c>
      <c r="P259" s="80">
        <f t="shared" ca="1" si="62"/>
        <v>7.8721555912264485E-5</v>
      </c>
      <c r="Q259" s="80">
        <f t="shared" ca="1" si="62"/>
        <v>2.2829740597640757E-5</v>
      </c>
      <c r="R259" s="80">
        <f t="shared" ca="1" si="62"/>
        <v>6.8815575364755688E-6</v>
      </c>
      <c r="S259" s="80">
        <f t="shared" ca="1" si="62"/>
        <v>2.1546338000444365E-6</v>
      </c>
      <c r="T259" s="80">
        <f t="shared" ca="1" si="62"/>
        <v>6.9981033046229157E-7</v>
      </c>
      <c r="U259" s="80">
        <f t="shared" ca="1" si="62"/>
        <v>2.3538909244003037E-7</v>
      </c>
      <c r="V259" s="80">
        <f t="shared" ca="1" si="62"/>
        <v>8.1849132360645172E-8</v>
      </c>
      <c r="W259" s="80">
        <f t="shared" ca="1" si="62"/>
        <v>2.9368769638438152E-8</v>
      </c>
      <c r="X259" s="80">
        <f t="shared" ca="1" si="62"/>
        <v>1.085533962719154E-8</v>
      </c>
      <c r="Y259" s="80">
        <f t="shared" ca="1" si="62"/>
        <v>4.126343045030012E-9</v>
      </c>
      <c r="Z259" s="80">
        <f t="shared" ca="1" si="62"/>
        <v>2.7148532311116469E-9</v>
      </c>
      <c r="AA259" s="80">
        <f ca="1">SUMPRODUCT(F259:Z259,FailureForCPU!E$17:Y$17)</f>
        <v>4.1768345534117412E-8</v>
      </c>
      <c r="AB259" s="80">
        <f t="shared" ca="1" si="63"/>
        <v>1.5611852783936189E-8</v>
      </c>
      <c r="AC259" s="12">
        <f t="shared" ca="1" si="64"/>
        <v>0.37377233721414177</v>
      </c>
      <c r="AD259" s="12">
        <f t="shared" ca="1" si="65"/>
        <v>0.99999948692789675</v>
      </c>
    </row>
    <row r="260" spans="1:30">
      <c r="A260" s="56">
        <v>5</v>
      </c>
      <c r="B260" s="12">
        <f t="shared" si="59"/>
        <v>0.95434750888888886</v>
      </c>
      <c r="C260" s="12">
        <f t="shared" si="60"/>
        <v>0.9929473062975448</v>
      </c>
      <c r="D260" s="23">
        <f t="array" ref="D260">MATCH(MIN(ABS(ServerTypeA!$A$106:$A$165-$C260)),ABS(ServerTypeA!$A$106:$A$165-$C260),0)</f>
        <v>10</v>
      </c>
      <c r="E260" s="23">
        <f t="array" ref="E260">INDEX(ServerTypeA!$A$106:$A$165,MATCH(MIN(ABS(ServerTypeA!$A$106:$A$165-$C260)),ABS(ServerTypeA!$A$106:$A$165-$C260),0))</f>
        <v>1</v>
      </c>
      <c r="F260" s="80">
        <f t="shared" ca="1" si="61"/>
        <v>0</v>
      </c>
      <c r="G260" s="80">
        <f t="shared" ca="1" si="61"/>
        <v>6.3362385179783882E-5</v>
      </c>
      <c r="H260" s="80">
        <f t="shared" ca="1" si="61"/>
        <v>3.2995538185137452E-2</v>
      </c>
      <c r="I260" s="80">
        <f t="shared" ca="1" si="61"/>
        <v>0.26726256706287965</v>
      </c>
      <c r="J260" s="80">
        <f t="shared" ca="1" si="61"/>
        <v>0.31013660162702217</v>
      </c>
      <c r="K260" s="80">
        <f t="shared" ca="1" si="61"/>
        <v>0.2532552756998514</v>
      </c>
      <c r="L260" s="80">
        <f t="shared" ca="1" si="61"/>
        <v>9.8107796915847922E-2</v>
      </c>
      <c r="M260" s="80">
        <f t="shared" ca="1" si="61"/>
        <v>2.8732042413077363E-2</v>
      </c>
      <c r="N260" s="80">
        <f t="shared" ca="1" si="61"/>
        <v>7.2542263535837481E-3</v>
      </c>
      <c r="O260" s="80">
        <f t="shared" ca="1" si="61"/>
        <v>1.6975679546920031E-3</v>
      </c>
      <c r="P260" s="80">
        <f t="shared" ca="1" si="62"/>
        <v>3.8387097105896384E-4</v>
      </c>
      <c r="Q260" s="80">
        <f t="shared" ca="1" si="62"/>
        <v>8.5988652237634078E-5</v>
      </c>
      <c r="R260" s="80">
        <f t="shared" ca="1" si="62"/>
        <v>1.9370639502747089E-5</v>
      </c>
      <c r="S260" s="80">
        <f t="shared" ca="1" si="62"/>
        <v>4.4290582862371863E-6</v>
      </c>
      <c r="T260" s="80">
        <f t="shared" ca="1" si="62"/>
        <v>1.033706087172348E-6</v>
      </c>
      <c r="U260" s="80">
        <f t="shared" ca="1" si="62"/>
        <v>2.4709440304970798E-7</v>
      </c>
      <c r="V260" s="80">
        <f t="shared" ca="1" si="62"/>
        <v>6.0608630669811703E-8</v>
      </c>
      <c r="W260" s="80">
        <f t="shared" ca="1" si="62"/>
        <v>1.5269196684819519E-8</v>
      </c>
      <c r="X260" s="80">
        <f t="shared" ca="1" si="62"/>
        <v>3.9522030093053218E-9</v>
      </c>
      <c r="Y260" s="80">
        <f t="shared" ca="1" si="62"/>
        <v>1.0508791614682877E-9</v>
      </c>
      <c r="Z260" s="80">
        <f t="shared" ca="1" si="62"/>
        <v>4.0024294989393638E-10</v>
      </c>
      <c r="AA260" s="80">
        <f ca="1">SUMPRODUCT(F260:Z260,FailureForCPU!E$17:Y$17)</f>
        <v>6.3473937673511974E-8</v>
      </c>
      <c r="AB260" s="80">
        <f t="shared" ca="1" si="63"/>
        <v>6.3026275433011967E-8</v>
      </c>
      <c r="AC260" s="12">
        <f t="shared" ca="1" si="64"/>
        <v>0.99294724327126938</v>
      </c>
      <c r="AD260" s="12">
        <f t="shared" ca="1" si="65"/>
        <v>0.99999999999999978</v>
      </c>
    </row>
    <row r="261" spans="1:30">
      <c r="A261" s="56">
        <v>6</v>
      </c>
      <c r="B261" s="12">
        <f t="shared" si="59"/>
        <v>1.3952391016858241</v>
      </c>
      <c r="C261" s="12">
        <f t="shared" si="60"/>
        <v>1.4516713196777904</v>
      </c>
      <c r="D261" s="23">
        <f t="array" ref="D261">MATCH(MIN(ABS(ServerTypeA!$A$106:$A$165-$C261)),ABS(ServerTypeA!$A$106:$A$165-$C261),0)</f>
        <v>15</v>
      </c>
      <c r="E261" s="23">
        <f t="array" ref="E261">INDEX(ServerTypeA!$A$106:$A$165,MATCH(MIN(ABS(ServerTypeA!$A$106:$A$165-$C261)),ABS(ServerTypeA!$A$106:$A$165-$C261),0))</f>
        <v>1.5</v>
      </c>
      <c r="F261" s="80">
        <f t="shared" ca="1" si="61"/>
        <v>0</v>
      </c>
      <c r="G261" s="80">
        <f t="shared" ca="1" si="61"/>
        <v>7.2350469922239067E-9</v>
      </c>
      <c r="H261" s="80">
        <f t="shared" ca="1" si="61"/>
        <v>4.338515779256506E-4</v>
      </c>
      <c r="I261" s="80">
        <f t="shared" ca="1" si="61"/>
        <v>3.6247235280012169E-2</v>
      </c>
      <c r="J261" s="80">
        <f t="shared" ca="1" si="61"/>
        <v>0.16136806259489112</v>
      </c>
      <c r="K261" s="80">
        <f t="shared" ca="1" si="61"/>
        <v>0.34502261692311387</v>
      </c>
      <c r="L261" s="80">
        <f t="shared" ca="1" si="61"/>
        <v>0.27262558855603425</v>
      </c>
      <c r="M261" s="80">
        <f t="shared" ca="1" si="61"/>
        <v>0.12647029608674076</v>
      </c>
      <c r="N261" s="80">
        <f t="shared" ca="1" si="61"/>
        <v>4.2472876602146714E-2</v>
      </c>
      <c r="O261" s="80">
        <f t="shared" ca="1" si="61"/>
        <v>1.1692028861120196E-2</v>
      </c>
      <c r="P261" s="80">
        <f t="shared" ca="1" si="62"/>
        <v>2.8471096150606279E-3</v>
      </c>
      <c r="Q261" s="80">
        <f t="shared" ca="1" si="62"/>
        <v>6.4358558270427579E-4</v>
      </c>
      <c r="R261" s="80">
        <f t="shared" ca="1" si="62"/>
        <v>1.3936039102613318E-4</v>
      </c>
      <c r="S261" s="80">
        <f t="shared" ca="1" si="62"/>
        <v>2.9518059099342686E-5</v>
      </c>
      <c r="T261" s="80">
        <f t="shared" ca="1" si="62"/>
        <v>6.203032520524232E-6</v>
      </c>
      <c r="U261" s="80">
        <f t="shared" ca="1" si="62"/>
        <v>1.305882522339985E-6</v>
      </c>
      <c r="V261" s="80">
        <f t="shared" ca="1" si="62"/>
        <v>2.7726535167804656E-7</v>
      </c>
      <c r="W261" s="80">
        <f t="shared" ca="1" si="62"/>
        <v>5.9646639072319374E-8</v>
      </c>
      <c r="X261" s="80">
        <f t="shared" ca="1" si="62"/>
        <v>1.3042227076098811E-8</v>
      </c>
      <c r="Y261" s="80">
        <f t="shared" ca="1" si="62"/>
        <v>2.9048460303826573E-9</v>
      </c>
      <c r="Z261" s="80">
        <f t="shared" ca="1" si="62"/>
        <v>8.6097118323635868E-10</v>
      </c>
      <c r="AA261" s="80">
        <f ca="1">SUMPRODUCT(F261:Z261,FailureForCPU!E$17:Y$17)</f>
        <v>3.9511530079416883E-7</v>
      </c>
      <c r="AB261" s="80">
        <f t="shared" ca="1" si="63"/>
        <v>5.735775501287582E-7</v>
      </c>
      <c r="AC261" s="12">
        <f t="shared" ca="1" si="64"/>
        <v>1.4516707461002403</v>
      </c>
      <c r="AD261" s="12">
        <f t="shared" ca="1" si="65"/>
        <v>1</v>
      </c>
    </row>
    <row r="262" spans="1:30">
      <c r="A262" s="56">
        <v>7</v>
      </c>
      <c r="B262" s="12">
        <f t="shared" si="59"/>
        <v>1.6468302396934869</v>
      </c>
      <c r="C262" s="12">
        <f t="shared" si="60"/>
        <v>1.713438380885814</v>
      </c>
      <c r="D262" s="23">
        <f t="array" ref="D262">MATCH(MIN(ABS(ServerTypeA!$A$106:$A$165-$C262)),ABS(ServerTypeA!$A$106:$A$165-$C262),0)</f>
        <v>17</v>
      </c>
      <c r="E262" s="23">
        <f t="array" ref="E262">INDEX(ServerTypeA!$A$106:$A$165,MATCH(MIN(ABS(ServerTypeA!$A$106:$A$165-$C262)),ABS(ServerTypeA!$A$106:$A$165-$C262),0))</f>
        <v>1.7</v>
      </c>
      <c r="F262" s="80">
        <f t="shared" ca="1" si="61"/>
        <v>0</v>
      </c>
      <c r="G262" s="80">
        <f t="shared" ca="1" si="61"/>
        <v>8.1253198802544112E-11</v>
      </c>
      <c r="H262" s="80">
        <f t="shared" ca="1" si="61"/>
        <v>4.33826302524141E-5</v>
      </c>
      <c r="I262" s="80">
        <f t="shared" ca="1" si="61"/>
        <v>1.0705987157923591E-2</v>
      </c>
      <c r="J262" s="80">
        <f t="shared" ca="1" si="61"/>
        <v>8.5289399602454408E-2</v>
      </c>
      <c r="K262" s="80">
        <f t="shared" ca="1" si="61"/>
        <v>0.28828196681177598</v>
      </c>
      <c r="L262" s="80">
        <f t="shared" ca="1" si="61"/>
        <v>0.32142633077115734</v>
      </c>
      <c r="M262" s="80">
        <f t="shared" ca="1" si="61"/>
        <v>0.18912407351993599</v>
      </c>
      <c r="N262" s="80">
        <f t="shared" ca="1" si="61"/>
        <v>7.4607012926096727E-2</v>
      </c>
      <c r="O262" s="80">
        <f t="shared" ca="1" si="61"/>
        <v>2.2822152808572804E-2</v>
      </c>
      <c r="P262" s="80">
        <f t="shared" ca="1" si="62"/>
        <v>5.9287841336530533E-3</v>
      </c>
      <c r="Q262" s="80">
        <f t="shared" ca="1" si="62"/>
        <v>1.3868580523002105E-3</v>
      </c>
      <c r="R262" s="80">
        <f t="shared" ca="1" si="62"/>
        <v>3.0365091844619663E-4</v>
      </c>
      <c r="S262" s="80">
        <f t="shared" ca="1" si="62"/>
        <v>6.3881746393823491E-5</v>
      </c>
      <c r="T262" s="80">
        <f t="shared" ca="1" si="62"/>
        <v>1.3148842294530283E-5</v>
      </c>
      <c r="U262" s="80">
        <f t="shared" ca="1" si="62"/>
        <v>2.6816199827361942E-6</v>
      </c>
      <c r="V262" s="80">
        <f t="shared" ca="1" si="62"/>
        <v>5.4674756877481911E-7</v>
      </c>
      <c r="W262" s="80">
        <f t="shared" ca="1" si="62"/>
        <v>1.1215444262191454E-7</v>
      </c>
      <c r="X262" s="80">
        <f t="shared" ca="1" si="62"/>
        <v>2.3251678915592322E-8</v>
      </c>
      <c r="Y262" s="80">
        <f t="shared" ca="1" si="62"/>
        <v>4.8876390712493389E-9</v>
      </c>
      <c r="Z262" s="80">
        <f t="shared" ca="1" si="62"/>
        <v>1.3361776129983127E-9</v>
      </c>
      <c r="AA262" s="80">
        <f ca="1">SUMPRODUCT(F262:Z262,FailureForCPU!E$17:Y$17)</f>
        <v>8.4375321515358262E-7</v>
      </c>
      <c r="AB262" s="80">
        <f t="shared" ca="1" si="63"/>
        <v>1.4457191428399545E-6</v>
      </c>
      <c r="AC262" s="12">
        <f t="shared" ca="1" si="64"/>
        <v>1.7134369351666712</v>
      </c>
      <c r="AD262" s="12">
        <f t="shared" ca="1" si="65"/>
        <v>1</v>
      </c>
    </row>
    <row r="263" spans="1:30">
      <c r="A263" s="56">
        <v>8</v>
      </c>
      <c r="B263" s="12">
        <f t="shared" si="59"/>
        <v>1.8977111415325671</v>
      </c>
      <c r="C263" s="12">
        <f t="shared" si="60"/>
        <v>1.9744664795211264</v>
      </c>
      <c r="D263" s="23">
        <f t="array" ref="D263">MATCH(MIN(ABS(ServerTypeA!$A$106:$A$165-$C263)),ABS(ServerTypeA!$A$106:$A$165-$C263),0)</f>
        <v>20</v>
      </c>
      <c r="E263" s="23">
        <f t="array" ref="E263">INDEX(ServerTypeA!$A$106:$A$165,MATCH(MIN(ABS(ServerTypeA!$A$106:$A$165-$C263)),ABS(ServerTypeA!$A$106:$A$165-$C263),0))</f>
        <v>2</v>
      </c>
      <c r="F263" s="80">
        <f t="shared" ca="1" si="61"/>
        <v>0</v>
      </c>
      <c r="G263" s="80">
        <f t="shared" ca="1" si="61"/>
        <v>4.0327851882455048E-14</v>
      </c>
      <c r="H263" s="80">
        <f t="shared" ca="1" si="61"/>
        <v>7.6343649033183721E-7</v>
      </c>
      <c r="I263" s="80">
        <f t="shared" ca="1" si="61"/>
        <v>1.1261859468466584E-3</v>
      </c>
      <c r="J263" s="80">
        <f t="shared" ca="1" si="61"/>
        <v>2.2612201701377344E-2</v>
      </c>
      <c r="K263" s="80">
        <f t="shared" ca="1" si="61"/>
        <v>0.16230317290931873</v>
      </c>
      <c r="L263" s="80">
        <f t="shared" ca="1" si="61"/>
        <v>0.31714492139955697</v>
      </c>
      <c r="M263" s="80">
        <f t="shared" ca="1" si="61"/>
        <v>0.27781919593603943</v>
      </c>
      <c r="N263" s="80">
        <f t="shared" ca="1" si="61"/>
        <v>0.14469470987553978</v>
      </c>
      <c r="O263" s="80">
        <f t="shared" ca="1" si="61"/>
        <v>5.3484922732303541E-2</v>
      </c>
      <c r="P263" s="80">
        <f t="shared" ca="1" si="62"/>
        <v>1.5719419243440669E-2</v>
      </c>
      <c r="Q263" s="80">
        <f t="shared" ca="1" si="62"/>
        <v>3.9583848233887275E-3</v>
      </c>
      <c r="R263" s="80">
        <f t="shared" ca="1" si="62"/>
        <v>8.981527125127009E-4</v>
      </c>
      <c r="S263" s="80">
        <f t="shared" ca="1" si="62"/>
        <v>1.9011234478316652E-4</v>
      </c>
      <c r="T263" s="80">
        <f t="shared" ca="1" si="62"/>
        <v>3.8467327741598112E-5</v>
      </c>
      <c r="U263" s="80">
        <f t="shared" ca="1" si="62"/>
        <v>7.5710929109407132E-6</v>
      </c>
      <c r="V263" s="80">
        <f t="shared" ca="1" si="62"/>
        <v>1.4678447695093411E-6</v>
      </c>
      <c r="W263" s="80">
        <f t="shared" ca="1" si="62"/>
        <v>2.8291288289850058E-7</v>
      </c>
      <c r="X263" s="80">
        <f t="shared" ca="1" si="62"/>
        <v>5.4577875108208218E-8</v>
      </c>
      <c r="Y263" s="80">
        <f t="shared" ca="1" si="62"/>
        <v>1.0591190591213717E-8</v>
      </c>
      <c r="Z263" s="80">
        <f t="shared" ca="1" si="62"/>
        <v>2.5909909773247364E-9</v>
      </c>
      <c r="AA263" s="80">
        <f ca="1">SUMPRODUCT(F263:Z263,FailureForCPU!E$17:Y$17)</f>
        <v>2.4804686957341508E-6</v>
      </c>
      <c r="AB263" s="80">
        <f t="shared" ca="1" si="63"/>
        <v>4.8976022932285685E-6</v>
      </c>
      <c r="AC263" s="12">
        <f t="shared" ca="1" si="64"/>
        <v>1.9744615819188331</v>
      </c>
      <c r="AD263" s="12">
        <f t="shared" ca="1" si="65"/>
        <v>1</v>
      </c>
    </row>
    <row r="264" spans="1:30">
      <c r="A264" s="56">
        <v>9</v>
      </c>
      <c r="B264" s="12">
        <f t="shared" si="59"/>
        <v>2.1127480528735636</v>
      </c>
      <c r="C264" s="12">
        <f t="shared" si="60"/>
        <v>2.1982008319261324</v>
      </c>
      <c r="D264" s="23">
        <f t="array" ref="D264">MATCH(MIN(ABS(ServerTypeA!$A$106:$A$165-$C264)),ABS(ServerTypeA!$A$106:$A$165-$C264),0)</f>
        <v>22</v>
      </c>
      <c r="E264" s="23">
        <f t="array" ref="E264">INDEX(ServerTypeA!$A$106:$A$165,MATCH(MIN(ABS(ServerTypeA!$A$106:$A$165-$C264)),ABS(ServerTypeA!$A$106:$A$165-$C264),0))</f>
        <v>2.2000000000000002</v>
      </c>
      <c r="F264" s="80">
        <f t="shared" ca="1" si="61"/>
        <v>0</v>
      </c>
      <c r="G264" s="80">
        <f t="shared" ca="1" si="61"/>
        <v>1.4197865135647501E-16</v>
      </c>
      <c r="H264" s="80">
        <f t="shared" ca="1" si="61"/>
        <v>3.5178484297494661E-8</v>
      </c>
      <c r="I264" s="80">
        <f t="shared" ca="1" si="61"/>
        <v>1.9059109896381863E-4</v>
      </c>
      <c r="J264" s="80">
        <f t="shared" ca="1" si="61"/>
        <v>7.3891799340688458E-3</v>
      </c>
      <c r="K264" s="80">
        <f t="shared" ca="1" si="61"/>
        <v>9.1526270384004405E-2</v>
      </c>
      <c r="L264" s="80">
        <f t="shared" ca="1" si="61"/>
        <v>0.26679036397934275</v>
      </c>
      <c r="M264" s="80">
        <f t="shared" ca="1" si="61"/>
        <v>0.31199858065834007</v>
      </c>
      <c r="N264" s="80">
        <f t="shared" ca="1" si="61"/>
        <v>0.19967588337153253</v>
      </c>
      <c r="O264" s="80">
        <f t="shared" ca="1" si="61"/>
        <v>8.5232169616926923E-2</v>
      </c>
      <c r="P264" s="80">
        <f t="shared" ca="1" si="62"/>
        <v>2.7604715117663936E-2</v>
      </c>
      <c r="Q264" s="80">
        <f t="shared" ca="1" si="62"/>
        <v>7.3921295639194362E-3</v>
      </c>
      <c r="R264" s="80">
        <f t="shared" ca="1" si="62"/>
        <v>1.7353282851382268E-3</v>
      </c>
      <c r="S264" s="80">
        <f t="shared" ca="1" si="62"/>
        <v>3.7197373049924209E-4</v>
      </c>
      <c r="T264" s="80">
        <f t="shared" ca="1" si="62"/>
        <v>7.4939643748717089E-5</v>
      </c>
      <c r="U264" s="80">
        <f t="shared" ca="1" si="62"/>
        <v>1.4488656518762966E-5</v>
      </c>
      <c r="V264" s="80">
        <f t="shared" ca="1" si="62"/>
        <v>2.7294494167051653E-6</v>
      </c>
      <c r="W264" s="80">
        <f t="shared" ca="1" si="62"/>
        <v>5.0668760964711623E-7</v>
      </c>
      <c r="X264" s="80">
        <f t="shared" ca="1" si="62"/>
        <v>9.3468969675214453E-8</v>
      </c>
      <c r="Y264" s="80">
        <f t="shared" ca="1" si="62"/>
        <v>1.7242146377327572E-8</v>
      </c>
      <c r="Z264" s="80">
        <f t="shared" ca="1" si="62"/>
        <v>3.9327054945914597E-9</v>
      </c>
      <c r="AA264" s="80">
        <f ca="1">SUMPRODUCT(F264:Z264,FailureForCPU!E$17:Y$17)</f>
        <v>4.8314492097689671E-6</v>
      </c>
      <c r="AB264" s="80">
        <f t="shared" ca="1" si="63"/>
        <v>1.0620495672322999E-5</v>
      </c>
      <c r="AC264" s="12">
        <f t="shared" ca="1" si="64"/>
        <v>2.1981902114304601</v>
      </c>
      <c r="AD264" s="12">
        <f t="shared" ca="1" si="65"/>
        <v>1</v>
      </c>
    </row>
    <row r="265" spans="1:30">
      <c r="A265" s="56">
        <v>10</v>
      </c>
      <c r="B265" s="12">
        <f t="shared" si="59"/>
        <v>2.2471277933333327</v>
      </c>
      <c r="C265" s="12">
        <f t="shared" si="60"/>
        <v>2.3380157317060259</v>
      </c>
      <c r="D265" s="23">
        <f t="array" ref="D265">MATCH(MIN(ABS(ServerTypeA!$A$106:$A$165-$C265)),ABS(ServerTypeA!$A$106:$A$165-$C265),0)</f>
        <v>23</v>
      </c>
      <c r="E265" s="23">
        <f t="array" ref="E265">INDEX(ServerTypeA!$A$106:$A$165,MATCH(MIN(ABS(ServerTypeA!$A$106:$A$165-$C265)),ABS(ServerTypeA!$A$106:$A$165-$C265),0))</f>
        <v>2.2999999999999998</v>
      </c>
      <c r="F265" s="80">
        <f t="shared" ref="F265:O278" ca="1" si="66">OFFSET($B$106,$D265-1,F$221,1,1)</f>
        <v>0</v>
      </c>
      <c r="G265" s="80">
        <f t="shared" ca="1" si="66"/>
        <v>7.0657294544177229E-18</v>
      </c>
      <c r="H265" s="80">
        <f t="shared" ca="1" si="66"/>
        <v>6.7238726448175657E-9</v>
      </c>
      <c r="I265" s="80">
        <f t="shared" ca="1" si="66"/>
        <v>7.2182403488525558E-5</v>
      </c>
      <c r="J265" s="80">
        <f t="shared" ca="1" si="66"/>
        <v>3.9460356627938342E-3</v>
      </c>
      <c r="K265" s="80">
        <f t="shared" ca="1" si="66"/>
        <v>6.5095372899179882E-2</v>
      </c>
      <c r="L265" s="80">
        <f t="shared" ca="1" si="66"/>
        <v>0.23352595939847376</v>
      </c>
      <c r="M265" s="80">
        <f t="shared" ca="1" si="66"/>
        <v>0.31764125546533772</v>
      </c>
      <c r="N265" s="80">
        <f t="shared" ca="1" si="66"/>
        <v>0.22666710323925121</v>
      </c>
      <c r="O265" s="80">
        <f t="shared" ca="1" si="66"/>
        <v>0.1044896259873298</v>
      </c>
      <c r="P265" s="80">
        <f t="shared" ref="P265:Z278" ca="1" si="67">OFFSET($B$106,$D265-1,P$221,1,1)</f>
        <v>3.5672462103660596E-2</v>
      </c>
      <c r="Q265" s="80">
        <f t="shared" ca="1" si="67"/>
        <v>9.8842744218808898E-3</v>
      </c>
      <c r="R265" s="80">
        <f t="shared" ca="1" si="67"/>
        <v>2.3667328600559534E-3</v>
      </c>
      <c r="S265" s="80">
        <f t="shared" ca="1" si="67"/>
        <v>5.1167201767454706E-4</v>
      </c>
      <c r="T265" s="80">
        <f t="shared" ca="1" si="67"/>
        <v>1.0304770744595793E-4</v>
      </c>
      <c r="U265" s="80">
        <f t="shared" ca="1" si="67"/>
        <v>1.9774762235469368E-5</v>
      </c>
      <c r="V265" s="80">
        <f t="shared" ca="1" si="67"/>
        <v>3.6763825657093463E-6</v>
      </c>
      <c r="W265" s="80">
        <f t="shared" ca="1" si="67"/>
        <v>6.7037949680326392E-7</v>
      </c>
      <c r="X265" s="80">
        <f t="shared" ca="1" si="67"/>
        <v>1.2101077295767482E-7</v>
      </c>
      <c r="Y265" s="80">
        <f t="shared" ca="1" si="67"/>
        <v>2.1775074521279691E-8</v>
      </c>
      <c r="Z265" s="80">
        <f t="shared" ca="1" si="67"/>
        <v>4.7994092033931679E-9</v>
      </c>
      <c r="AA265" s="80">
        <f ca="1">SUMPRODUCT(F265:Z265,FailureForCPU!E$17:Y$17)</f>
        <v>6.6368706425327473E-6</v>
      </c>
      <c r="AB265" s="80">
        <f t="shared" ca="1" si="63"/>
        <v>1.5517107971539445E-5</v>
      </c>
      <c r="AC265" s="12">
        <f t="shared" ca="1" si="64"/>
        <v>2.3380002145980545</v>
      </c>
      <c r="AD265" s="12">
        <f t="shared" ca="1" si="65"/>
        <v>1</v>
      </c>
    </row>
    <row r="266" spans="1:30">
      <c r="A266" s="56">
        <v>11</v>
      </c>
      <c r="B266" s="12">
        <f t="shared" si="59"/>
        <v>2.3458744600000001</v>
      </c>
      <c r="C266" s="12">
        <f t="shared" si="60"/>
        <v>2.4407563327546788</v>
      </c>
      <c r="D266" s="23">
        <f t="array" ref="D266">MATCH(MIN(ABS(ServerTypeA!$A$106:$A$165-$C266)),ABS(ServerTypeA!$A$106:$A$165-$C266),0)</f>
        <v>24</v>
      </c>
      <c r="E266" s="23">
        <f t="array" ref="E266">INDEX(ServerTypeA!$A$106:$A$165,MATCH(MIN(ABS(ServerTypeA!$A$106:$A$165-$C266)),ABS(ServerTypeA!$A$106:$A$165-$C266),0))</f>
        <v>2.4</v>
      </c>
      <c r="F266" s="80">
        <f t="shared" ca="1" si="66"/>
        <v>0</v>
      </c>
      <c r="G266" s="80">
        <f t="shared" ca="1" si="66"/>
        <v>3.1167221746766763E-19</v>
      </c>
      <c r="H266" s="80">
        <f t="shared" ca="1" si="66"/>
        <v>1.1873417779384991E-9</v>
      </c>
      <c r="I266" s="80">
        <f t="shared" ca="1" si="66"/>
        <v>2.5843525653936865E-5</v>
      </c>
      <c r="J266" s="80">
        <f t="shared" ca="1" si="66"/>
        <v>2.0136703289901359E-3</v>
      </c>
      <c r="K266" s="80">
        <f t="shared" ca="1" si="66"/>
        <v>4.4672201065323769E-2</v>
      </c>
      <c r="L266" s="80">
        <f t="shared" ca="1" si="66"/>
        <v>0.19829249902226209</v>
      </c>
      <c r="M266" s="80">
        <f t="shared" ca="1" si="66"/>
        <v>0.31510797306156924</v>
      </c>
      <c r="N266" s="80">
        <f t="shared" ca="1" si="66"/>
        <v>0.25169979823357103</v>
      </c>
      <c r="O266" s="80">
        <f t="shared" ca="1" si="66"/>
        <v>0.12572328963604151</v>
      </c>
      <c r="P266" s="80">
        <f t="shared" ca="1" si="67"/>
        <v>4.536838566680601E-2</v>
      </c>
      <c r="Q266" s="80">
        <f t="shared" ca="1" si="67"/>
        <v>1.3036812185681645E-2</v>
      </c>
      <c r="R266" s="80">
        <f t="shared" ca="1" si="67"/>
        <v>3.1898099842099237E-3</v>
      </c>
      <c r="S266" s="80">
        <f t="shared" ca="1" si="67"/>
        <v>6.9656424110131621E-4</v>
      </c>
      <c r="T266" s="80">
        <f t="shared" ca="1" si="67"/>
        <v>1.4040043471519326E-4</v>
      </c>
      <c r="U266" s="80">
        <f t="shared" ca="1" si="67"/>
        <v>2.676723389849478E-5</v>
      </c>
      <c r="V266" s="80">
        <f t="shared" ca="1" si="67"/>
        <v>4.9146294129887025E-6</v>
      </c>
      <c r="W266" s="80">
        <f t="shared" ca="1" si="67"/>
        <v>8.8077484361459568E-7</v>
      </c>
      <c r="X266" s="80">
        <f t="shared" ca="1" si="67"/>
        <v>1.5563918720484793E-7</v>
      </c>
      <c r="Y266" s="80">
        <f t="shared" ca="1" si="67"/>
        <v>2.7326620855028239E-8</v>
      </c>
      <c r="Z266" s="80">
        <f t="shared" ca="1" si="67"/>
        <v>5.8227692667500719E-9</v>
      </c>
      <c r="AA266" s="80">
        <f ca="1">SUMPRODUCT(F266:Z266,FailureForCPU!E$17:Y$17)</f>
        <v>9.0278360402225779E-6</v>
      </c>
      <c r="AB266" s="80">
        <f t="shared" ca="1" si="63"/>
        <v>2.203474798624418E-5</v>
      </c>
      <c r="AC266" s="12">
        <f t="shared" ca="1" si="64"/>
        <v>2.4407342980066926</v>
      </c>
      <c r="AD266" s="12">
        <f t="shared" ca="1" si="65"/>
        <v>1</v>
      </c>
    </row>
    <row r="267" spans="1:30">
      <c r="A267" s="56">
        <v>12</v>
      </c>
      <c r="B267" s="12">
        <f t="shared" si="59"/>
        <v>2.6348075555555552</v>
      </c>
      <c r="C267" s="12">
        <f t="shared" si="60"/>
        <v>2.7413756944231773</v>
      </c>
      <c r="D267" s="23">
        <f t="array" ref="D267">MATCH(MIN(ABS(ServerTypeA!$A$106:$A$165-$C267)),ABS(ServerTypeA!$A$106:$A$165-$C267),0)</f>
        <v>27</v>
      </c>
      <c r="E267" s="23">
        <f t="array" ref="E267">INDEX(ServerTypeA!$A$106:$A$165,MATCH(MIN(ABS(ServerTypeA!$A$106:$A$165-$C267)),ABS(ServerTypeA!$A$106:$A$165-$C267),0))</f>
        <v>2.7</v>
      </c>
      <c r="F267" s="80">
        <f t="shared" ca="1" si="66"/>
        <v>0</v>
      </c>
      <c r="G267" s="80">
        <f t="shared" ca="1" si="66"/>
        <v>1.239169873735288E-23</v>
      </c>
      <c r="H267" s="80">
        <f t="shared" ca="1" si="66"/>
        <v>3.9552592835852416E-12</v>
      </c>
      <c r="I267" s="80">
        <f t="shared" ca="1" si="66"/>
        <v>8.3133291341925023E-7</v>
      </c>
      <c r="J267" s="80">
        <f t="shared" ca="1" si="66"/>
        <v>2.0173249503252499E-4</v>
      </c>
      <c r="K267" s="80">
        <f t="shared" ca="1" si="66"/>
        <v>1.1612561064618721E-2</v>
      </c>
      <c r="L267" s="80">
        <f t="shared" ca="1" si="66"/>
        <v>0.10127489089389075</v>
      </c>
      <c r="M267" s="80">
        <f t="shared" ca="1" si="66"/>
        <v>0.26410179348864982</v>
      </c>
      <c r="N267" s="80">
        <f t="shared" ca="1" si="66"/>
        <v>0.30332291293257807</v>
      </c>
      <c r="O267" s="80">
        <f t="shared" ca="1" si="66"/>
        <v>0.19688249400125168</v>
      </c>
      <c r="P267" s="80">
        <f t="shared" ca="1" si="67"/>
        <v>8.5404838049038867E-2</v>
      </c>
      <c r="Q267" s="80">
        <f t="shared" ca="1" si="67"/>
        <v>2.7775370702588065E-2</v>
      </c>
      <c r="R267" s="80">
        <f t="shared" ca="1" si="67"/>
        <v>7.3381726042808237E-3</v>
      </c>
      <c r="S267" s="80">
        <f t="shared" ca="1" si="67"/>
        <v>1.6673465755835393E-3</v>
      </c>
      <c r="T267" s="80">
        <f t="shared" ca="1" si="67"/>
        <v>3.3952157254268922E-4</v>
      </c>
      <c r="U267" s="80">
        <f t="shared" ca="1" si="67"/>
        <v>6.386281174752817E-5</v>
      </c>
      <c r="V267" s="80">
        <f t="shared" ca="1" si="67"/>
        <v>1.1348687767864796E-5</v>
      </c>
      <c r="W267" s="80">
        <f t="shared" ca="1" si="67"/>
        <v>1.9378808218117882E-6</v>
      </c>
      <c r="X267" s="80">
        <f t="shared" ca="1" si="67"/>
        <v>3.2210748901473352E-7</v>
      </c>
      <c r="Y267" s="80">
        <f t="shared" ca="1" si="67"/>
        <v>5.2634755443037307E-8</v>
      </c>
      <c r="Z267" s="80">
        <f t="shared" ca="1" si="67"/>
        <v>1.016049411273201E-8</v>
      </c>
      <c r="AA267" s="80">
        <f ca="1">SUMPRODUCT(F267:Z267,FailureForCPU!E$17:Y$17)</f>
        <v>2.1635301689484909E-5</v>
      </c>
      <c r="AB267" s="80">
        <f t="shared" ca="1" si="63"/>
        <v>5.9310490193066632E-5</v>
      </c>
      <c r="AC267" s="12">
        <f t="shared" ca="1" si="64"/>
        <v>2.7413163839329844</v>
      </c>
      <c r="AD267" s="12">
        <f t="shared" ca="1" si="65"/>
        <v>1</v>
      </c>
    </row>
    <row r="268" spans="1:30">
      <c r="A268" s="56">
        <v>13</v>
      </c>
      <c r="B268" s="12">
        <f t="shared" si="59"/>
        <v>2.5970738657471264</v>
      </c>
      <c r="C268" s="12">
        <f t="shared" si="60"/>
        <v>2.7021158175932283</v>
      </c>
      <c r="D268" s="23">
        <f t="array" ref="D268">MATCH(MIN(ABS(ServerTypeA!$A$106:$A$165-$C268)),ABS(ServerTypeA!$A$106:$A$165-$C268),0)</f>
        <v>27</v>
      </c>
      <c r="E268" s="23">
        <f t="array" ref="E268">INDEX(ServerTypeA!$A$106:$A$165,MATCH(MIN(ABS(ServerTypeA!$A$106:$A$165-$C268)),ABS(ServerTypeA!$A$106:$A$165-$C268),0))</f>
        <v>2.7</v>
      </c>
      <c r="F268" s="80">
        <f t="shared" ca="1" si="66"/>
        <v>0</v>
      </c>
      <c r="G268" s="80">
        <f t="shared" ca="1" si="66"/>
        <v>1.239169873735288E-23</v>
      </c>
      <c r="H268" s="80">
        <f t="shared" ca="1" si="66"/>
        <v>3.9552592835852416E-12</v>
      </c>
      <c r="I268" s="80">
        <f t="shared" ca="1" si="66"/>
        <v>8.3133291341925023E-7</v>
      </c>
      <c r="J268" s="80">
        <f t="shared" ca="1" si="66"/>
        <v>2.0173249503252499E-4</v>
      </c>
      <c r="K268" s="80">
        <f t="shared" ca="1" si="66"/>
        <v>1.1612561064618721E-2</v>
      </c>
      <c r="L268" s="80">
        <f t="shared" ca="1" si="66"/>
        <v>0.10127489089389075</v>
      </c>
      <c r="M268" s="80">
        <f t="shared" ca="1" si="66"/>
        <v>0.26410179348864982</v>
      </c>
      <c r="N268" s="80">
        <f t="shared" ca="1" si="66"/>
        <v>0.30332291293257807</v>
      </c>
      <c r="O268" s="80">
        <f t="shared" ca="1" si="66"/>
        <v>0.19688249400125168</v>
      </c>
      <c r="P268" s="80">
        <f t="shared" ca="1" si="67"/>
        <v>8.5404838049038867E-2</v>
      </c>
      <c r="Q268" s="80">
        <f t="shared" ca="1" si="67"/>
        <v>2.7775370702588065E-2</v>
      </c>
      <c r="R268" s="80">
        <f t="shared" ca="1" si="67"/>
        <v>7.3381726042808237E-3</v>
      </c>
      <c r="S268" s="80">
        <f t="shared" ca="1" si="67"/>
        <v>1.6673465755835393E-3</v>
      </c>
      <c r="T268" s="80">
        <f t="shared" ca="1" si="67"/>
        <v>3.3952157254268922E-4</v>
      </c>
      <c r="U268" s="80">
        <f t="shared" ca="1" si="67"/>
        <v>6.386281174752817E-5</v>
      </c>
      <c r="V268" s="80">
        <f t="shared" ca="1" si="67"/>
        <v>1.1348687767864796E-5</v>
      </c>
      <c r="W268" s="80">
        <f t="shared" ca="1" si="67"/>
        <v>1.9378808218117882E-6</v>
      </c>
      <c r="X268" s="80">
        <f t="shared" ca="1" si="67"/>
        <v>3.2210748901473352E-7</v>
      </c>
      <c r="Y268" s="80">
        <f t="shared" ca="1" si="67"/>
        <v>5.2634755443037307E-8</v>
      </c>
      <c r="Z268" s="80">
        <f t="shared" ca="1" si="67"/>
        <v>1.016049411273201E-8</v>
      </c>
      <c r="AA268" s="80">
        <f ca="1">SUMPRODUCT(F268:Z268,FailureForCPU!E$17:Y$17)</f>
        <v>2.1635301689484909E-5</v>
      </c>
      <c r="AB268" s="80">
        <f t="shared" ca="1" si="63"/>
        <v>5.8461090913558672E-5</v>
      </c>
      <c r="AC268" s="12">
        <f t="shared" ca="1" si="64"/>
        <v>2.7020573565023147</v>
      </c>
      <c r="AD268" s="12">
        <f t="shared" ca="1" si="65"/>
        <v>1</v>
      </c>
    </row>
    <row r="269" spans="1:30">
      <c r="A269" s="56">
        <v>14</v>
      </c>
      <c r="B269" s="12">
        <f t="shared" si="59"/>
        <v>2.6367986977777775</v>
      </c>
      <c r="C269" s="12">
        <f t="shared" si="60"/>
        <v>2.7434473709221425</v>
      </c>
      <c r="D269" s="23">
        <f t="array" ref="D269">MATCH(MIN(ABS(ServerTypeA!$A$106:$A$165-$C269)),ABS(ServerTypeA!$A$106:$A$165-$C269),0)</f>
        <v>27</v>
      </c>
      <c r="E269" s="23">
        <f t="array" ref="E269">INDEX(ServerTypeA!$A$106:$A$165,MATCH(MIN(ABS(ServerTypeA!$A$106:$A$165-$C269)),ABS(ServerTypeA!$A$106:$A$165-$C269),0))</f>
        <v>2.7</v>
      </c>
      <c r="F269" s="80">
        <f t="shared" ca="1" si="66"/>
        <v>0</v>
      </c>
      <c r="G269" s="80">
        <f t="shared" ca="1" si="66"/>
        <v>1.239169873735288E-23</v>
      </c>
      <c r="H269" s="80">
        <f t="shared" ca="1" si="66"/>
        <v>3.9552592835852416E-12</v>
      </c>
      <c r="I269" s="80">
        <f t="shared" ca="1" si="66"/>
        <v>8.3133291341925023E-7</v>
      </c>
      <c r="J269" s="80">
        <f t="shared" ca="1" si="66"/>
        <v>2.0173249503252499E-4</v>
      </c>
      <c r="K269" s="80">
        <f t="shared" ca="1" si="66"/>
        <v>1.1612561064618721E-2</v>
      </c>
      <c r="L269" s="80">
        <f t="shared" ca="1" si="66"/>
        <v>0.10127489089389075</v>
      </c>
      <c r="M269" s="80">
        <f t="shared" ca="1" si="66"/>
        <v>0.26410179348864982</v>
      </c>
      <c r="N269" s="80">
        <f t="shared" ca="1" si="66"/>
        <v>0.30332291293257807</v>
      </c>
      <c r="O269" s="80">
        <f t="shared" ca="1" si="66"/>
        <v>0.19688249400125168</v>
      </c>
      <c r="P269" s="80">
        <f t="shared" ca="1" si="67"/>
        <v>8.5404838049038867E-2</v>
      </c>
      <c r="Q269" s="80">
        <f t="shared" ca="1" si="67"/>
        <v>2.7775370702588065E-2</v>
      </c>
      <c r="R269" s="80">
        <f t="shared" ca="1" si="67"/>
        <v>7.3381726042808237E-3</v>
      </c>
      <c r="S269" s="80">
        <f t="shared" ca="1" si="67"/>
        <v>1.6673465755835393E-3</v>
      </c>
      <c r="T269" s="80">
        <f t="shared" ca="1" si="67"/>
        <v>3.3952157254268922E-4</v>
      </c>
      <c r="U269" s="80">
        <f t="shared" ca="1" si="67"/>
        <v>6.386281174752817E-5</v>
      </c>
      <c r="V269" s="80">
        <f t="shared" ca="1" si="67"/>
        <v>1.1348687767864796E-5</v>
      </c>
      <c r="W269" s="80">
        <f t="shared" ca="1" si="67"/>
        <v>1.9378808218117882E-6</v>
      </c>
      <c r="X269" s="80">
        <f t="shared" ca="1" si="67"/>
        <v>3.2210748901473352E-7</v>
      </c>
      <c r="Y269" s="80">
        <f t="shared" ca="1" si="67"/>
        <v>5.2634755443037307E-8</v>
      </c>
      <c r="Z269" s="80">
        <f t="shared" ca="1" si="67"/>
        <v>1.016049411273201E-8</v>
      </c>
      <c r="AA269" s="80">
        <f ca="1">SUMPRODUCT(F269:Z269,FailureForCPU!E$17:Y$17)</f>
        <v>2.1635301689484909E-5</v>
      </c>
      <c r="AB269" s="80">
        <f t="shared" ca="1" si="63"/>
        <v>5.9355311539124762E-5</v>
      </c>
      <c r="AC269" s="12">
        <f t="shared" ca="1" si="64"/>
        <v>2.7433880156106034</v>
      </c>
      <c r="AD269" s="12">
        <f t="shared" ca="1" si="65"/>
        <v>1</v>
      </c>
    </row>
    <row r="270" spans="1:30">
      <c r="A270" s="56">
        <v>15</v>
      </c>
      <c r="B270" s="12">
        <f t="shared" si="59"/>
        <v>2.6291948468199231</v>
      </c>
      <c r="C270" s="12">
        <f t="shared" si="60"/>
        <v>2.735535972552297</v>
      </c>
      <c r="D270" s="23">
        <f t="array" ref="D270">MATCH(MIN(ABS(ServerTypeA!$A$106:$A$165-$C270)),ABS(ServerTypeA!$A$106:$A$165-$C270),0)</f>
        <v>27</v>
      </c>
      <c r="E270" s="23">
        <f t="array" ref="E270">INDEX(ServerTypeA!$A$106:$A$165,MATCH(MIN(ABS(ServerTypeA!$A$106:$A$165-$C270)),ABS(ServerTypeA!$A$106:$A$165-$C270),0))</f>
        <v>2.7</v>
      </c>
      <c r="F270" s="80">
        <f t="shared" ca="1" si="66"/>
        <v>0</v>
      </c>
      <c r="G270" s="80">
        <f t="shared" ca="1" si="66"/>
        <v>1.239169873735288E-23</v>
      </c>
      <c r="H270" s="80">
        <f t="shared" ca="1" si="66"/>
        <v>3.9552592835852416E-12</v>
      </c>
      <c r="I270" s="80">
        <f t="shared" ca="1" si="66"/>
        <v>8.3133291341925023E-7</v>
      </c>
      <c r="J270" s="80">
        <f t="shared" ca="1" si="66"/>
        <v>2.0173249503252499E-4</v>
      </c>
      <c r="K270" s="80">
        <f t="shared" ca="1" si="66"/>
        <v>1.1612561064618721E-2</v>
      </c>
      <c r="L270" s="80">
        <f t="shared" ca="1" si="66"/>
        <v>0.10127489089389075</v>
      </c>
      <c r="M270" s="80">
        <f t="shared" ca="1" si="66"/>
        <v>0.26410179348864982</v>
      </c>
      <c r="N270" s="80">
        <f t="shared" ca="1" si="66"/>
        <v>0.30332291293257807</v>
      </c>
      <c r="O270" s="80">
        <f t="shared" ca="1" si="66"/>
        <v>0.19688249400125168</v>
      </c>
      <c r="P270" s="80">
        <f t="shared" ca="1" si="67"/>
        <v>8.5404838049038867E-2</v>
      </c>
      <c r="Q270" s="80">
        <f t="shared" ca="1" si="67"/>
        <v>2.7775370702588065E-2</v>
      </c>
      <c r="R270" s="80">
        <f t="shared" ca="1" si="67"/>
        <v>7.3381726042808237E-3</v>
      </c>
      <c r="S270" s="80">
        <f t="shared" ca="1" si="67"/>
        <v>1.6673465755835393E-3</v>
      </c>
      <c r="T270" s="80">
        <f t="shared" ca="1" si="67"/>
        <v>3.3952157254268922E-4</v>
      </c>
      <c r="U270" s="80">
        <f t="shared" ca="1" si="67"/>
        <v>6.386281174752817E-5</v>
      </c>
      <c r="V270" s="80">
        <f t="shared" ca="1" si="67"/>
        <v>1.1348687767864796E-5</v>
      </c>
      <c r="W270" s="80">
        <f t="shared" ca="1" si="67"/>
        <v>1.9378808218117882E-6</v>
      </c>
      <c r="X270" s="80">
        <f t="shared" ca="1" si="67"/>
        <v>3.2210748901473352E-7</v>
      </c>
      <c r="Y270" s="80">
        <f t="shared" ca="1" si="67"/>
        <v>5.2634755443037307E-8</v>
      </c>
      <c r="Z270" s="80">
        <f t="shared" ca="1" si="67"/>
        <v>1.016049411273201E-8</v>
      </c>
      <c r="AA270" s="80">
        <f ca="1">SUMPRODUCT(F270:Z270,FailureForCPU!E$17:Y$17)</f>
        <v>2.1635301689484909E-5</v>
      </c>
      <c r="AB270" s="80">
        <f t="shared" ca="1" si="63"/>
        <v>5.9184146048607454E-5</v>
      </c>
      <c r="AC270" s="12">
        <f t="shared" ca="1" si="64"/>
        <v>2.7354767884062485</v>
      </c>
      <c r="AD270" s="12">
        <f t="shared" ca="1" si="65"/>
        <v>1</v>
      </c>
    </row>
    <row r="271" spans="1:30">
      <c r="A271" s="56">
        <v>16</v>
      </c>
      <c r="B271" s="12">
        <f t="shared" si="59"/>
        <v>2.7095263688888891</v>
      </c>
      <c r="C271" s="12">
        <f t="shared" si="60"/>
        <v>2.8191166050852292</v>
      </c>
      <c r="D271" s="23">
        <f t="array" ref="D271">MATCH(MIN(ABS(ServerTypeA!$A$106:$A$165-$C271)),ABS(ServerTypeA!$A$106:$A$165-$C271),0)</f>
        <v>28</v>
      </c>
      <c r="E271" s="23">
        <f t="array" ref="E271">INDEX(ServerTypeA!$A$106:$A$165,MATCH(MIN(ABS(ServerTypeA!$A$106:$A$165-$C271)),ABS(ServerTypeA!$A$106:$A$165-$C271),0))</f>
        <v>2.8</v>
      </c>
      <c r="F271" s="80">
        <f t="shared" ca="1" si="66"/>
        <v>0</v>
      </c>
      <c r="G271" s="80">
        <f t="shared" ca="1" si="66"/>
        <v>3.2014838861642734E-25</v>
      </c>
      <c r="H271" s="80">
        <f t="shared" ca="1" si="66"/>
        <v>4.9265370227173325E-13</v>
      </c>
      <c r="I271" s="80">
        <f t="shared" ca="1" si="66"/>
        <v>2.3260569688671958E-7</v>
      </c>
      <c r="J271" s="80">
        <f t="shared" ca="1" si="66"/>
        <v>8.4722779199233693E-5</v>
      </c>
      <c r="K271" s="80">
        <f t="shared" ca="1" si="66"/>
        <v>6.8671365489865188E-3</v>
      </c>
      <c r="L271" s="80">
        <f t="shared" ca="1" si="66"/>
        <v>7.6093165585766731E-2</v>
      </c>
      <c r="M271" s="80">
        <f t="shared" ca="1" si="66"/>
        <v>0.2365929721208383</v>
      </c>
      <c r="N271" s="80">
        <f t="shared" ca="1" si="66"/>
        <v>0.30952971082579805</v>
      </c>
      <c r="O271" s="80">
        <f t="shared" ca="1" si="66"/>
        <v>0.22098283242873895</v>
      </c>
      <c r="P271" s="80">
        <f t="shared" ca="1" si="67"/>
        <v>0.10260586206497568</v>
      </c>
      <c r="Q271" s="80">
        <f t="shared" ca="1" si="67"/>
        <v>3.4968210674430344E-2</v>
      </c>
      <c r="R271" s="80">
        <f t="shared" ca="1" si="67"/>
        <v>9.5212444115283512E-3</v>
      </c>
      <c r="S271" s="80">
        <f t="shared" ca="1" si="67"/>
        <v>2.2003932167329321E-3</v>
      </c>
      <c r="T271" s="80">
        <f t="shared" ca="1" si="67"/>
        <v>4.5096087870266643E-4</v>
      </c>
      <c r="U271" s="80">
        <f t="shared" ca="1" si="67"/>
        <v>8.4651126864176973E-5</v>
      </c>
      <c r="V271" s="80">
        <f t="shared" ca="1" si="67"/>
        <v>1.4909074353308682E-5</v>
      </c>
      <c r="W271" s="80">
        <f t="shared" ca="1" si="67"/>
        <v>2.5090146867912111E-6</v>
      </c>
      <c r="X271" s="80">
        <f t="shared" ca="1" si="67"/>
        <v>4.0910072174327183E-7</v>
      </c>
      <c r="Y271" s="80">
        <f t="shared" ca="1" si="67"/>
        <v>6.5325990061815276E-8</v>
      </c>
      <c r="Z271" s="80">
        <f t="shared" ca="1" si="67"/>
        <v>1.2215496614231824E-8</v>
      </c>
      <c r="AA271" s="80">
        <f ca="1">SUMPRODUCT(F271:Z271,FailureForCPU!E$17:Y$17)</f>
        <v>2.8603509763217017E-5</v>
      </c>
      <c r="AB271" s="80">
        <f t="shared" ca="1" si="63"/>
        <v>8.0636629337202569E-5</v>
      </c>
      <c r="AC271" s="12">
        <f t="shared" ca="1" si="64"/>
        <v>2.8190359684558919</v>
      </c>
      <c r="AD271" s="12">
        <f t="shared" ca="1" si="65"/>
        <v>1</v>
      </c>
    </row>
    <row r="272" spans="1:30">
      <c r="A272" s="56">
        <v>17</v>
      </c>
      <c r="B272" s="12">
        <f t="shared" si="59"/>
        <v>2.6672917514942527</v>
      </c>
      <c r="C272" s="12">
        <f t="shared" si="60"/>
        <v>2.7751737549348294</v>
      </c>
      <c r="D272" s="23">
        <f t="array" ref="D272">MATCH(MIN(ABS(ServerTypeA!$A$106:$A$165-$C272)),ABS(ServerTypeA!$A$106:$A$165-$C272),0)</f>
        <v>28</v>
      </c>
      <c r="E272" s="23">
        <f t="array" ref="E272">INDEX(ServerTypeA!$A$106:$A$165,MATCH(MIN(ABS(ServerTypeA!$A$106:$A$165-$C272)),ABS(ServerTypeA!$A$106:$A$165-$C272),0))</f>
        <v>2.8</v>
      </c>
      <c r="F272" s="80">
        <f t="shared" ca="1" si="66"/>
        <v>0</v>
      </c>
      <c r="G272" s="80">
        <f t="shared" ca="1" si="66"/>
        <v>3.2014838861642734E-25</v>
      </c>
      <c r="H272" s="80">
        <f t="shared" ca="1" si="66"/>
        <v>4.9265370227173325E-13</v>
      </c>
      <c r="I272" s="80">
        <f t="shared" ca="1" si="66"/>
        <v>2.3260569688671958E-7</v>
      </c>
      <c r="J272" s="80">
        <f t="shared" ca="1" si="66"/>
        <v>8.4722779199233693E-5</v>
      </c>
      <c r="K272" s="80">
        <f t="shared" ca="1" si="66"/>
        <v>6.8671365489865188E-3</v>
      </c>
      <c r="L272" s="80">
        <f t="shared" ca="1" si="66"/>
        <v>7.6093165585766731E-2</v>
      </c>
      <c r="M272" s="80">
        <f t="shared" ca="1" si="66"/>
        <v>0.2365929721208383</v>
      </c>
      <c r="N272" s="80">
        <f t="shared" ca="1" si="66"/>
        <v>0.30952971082579805</v>
      </c>
      <c r="O272" s="80">
        <f t="shared" ca="1" si="66"/>
        <v>0.22098283242873895</v>
      </c>
      <c r="P272" s="80">
        <f t="shared" ca="1" si="67"/>
        <v>0.10260586206497568</v>
      </c>
      <c r="Q272" s="80">
        <f t="shared" ca="1" si="67"/>
        <v>3.4968210674430344E-2</v>
      </c>
      <c r="R272" s="80">
        <f t="shared" ca="1" si="67"/>
        <v>9.5212444115283512E-3</v>
      </c>
      <c r="S272" s="80">
        <f t="shared" ca="1" si="67"/>
        <v>2.2003932167329321E-3</v>
      </c>
      <c r="T272" s="80">
        <f t="shared" ca="1" si="67"/>
        <v>4.5096087870266643E-4</v>
      </c>
      <c r="U272" s="80">
        <f t="shared" ca="1" si="67"/>
        <v>8.4651126864176973E-5</v>
      </c>
      <c r="V272" s="80">
        <f t="shared" ca="1" si="67"/>
        <v>1.4909074353308682E-5</v>
      </c>
      <c r="W272" s="80">
        <f t="shared" ca="1" si="67"/>
        <v>2.5090146867912111E-6</v>
      </c>
      <c r="X272" s="80">
        <f t="shared" ca="1" si="67"/>
        <v>4.0910072174327183E-7</v>
      </c>
      <c r="Y272" s="80">
        <f t="shared" ca="1" si="67"/>
        <v>6.5325990061815276E-8</v>
      </c>
      <c r="Z272" s="80">
        <f t="shared" ca="1" si="67"/>
        <v>1.2215496614231824E-8</v>
      </c>
      <c r="AA272" s="80">
        <f ca="1">SUMPRODUCT(F272:Z272,FailureForCPU!E$17:Y$17)</f>
        <v>2.8603509763217017E-5</v>
      </c>
      <c r="AB272" s="80">
        <f t="shared" ca="1" si="63"/>
        <v>7.9379709593902029E-5</v>
      </c>
      <c r="AC272" s="12">
        <f t="shared" ca="1" si="64"/>
        <v>2.7750943752252355</v>
      </c>
      <c r="AD272" s="12">
        <f t="shared" ca="1" si="65"/>
        <v>1</v>
      </c>
    </row>
    <row r="273" spans="1:30">
      <c r="A273" s="56">
        <v>18</v>
      </c>
      <c r="B273" s="12">
        <f t="shared" si="59"/>
        <v>3.6254902505747126</v>
      </c>
      <c r="C273" s="12">
        <f t="shared" si="60"/>
        <v>3.7721278096145761</v>
      </c>
      <c r="D273" s="23">
        <f t="array" ref="D273">MATCH(MIN(ABS(ServerTypeA!$A$106:$A$165-$C273)),ABS(ServerTypeA!$A$106:$A$165-$C273),0)</f>
        <v>38</v>
      </c>
      <c r="E273" s="23">
        <f t="array" ref="E273">INDEX(ServerTypeA!$A$106:$A$165,MATCH(MIN(ABS(ServerTypeA!$A$106:$A$165-$C273)),ABS(ServerTypeA!$A$106:$A$165-$C273),0))</f>
        <v>3.8</v>
      </c>
      <c r="F273" s="80">
        <f t="shared" ca="1" si="66"/>
        <v>0</v>
      </c>
      <c r="G273" s="80">
        <f t="shared" ca="1" si="66"/>
        <v>6.5312926879350731E-46</v>
      </c>
      <c r="H273" s="80">
        <f t="shared" ca="1" si="66"/>
        <v>2.8143973933355599E-25</v>
      </c>
      <c r="I273" s="80">
        <f t="shared" ca="1" si="66"/>
        <v>3.5321807014289214E-15</v>
      </c>
      <c r="J273" s="80">
        <f t="shared" ca="1" si="66"/>
        <v>2.3257528185905219E-10</v>
      </c>
      <c r="K273" s="80">
        <f t="shared" ca="1" si="66"/>
        <v>1.6347075631228405E-6</v>
      </c>
      <c r="L273" s="80">
        <f t="shared" ca="1" si="66"/>
        <v>4.0356941892139009E-4</v>
      </c>
      <c r="M273" s="80">
        <f t="shared" ca="1" si="66"/>
        <v>1.2210671899512637E-2</v>
      </c>
      <c r="N273" s="80">
        <f t="shared" ca="1" si="66"/>
        <v>8.9540096173005512E-2</v>
      </c>
      <c r="O273" s="80">
        <f t="shared" ca="1" si="66"/>
        <v>0.23830884811724729</v>
      </c>
      <c r="P273" s="80">
        <f t="shared" ca="1" si="67"/>
        <v>0.29982862470348182</v>
      </c>
      <c r="Q273" s="80">
        <f t="shared" ca="1" si="67"/>
        <v>0.21473289900032877</v>
      </c>
      <c r="R273" s="80">
        <f t="shared" ca="1" si="67"/>
        <v>0.10021223078119768</v>
      </c>
      <c r="S273" s="80">
        <f t="shared" ca="1" si="67"/>
        <v>3.3680272588844318E-2</v>
      </c>
      <c r="T273" s="80">
        <f t="shared" ca="1" si="67"/>
        <v>8.7860043976981661E-3</v>
      </c>
      <c r="U273" s="80">
        <f t="shared" ca="1" si="67"/>
        <v>1.8827963306442541E-3</v>
      </c>
      <c r="V273" s="80">
        <f t="shared" ca="1" si="67"/>
        <v>3.4615917330360624E-4</v>
      </c>
      <c r="W273" s="80">
        <f t="shared" ca="1" si="67"/>
        <v>5.6468823641075971E-5</v>
      </c>
      <c r="X273" s="80">
        <f t="shared" ca="1" si="67"/>
        <v>8.3910143091614486E-6</v>
      </c>
      <c r="Y273" s="80">
        <f t="shared" ca="1" si="67"/>
        <v>1.1595675561970609E-6</v>
      </c>
      <c r="Z273" s="80">
        <f t="shared" ca="1" si="67"/>
        <v>1.7307016619838578E-7</v>
      </c>
      <c r="AA273" s="80">
        <f ca="1">SUMPRODUCT(F273:Z273,FailureForCPU!E$17:Y$17)</f>
        <v>4.8868580245078712E-4</v>
      </c>
      <c r="AB273" s="80">
        <f t="shared" ca="1" si="63"/>
        <v>1.843385305588429E-3</v>
      </c>
      <c r="AC273" s="12">
        <f t="shared" ca="1" si="64"/>
        <v>3.7702844243089877</v>
      </c>
      <c r="AD273" s="12">
        <f t="shared" ca="1" si="65"/>
        <v>1</v>
      </c>
    </row>
    <row r="274" spans="1:30">
      <c r="A274" s="56">
        <v>19</v>
      </c>
      <c r="B274" s="12">
        <f t="shared" si="59"/>
        <v>4.399450104444445</v>
      </c>
      <c r="C274" s="12">
        <f t="shared" si="60"/>
        <v>4.5773914530196178</v>
      </c>
      <c r="D274" s="23">
        <f t="array" ref="D274">MATCH(MIN(ABS(ServerTypeA!$A$106:$A$165-$C274)),ABS(ServerTypeA!$A$106:$A$165-$C274),0)</f>
        <v>46</v>
      </c>
      <c r="E274" s="23">
        <f t="array" ref="E274">INDEX(ServerTypeA!$A$106:$A$165,MATCH(MIN(ABS(ServerTypeA!$A$106:$A$165-$C274)),ABS(ServerTypeA!$A$106:$A$165-$C274),0))</f>
        <v>4.5999999999999996</v>
      </c>
      <c r="F274" s="80">
        <f t="shared" ca="1" si="66"/>
        <v>0</v>
      </c>
      <c r="G274" s="80">
        <f t="shared" ca="1" si="66"/>
        <v>1.9450312335676643E-74</v>
      </c>
      <c r="H274" s="80">
        <f t="shared" ca="1" si="66"/>
        <v>1.9518708621362601E-43</v>
      </c>
      <c r="I274" s="80">
        <f t="shared" ca="1" si="66"/>
        <v>1.1056346077656767E-27</v>
      </c>
      <c r="J274" s="80">
        <f t="shared" ca="1" si="66"/>
        <v>7.2268934232827396E-20</v>
      </c>
      <c r="K274" s="80">
        <f t="shared" ca="1" si="66"/>
        <v>2.4352876517075336E-13</v>
      </c>
      <c r="L274" s="80">
        <f t="shared" ca="1" si="66"/>
        <v>5.1888508943521619E-9</v>
      </c>
      <c r="M274" s="80">
        <f t="shared" ca="1" si="66"/>
        <v>4.4489077413810326E-6</v>
      </c>
      <c r="N274" s="80">
        <f t="shared" ca="1" si="66"/>
        <v>4.3815966701965525E-4</v>
      </c>
      <c r="O274" s="80">
        <f t="shared" ca="1" si="66"/>
        <v>9.341943128058583E-3</v>
      </c>
      <c r="P274" s="80">
        <f t="shared" ca="1" si="67"/>
        <v>6.4364624363827283E-2</v>
      </c>
      <c r="Q274" s="80">
        <f t="shared" ca="1" si="67"/>
        <v>0.18724244103695353</v>
      </c>
      <c r="R274" s="80">
        <f t="shared" ca="1" si="67"/>
        <v>0.27804414187644511</v>
      </c>
      <c r="S274" s="80">
        <f t="shared" ca="1" si="67"/>
        <v>0.24268112672331099</v>
      </c>
      <c r="T274" s="80">
        <f t="shared" ca="1" si="67"/>
        <v>0.13866743727673425</v>
      </c>
      <c r="U274" s="80">
        <f t="shared" ca="1" si="67"/>
        <v>5.6395391897555269E-2</v>
      </c>
      <c r="V274" s="80">
        <f t="shared" ca="1" si="67"/>
        <v>1.7430667954212442E-2</v>
      </c>
      <c r="W274" s="80">
        <f t="shared" ca="1" si="67"/>
        <v>4.3122263170891628E-3</v>
      </c>
      <c r="X274" s="80">
        <f t="shared" ca="1" si="67"/>
        <v>8.899336850339834E-4</v>
      </c>
      <c r="Y274" s="80">
        <f t="shared" ca="1" si="67"/>
        <v>1.583822800058643E-4</v>
      </c>
      <c r="Z274" s="80">
        <f t="shared" ca="1" si="67"/>
        <v>2.9069696918071486E-5</v>
      </c>
      <c r="AA274" s="80">
        <f ca="1">SUMPRODUCT(F274:Z274,FailureForCPU!E$17:Y$17)</f>
        <v>6.5789195971424942E-3</v>
      </c>
      <c r="AB274" s="80">
        <f t="shared" ca="1" si="63"/>
        <v>3.0114290334063321E-2</v>
      </c>
      <c r="AC274" s="12">
        <f t="shared" ca="1" si="64"/>
        <v>4.5472771626855542</v>
      </c>
      <c r="AD274" s="12">
        <f t="shared" ca="1" si="65"/>
        <v>1</v>
      </c>
    </row>
    <row r="275" spans="1:30">
      <c r="A275" s="56">
        <v>20</v>
      </c>
      <c r="B275" s="12">
        <f t="shared" si="59"/>
        <v>4.2813726177777767</v>
      </c>
      <c r="C275" s="12">
        <f t="shared" si="60"/>
        <v>4.4545381723980171</v>
      </c>
      <c r="D275" s="23">
        <f t="array" ref="D275">MATCH(MIN(ABS(ServerTypeA!$A$106:$A$165-$C275)),ABS(ServerTypeA!$A$106:$A$165-$C275),0)</f>
        <v>45</v>
      </c>
      <c r="E275" s="23">
        <f t="array" ref="E275">INDEX(ServerTypeA!$A$106:$A$165,MATCH(MIN(ABS(ServerTypeA!$A$106:$A$165-$C275)),ABS(ServerTypeA!$A$106:$A$165-$C275),0))</f>
        <v>4.5</v>
      </c>
      <c r="F275" s="80">
        <f t="shared" ca="1" si="66"/>
        <v>0</v>
      </c>
      <c r="G275" s="80">
        <f t="shared" ca="1" si="66"/>
        <v>6.9655455666713566E-70</v>
      </c>
      <c r="H275" s="80">
        <f t="shared" ca="1" si="66"/>
        <v>1.8893711733857201E-40</v>
      </c>
      <c r="I275" s="80">
        <f t="shared" ca="1" si="66"/>
        <v>1.4424705501454407E-25</v>
      </c>
      <c r="J275" s="80">
        <f t="shared" ca="1" si="66"/>
        <v>3.2057972095918001E-18</v>
      </c>
      <c r="K275" s="80">
        <f t="shared" ca="1" si="66"/>
        <v>4.0531579361925604E-12</v>
      </c>
      <c r="L275" s="80">
        <f t="shared" ca="1" si="66"/>
        <v>4.1981610680679031E-8</v>
      </c>
      <c r="M275" s="80">
        <f t="shared" ca="1" si="66"/>
        <v>2.0762947292799943E-5</v>
      </c>
      <c r="N275" s="80">
        <f t="shared" ca="1" si="66"/>
        <v>1.3275589332837345E-3</v>
      </c>
      <c r="O275" s="80">
        <f t="shared" ca="1" si="66"/>
        <v>1.9962450271537202E-2</v>
      </c>
      <c r="P275" s="80">
        <f t="shared" ca="1" si="67"/>
        <v>0.10295681050996575</v>
      </c>
      <c r="Q275" s="80">
        <f t="shared" ca="1" si="67"/>
        <v>0.23462145619464825</v>
      </c>
      <c r="R275" s="80">
        <f t="shared" ca="1" si="67"/>
        <v>0.28311128601389479</v>
      </c>
      <c r="S275" s="80">
        <f t="shared" ca="1" si="67"/>
        <v>0.20704130454057612</v>
      </c>
      <c r="T275" s="80">
        <f t="shared" ca="1" si="67"/>
        <v>0.10172827806463602</v>
      </c>
      <c r="U275" s="80">
        <f t="shared" ca="1" si="67"/>
        <v>3.6371972182144274E-2</v>
      </c>
      <c r="V275" s="80">
        <f t="shared" ca="1" si="67"/>
        <v>1.0072113546646499E-2</v>
      </c>
      <c r="W275" s="80">
        <f t="shared" ca="1" si="67"/>
        <v>2.2691400981915688E-3</v>
      </c>
      <c r="X275" s="80">
        <f t="shared" ca="1" si="67"/>
        <v>4.3248403269002811E-4</v>
      </c>
      <c r="Y275" s="80">
        <f t="shared" ca="1" si="67"/>
        <v>7.1954245743133249E-5</v>
      </c>
      <c r="Z275" s="80">
        <f t="shared" ca="1" si="67"/>
        <v>1.2386433085986859E-5</v>
      </c>
      <c r="AA275" s="80">
        <f ca="1">SUMPRODUCT(F275:Z275,FailureForCPU!E$17:Y$17)</f>
        <v>4.7954122752003475E-3</v>
      </c>
      <c r="AB275" s="80">
        <f t="shared" ca="1" si="63"/>
        <v>2.1361347032265974E-2</v>
      </c>
      <c r="AC275" s="12">
        <f t="shared" ca="1" si="64"/>
        <v>4.4331768253657513</v>
      </c>
      <c r="AD275" s="12">
        <f t="shared" ca="1" si="65"/>
        <v>1</v>
      </c>
    </row>
    <row r="276" spans="1:30">
      <c r="A276" s="56">
        <v>21</v>
      </c>
      <c r="B276" s="12">
        <f t="shared" si="59"/>
        <v>3.3526749333333328</v>
      </c>
      <c r="C276" s="12">
        <f t="shared" si="60"/>
        <v>3.4882781302803396</v>
      </c>
      <c r="D276" s="23">
        <f t="array" ref="D276">MATCH(MIN(ABS(ServerTypeA!$A$106:$A$165-$C276)),ABS(ServerTypeA!$A$106:$A$165-$C276),0)</f>
        <v>35</v>
      </c>
      <c r="E276" s="23">
        <f t="array" ref="E276">INDEX(ServerTypeA!$A$106:$A$165,MATCH(MIN(ABS(ServerTypeA!$A$106:$A$165-$C276)),ABS(ServerTypeA!$A$106:$A$165-$C276),0))</f>
        <v>3.5</v>
      </c>
      <c r="F276" s="80">
        <f t="shared" ca="1" si="66"/>
        <v>0</v>
      </c>
      <c r="G276" s="80">
        <f t="shared" ca="1" si="66"/>
        <v>1.50366484881224E-38</v>
      </c>
      <c r="H276" s="80">
        <f t="shared" ca="1" si="66"/>
        <v>7.9630702305120814E-21</v>
      </c>
      <c r="I276" s="80">
        <f t="shared" ca="1" si="66"/>
        <v>2.8669683470833189E-12</v>
      </c>
      <c r="J276" s="80">
        <f t="shared" ca="1" si="66"/>
        <v>3.0218697383724031E-8</v>
      </c>
      <c r="K276" s="80">
        <f t="shared" ca="1" si="66"/>
        <v>4.3199956064287151E-5</v>
      </c>
      <c r="L276" s="80">
        <f t="shared" ca="1" si="66"/>
        <v>3.5013605088770605E-3</v>
      </c>
      <c r="M276" s="80">
        <f t="shared" ca="1" si="66"/>
        <v>4.6796239906555681E-2</v>
      </c>
      <c r="N276" s="80">
        <f t="shared" ca="1" si="66"/>
        <v>0.1836888456785849</v>
      </c>
      <c r="O276" s="80">
        <f t="shared" ca="1" si="66"/>
        <v>0.30021993974432037</v>
      </c>
      <c r="P276" s="80">
        <f t="shared" ca="1" si="67"/>
        <v>0.25809558618541772</v>
      </c>
      <c r="Q276" s="80">
        <f t="shared" ca="1" si="67"/>
        <v>0.13763547452249747</v>
      </c>
      <c r="R276" s="80">
        <f t="shared" ca="1" si="67"/>
        <v>5.1284801903269006E-2</v>
      </c>
      <c r="S276" s="80">
        <f t="shared" ca="1" si="67"/>
        <v>1.4568035999753315E-2</v>
      </c>
      <c r="T276" s="80">
        <f t="shared" ca="1" si="67"/>
        <v>3.365317272463475E-3</v>
      </c>
      <c r="U276" s="80">
        <f t="shared" ca="1" si="67"/>
        <v>6.6363492525067791E-4</v>
      </c>
      <c r="V276" s="80">
        <f t="shared" ca="1" si="67"/>
        <v>1.1590947375528238E-4</v>
      </c>
      <c r="W276" s="80">
        <f t="shared" ca="1" si="67"/>
        <v>1.8445870450967128E-5</v>
      </c>
      <c r="X276" s="80">
        <f t="shared" ca="1" si="67"/>
        <v>2.7341701650529515E-6</v>
      </c>
      <c r="Y276" s="80">
        <f t="shared" ca="1" si="67"/>
        <v>3.8405104496597176E-7</v>
      </c>
      <c r="Z276" s="80">
        <f t="shared" ca="1" si="67"/>
        <v>5.9609965408213839E-8</v>
      </c>
      <c r="AA276" s="80">
        <f ca="1">SUMPRODUCT(F276:Z276,FailureForCPU!E$17:Y$17)</f>
        <v>1.9891693999302221E-4</v>
      </c>
      <c r="AB276" s="80">
        <f t="shared" ca="1" si="63"/>
        <v>6.9387761151994609E-4</v>
      </c>
      <c r="AC276" s="12">
        <f t="shared" ca="1" si="64"/>
        <v>3.4875842526688197</v>
      </c>
      <c r="AD276" s="12">
        <f t="shared" ca="1" si="65"/>
        <v>1</v>
      </c>
    </row>
    <row r="277" spans="1:30">
      <c r="A277" s="56">
        <v>22</v>
      </c>
      <c r="B277" s="12">
        <f t="shared" si="59"/>
        <v>2.0333673111111108</v>
      </c>
      <c r="C277" s="12">
        <f t="shared" si="60"/>
        <v>2.11560943521709</v>
      </c>
      <c r="D277" s="23">
        <f t="array" ref="D277">MATCH(MIN(ABS(ServerTypeA!$A$106:$A$165-$C277)),ABS(ServerTypeA!$A$106:$A$165-$C277),0)</f>
        <v>21</v>
      </c>
      <c r="E277" s="23">
        <f t="array" ref="E277">INDEX(ServerTypeA!$A$106:$A$165,MATCH(MIN(ABS(ServerTypeA!$A$106:$A$165-$C277)),ABS(ServerTypeA!$A$106:$A$165-$C277),0))</f>
        <v>2.1</v>
      </c>
      <c r="F277" s="80">
        <f t="shared" ca="1" si="66"/>
        <v>0</v>
      </c>
      <c r="G277" s="80">
        <f t="shared" ca="1" si="66"/>
        <v>2.5357922694985603E-15</v>
      </c>
      <c r="H277" s="80">
        <f t="shared" ca="1" si="66"/>
        <v>1.702973368267634E-7</v>
      </c>
      <c r="I277" s="80">
        <f t="shared" ca="1" si="66"/>
        <v>4.7617402327868697E-4</v>
      </c>
      <c r="J277" s="80">
        <f t="shared" ca="1" si="66"/>
        <v>1.3224086946461266E-2</v>
      </c>
      <c r="K277" s="80">
        <f t="shared" ca="1" si="66"/>
        <v>0.12413549219269859</v>
      </c>
      <c r="L277" s="80">
        <f t="shared" ca="1" si="66"/>
        <v>0.29551688970197165</v>
      </c>
      <c r="M277" s="80">
        <f t="shared" ca="1" si="66"/>
        <v>0.29844063028975598</v>
      </c>
      <c r="N277" s="80">
        <f t="shared" ca="1" si="66"/>
        <v>0.17196326563138287</v>
      </c>
      <c r="O277" s="80">
        <f t="shared" ca="1" si="66"/>
        <v>6.8192738245804185E-2</v>
      </c>
      <c r="P277" s="80">
        <f t="shared" ca="1" si="67"/>
        <v>2.1010021948516533E-2</v>
      </c>
      <c r="Q277" s="80">
        <f t="shared" ca="1" si="67"/>
        <v>5.4495764603040842E-3</v>
      </c>
      <c r="R277" s="80">
        <f t="shared" ca="1" si="67"/>
        <v>1.2565417597770745E-3</v>
      </c>
      <c r="S277" s="80">
        <f t="shared" ca="1" si="67"/>
        <v>2.6744785902110824E-4</v>
      </c>
      <c r="T277" s="80">
        <f t="shared" ca="1" si="67"/>
        <v>5.3964566450792617E-5</v>
      </c>
      <c r="U277" s="80">
        <f t="shared" ca="1" si="67"/>
        <v>1.0521585664613475E-5</v>
      </c>
      <c r="V277" s="80">
        <f t="shared" ca="1" si="67"/>
        <v>2.0099721521615876E-6</v>
      </c>
      <c r="W277" s="80">
        <f t="shared" ca="1" si="67"/>
        <v>3.8007576763643414E-7</v>
      </c>
      <c r="X277" s="80">
        <f t="shared" ca="1" si="67"/>
        <v>7.1681720892335932E-8</v>
      </c>
      <c r="Y277" s="80">
        <f t="shared" ca="1" si="67"/>
        <v>1.3559813938357479E-8</v>
      </c>
      <c r="Z277" s="80">
        <f t="shared" ca="1" si="67"/>
        <v>3.202118570300172E-9</v>
      </c>
      <c r="AA277" s="80">
        <f ca="1">SUMPRODUCT(F277:Z277,FailureForCPU!E$17:Y$17)</f>
        <v>3.4805579297516227E-6</v>
      </c>
      <c r="AB277" s="80">
        <f t="shared" ca="1" si="63"/>
        <v>7.3635011960021942E-6</v>
      </c>
      <c r="AC277" s="12">
        <f t="shared" ca="1" si="64"/>
        <v>2.1156020717158941</v>
      </c>
      <c r="AD277" s="12">
        <f t="shared" ca="1" si="65"/>
        <v>1</v>
      </c>
    </row>
    <row r="278" spans="1:30">
      <c r="A278" s="56">
        <v>23</v>
      </c>
      <c r="B278" s="12">
        <f t="shared" si="59"/>
        <v>1.0004340733333335</v>
      </c>
      <c r="C278" s="12">
        <f t="shared" si="60"/>
        <v>1.0408979003897303</v>
      </c>
      <c r="D278" s="23">
        <f t="array" ref="D278">MATCH(MIN(ABS(ServerTypeA!$A$106:$A$165-$C278)),ABS(ServerTypeA!$A$106:$A$165-$C278),0)</f>
        <v>10</v>
      </c>
      <c r="E278" s="23">
        <f t="array" ref="E278">INDEX(ServerTypeA!$A$106:$A$165,MATCH(MIN(ABS(ServerTypeA!$A$106:$A$165-$C278)),ABS(ServerTypeA!$A$106:$A$165-$C278),0))</f>
        <v>1</v>
      </c>
      <c r="F278" s="80">
        <f t="shared" ca="1" si="66"/>
        <v>0</v>
      </c>
      <c r="G278" s="80">
        <f t="shared" ca="1" si="66"/>
        <v>6.3362385179783882E-5</v>
      </c>
      <c r="H278" s="80">
        <f t="shared" ca="1" si="66"/>
        <v>3.2995538185137452E-2</v>
      </c>
      <c r="I278" s="80">
        <f t="shared" ca="1" si="66"/>
        <v>0.26726256706287965</v>
      </c>
      <c r="J278" s="80">
        <f t="shared" ca="1" si="66"/>
        <v>0.31013660162702217</v>
      </c>
      <c r="K278" s="80">
        <f t="shared" ca="1" si="66"/>
        <v>0.2532552756998514</v>
      </c>
      <c r="L278" s="80">
        <f t="shared" ca="1" si="66"/>
        <v>9.8107796915847922E-2</v>
      </c>
      <c r="M278" s="80">
        <f t="shared" ca="1" si="66"/>
        <v>2.8732042413077363E-2</v>
      </c>
      <c r="N278" s="80">
        <f t="shared" ca="1" si="66"/>
        <v>7.2542263535837481E-3</v>
      </c>
      <c r="O278" s="80">
        <f t="shared" ca="1" si="66"/>
        <v>1.6975679546920031E-3</v>
      </c>
      <c r="P278" s="80">
        <f t="shared" ca="1" si="67"/>
        <v>3.8387097105896384E-4</v>
      </c>
      <c r="Q278" s="80">
        <f t="shared" ca="1" si="67"/>
        <v>8.5988652237634078E-5</v>
      </c>
      <c r="R278" s="80">
        <f t="shared" ca="1" si="67"/>
        <v>1.9370639502747089E-5</v>
      </c>
      <c r="S278" s="80">
        <f t="shared" ca="1" si="67"/>
        <v>4.4290582862371863E-6</v>
      </c>
      <c r="T278" s="80">
        <f t="shared" ca="1" si="67"/>
        <v>1.033706087172348E-6</v>
      </c>
      <c r="U278" s="80">
        <f t="shared" ca="1" si="67"/>
        <v>2.4709440304970798E-7</v>
      </c>
      <c r="V278" s="80">
        <f t="shared" ca="1" si="67"/>
        <v>6.0608630669811703E-8</v>
      </c>
      <c r="W278" s="80">
        <f t="shared" ca="1" si="67"/>
        <v>1.5269196684819519E-8</v>
      </c>
      <c r="X278" s="80">
        <f t="shared" ca="1" si="67"/>
        <v>3.9522030093053218E-9</v>
      </c>
      <c r="Y278" s="80">
        <f t="shared" ca="1" si="67"/>
        <v>1.0508791614682877E-9</v>
      </c>
      <c r="Z278" s="80">
        <f t="shared" ca="1" si="67"/>
        <v>4.0024294989393638E-10</v>
      </c>
      <c r="AA278" s="80">
        <f ca="1">SUMPRODUCT(F278:Z278,FailureForCPU!E$17:Y$17)</f>
        <v>6.3473937673511974E-8</v>
      </c>
      <c r="AB278" s="80">
        <f t="shared" ca="1" si="63"/>
        <v>6.6069888453827216E-8</v>
      </c>
      <c r="AC278" s="12">
        <f t="shared" ca="1" si="64"/>
        <v>1.0408978343198418</v>
      </c>
      <c r="AD278" s="12">
        <f t="shared" ca="1" si="65"/>
        <v>0.99999999999999978</v>
      </c>
    </row>
    <row r="279" spans="1:30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>
      <c r="A280" s="54" t="s">
        <v>55</v>
      </c>
      <c r="B280" s="12">
        <f>SUM(B255:B278)</f>
        <v>48.744819081532569</v>
      </c>
      <c r="C280" s="12">
        <f>SUM(C255:C278)</f>
        <v>50.71636521514101</v>
      </c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25">
        <f ca="1">SUM(AB255:AB278)</f>
        <v>5.4471944309775415E-2</v>
      </c>
      <c r="AC280" s="25">
        <f ca="1">SUM(AC255:AC278)</f>
        <v>50.661893270831229</v>
      </c>
      <c r="AD280" s="54"/>
    </row>
    <row r="281" spans="1:30">
      <c r="A281" s="54" t="s">
        <v>66</v>
      </c>
      <c r="B281" s="69">
        <f ca="1">AC280/C280</f>
        <v>0.99892594936410151</v>
      </c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>
      <c r="A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>
      <c r="A283" s="22" t="s">
        <v>115</v>
      </c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>
      <c r="A284" s="22" t="s">
        <v>51</v>
      </c>
      <c r="B284" s="37">
        <f>QResults!E11/QResults!B11</f>
        <v>1.0342559412910763</v>
      </c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>
      <c r="A285" s="54"/>
      <c r="B285" s="54"/>
      <c r="C285" s="54"/>
      <c r="D285" s="54"/>
      <c r="E285" s="54" t="s">
        <v>59</v>
      </c>
      <c r="F285" s="56">
        <v>0</v>
      </c>
      <c r="G285" s="56">
        <v>1</v>
      </c>
      <c r="H285" s="56">
        <v>2</v>
      </c>
      <c r="I285" s="56">
        <v>3</v>
      </c>
      <c r="J285" s="56">
        <v>4</v>
      </c>
      <c r="K285" s="56">
        <v>5</v>
      </c>
      <c r="L285" s="56">
        <v>6</v>
      </c>
      <c r="M285" s="56">
        <v>7</v>
      </c>
      <c r="N285" s="56">
        <v>8</v>
      </c>
      <c r="O285" s="56">
        <v>9</v>
      </c>
      <c r="P285" s="56">
        <v>10</v>
      </c>
      <c r="Q285" s="56">
        <v>11</v>
      </c>
      <c r="R285" s="56">
        <v>12</v>
      </c>
      <c r="S285" s="56">
        <v>13</v>
      </c>
      <c r="T285" s="56">
        <v>14</v>
      </c>
      <c r="U285" s="56">
        <v>15</v>
      </c>
      <c r="V285" s="56">
        <v>16</v>
      </c>
      <c r="W285" s="56">
        <v>17</v>
      </c>
      <c r="X285" s="56">
        <v>18</v>
      </c>
      <c r="Y285" s="56">
        <v>19</v>
      </c>
      <c r="Z285" s="56">
        <v>20</v>
      </c>
      <c r="AA285" s="54"/>
      <c r="AB285" s="54"/>
      <c r="AC285" s="54"/>
      <c r="AD285" s="54"/>
    </row>
    <row r="286" spans="1:30" ht="45">
      <c r="A286" s="56" t="s">
        <v>52</v>
      </c>
      <c r="B286" s="56" t="s">
        <v>53</v>
      </c>
      <c r="C286" s="56" t="s">
        <v>54</v>
      </c>
      <c r="D286" s="61" t="s">
        <v>56</v>
      </c>
      <c r="E286" s="61" t="s">
        <v>57</v>
      </c>
      <c r="F286" s="56" t="s">
        <v>20</v>
      </c>
      <c r="G286" s="56" t="s">
        <v>21</v>
      </c>
      <c r="H286" s="56" t="s">
        <v>22</v>
      </c>
      <c r="I286" s="56" t="s">
        <v>23</v>
      </c>
      <c r="J286" s="56" t="s">
        <v>24</v>
      </c>
      <c r="K286" s="56" t="s">
        <v>25</v>
      </c>
      <c r="L286" s="56" t="s">
        <v>26</v>
      </c>
      <c r="M286" s="56" t="s">
        <v>27</v>
      </c>
      <c r="N286" s="56" t="s">
        <v>28</v>
      </c>
      <c r="O286" s="56" t="s">
        <v>29</v>
      </c>
      <c r="P286" s="56" t="s">
        <v>30</v>
      </c>
      <c r="Q286" s="56" t="s">
        <v>31</v>
      </c>
      <c r="R286" s="56" t="s">
        <v>32</v>
      </c>
      <c r="S286" s="56" t="s">
        <v>33</v>
      </c>
      <c r="T286" s="56" t="s">
        <v>34</v>
      </c>
      <c r="U286" s="56" t="s">
        <v>35</v>
      </c>
      <c r="V286" s="56" t="s">
        <v>36</v>
      </c>
      <c r="W286" s="56" t="s">
        <v>37</v>
      </c>
      <c r="X286" s="56" t="s">
        <v>38</v>
      </c>
      <c r="Y286" s="56" t="s">
        <v>39</v>
      </c>
      <c r="Z286" s="56" t="s">
        <v>40</v>
      </c>
      <c r="AA286" s="61" t="s">
        <v>58</v>
      </c>
      <c r="AB286" s="61" t="s">
        <v>64</v>
      </c>
      <c r="AC286" s="61" t="s">
        <v>65</v>
      </c>
      <c r="AD286" s="56" t="s">
        <v>75</v>
      </c>
    </row>
    <row r="287" spans="1:30">
      <c r="A287" s="56">
        <v>0</v>
      </c>
      <c r="B287" s="12">
        <f t="shared" ref="B287:B310" si="68">B191</f>
        <v>0.54705915111111103</v>
      </c>
      <c r="C287" s="12">
        <f t="shared" ref="C287:C310" si="69">$B$284*B287</f>
        <v>0.56579917727431928</v>
      </c>
      <c r="D287" s="23">
        <f t="array" ref="D287">MATCH(MIN(ABS(ServerTypeA!$A$106:$A$165-$C287)),ABS(ServerTypeA!$A$106:$A$165-$C287),0)</f>
        <v>6</v>
      </c>
      <c r="E287" s="23">
        <f t="array" ref="E287">INDEX(ServerTypeA!$A$106:$A$165,MATCH(MIN(ABS(ServerTypeA!$A$106:$A$165-$C287)),ABS(ServerTypeA!$A$106:$A$165-$C287),0))</f>
        <v>0.6</v>
      </c>
      <c r="F287" s="12">
        <f t="shared" ref="F287:O296" ca="1" si="70">OFFSET($B$106,$D287-1,F$221,1,1)</f>
        <v>0</v>
      </c>
      <c r="G287" s="80">
        <f t="shared" ca="1" si="70"/>
        <v>8.8501101347481185E-3</v>
      </c>
      <c r="H287" s="12">
        <f t="shared" ca="1" si="70"/>
        <v>0.23702524946475678</v>
      </c>
      <c r="I287" s="12">
        <f t="shared" ca="1" si="70"/>
        <v>0.41757389753529983</v>
      </c>
      <c r="J287" s="12">
        <f t="shared" ca="1" si="70"/>
        <v>0.20102280901080527</v>
      </c>
      <c r="K287" s="12">
        <f t="shared" ca="1" si="70"/>
        <v>9.8805432504243562E-2</v>
      </c>
      <c r="L287" s="12">
        <f t="shared" ca="1" si="70"/>
        <v>2.7583944128667937E-2</v>
      </c>
      <c r="M287" s="12">
        <f t="shared" ca="1" si="70"/>
        <v>6.9229815342005674E-3</v>
      </c>
      <c r="N287" s="12">
        <f t="shared" ca="1" si="70"/>
        <v>1.6759676772103438E-3</v>
      </c>
      <c r="O287" s="12">
        <f t="shared" ca="1" si="70"/>
        <v>4.054455240855015E-4</v>
      </c>
      <c r="P287" s="12">
        <f t="shared" ref="P287:Z296" ca="1" si="71">OFFSET($B$106,$D287-1,P$221,1,1)</f>
        <v>9.9826693368942898E-5</v>
      </c>
      <c r="Q287" s="12">
        <f t="shared" ca="1" si="71"/>
        <v>2.5253762408916636E-5</v>
      </c>
      <c r="R287" s="12">
        <f t="shared" ca="1" si="71"/>
        <v>6.5949166127010628E-6</v>
      </c>
      <c r="S287" s="12">
        <f t="shared" ca="1" si="71"/>
        <v>1.7814388527659375E-6</v>
      </c>
      <c r="T287" s="12">
        <f t="shared" ca="1" si="71"/>
        <v>4.9799148915674607E-7</v>
      </c>
      <c r="U287" s="12">
        <f t="shared" ca="1" si="71"/>
        <v>1.4400980208328917E-7</v>
      </c>
      <c r="V287" s="12">
        <f t="shared" ca="1" si="71"/>
        <v>4.3042460484699063E-8</v>
      </c>
      <c r="W287" s="12">
        <f t="shared" ca="1" si="71"/>
        <v>1.3281143851351374E-8</v>
      </c>
      <c r="X287" s="12">
        <f t="shared" ca="1" si="71"/>
        <v>4.2252131793318881E-9</v>
      </c>
      <c r="Y287" s="12">
        <f t="shared" ca="1" si="71"/>
        <v>1.3840658619201918E-9</v>
      </c>
      <c r="Z287" s="12">
        <f t="shared" ca="1" si="71"/>
        <v>7.1807870760665082E-10</v>
      </c>
      <c r="AA287" s="80">
        <f ca="1">SUMPRODUCT(F287:Z287,FailureForCPU!E$17:Y$17)</f>
        <v>2.9442263253335687E-8</v>
      </c>
      <c r="AB287" s="80">
        <f t="shared" ref="AB287:AB310" ca="1" si="72">AA287*C287</f>
        <v>1.6658408325831255E-8</v>
      </c>
      <c r="AC287" s="12">
        <f t="shared" ref="AC287:AC310" ca="1" si="73">C287-AB287</f>
        <v>0.56579916061591096</v>
      </c>
      <c r="AD287" s="12">
        <f t="shared" ref="AD287:AD310" ca="1" si="74">SUM(F287:Z287)</f>
        <v>0.99999999897751457</v>
      </c>
    </row>
    <row r="288" spans="1:30">
      <c r="A288" s="56">
        <v>1</v>
      </c>
      <c r="B288" s="12">
        <f t="shared" si="68"/>
        <v>0.30210809111111114</v>
      </c>
      <c r="C288" s="12">
        <f t="shared" si="69"/>
        <v>0.31245708814377249</v>
      </c>
      <c r="D288" s="23">
        <f t="array" ref="D288">MATCH(MIN(ABS(ServerTypeA!$A$106:$A$165-$C288)),ABS(ServerTypeA!$A$106:$A$165-$C288),0)</f>
        <v>3</v>
      </c>
      <c r="E288" s="23">
        <f t="array" ref="E288">INDEX(ServerTypeA!$A$106:$A$165,MATCH(MIN(ABS(ServerTypeA!$A$106:$A$165-$C288)),ABS(ServerTypeA!$A$106:$A$165-$C288),0))</f>
        <v>0.3</v>
      </c>
      <c r="F288" s="12">
        <f t="shared" ca="1" si="70"/>
        <v>0</v>
      </c>
      <c r="G288" s="80">
        <f t="shared" ca="1" si="70"/>
        <v>9.3645685149841063E-2</v>
      </c>
      <c r="H288" s="12">
        <f t="shared" ca="1" si="70"/>
        <v>0.43496774121179493</v>
      </c>
      <c r="I288" s="12">
        <f t="shared" ca="1" si="70"/>
        <v>0.30971202206367943</v>
      </c>
      <c r="J288" s="12">
        <f t="shared" ca="1" si="70"/>
        <v>0.10084687618964905</v>
      </c>
      <c r="K288" s="12">
        <f t="shared" ca="1" si="70"/>
        <v>4.369155763676158E-2</v>
      </c>
      <c r="L288" s="12">
        <f t="shared" ca="1" si="70"/>
        <v>1.2294147338348549E-2</v>
      </c>
      <c r="M288" s="12">
        <f t="shared" ca="1" si="70"/>
        <v>3.4319914015099595E-3</v>
      </c>
      <c r="N288" s="12">
        <f t="shared" ca="1" si="70"/>
        <v>9.7974800056666034E-4</v>
      </c>
      <c r="O288" s="12">
        <f t="shared" ca="1" si="70"/>
        <v>2.8965646966772063E-4</v>
      </c>
      <c r="P288" s="12">
        <f t="shared" ca="1" si="71"/>
        <v>8.9102308850064205E-5</v>
      </c>
      <c r="Q288" s="12">
        <f t="shared" ca="1" si="71"/>
        <v>2.8546284221997453E-5</v>
      </c>
      <c r="R288" s="12">
        <f t="shared" ca="1" si="71"/>
        <v>9.5172244658492389E-6</v>
      </c>
      <c r="S288" s="12">
        <f t="shared" ca="1" si="71"/>
        <v>3.2965250564842563E-6</v>
      </c>
      <c r="T288" s="12">
        <f t="shared" ca="1" si="71"/>
        <v>1.1839190681151024E-6</v>
      </c>
      <c r="U288" s="12">
        <f t="shared" ca="1" si="71"/>
        <v>4.3994472476160951E-7</v>
      </c>
      <c r="V288" s="12">
        <f t="shared" ca="1" si="71"/>
        <v>1.688057024162859E-7</v>
      </c>
      <c r="W288" s="12">
        <f t="shared" ca="1" si="71"/>
        <v>6.6746950189155996E-8</v>
      </c>
      <c r="X288" s="12">
        <f t="shared" ca="1" si="71"/>
        <v>2.7147205150512832E-8</v>
      </c>
      <c r="Y288" s="12">
        <f t="shared" ca="1" si="71"/>
        <v>1.1337537686451071E-8</v>
      </c>
      <c r="Z288" s="12">
        <f t="shared" ca="1" si="71"/>
        <v>8.7650239288805665E-9</v>
      </c>
      <c r="AA288" s="80">
        <f ca="1">SUMPRODUCT(F288:Z288,FailureForCPU!E$17:Y$17)</f>
        <v>7.3483250387362808E-8</v>
      </c>
      <c r="AB288" s="80">
        <f t="shared" ca="1" si="72"/>
        <v>2.2960362443375126E-8</v>
      </c>
      <c r="AC288" s="12">
        <f t="shared" ca="1" si="73"/>
        <v>0.31245706518341004</v>
      </c>
      <c r="AD288" s="12">
        <f t="shared" ca="1" si="74"/>
        <v>0.99999179447062558</v>
      </c>
    </row>
    <row r="289" spans="1:30">
      <c r="A289" s="56">
        <v>2</v>
      </c>
      <c r="B289" s="12">
        <f t="shared" si="68"/>
        <v>0.19123856888888888</v>
      </c>
      <c r="C289" s="12">
        <f t="shared" si="69"/>
        <v>0.19778962607733611</v>
      </c>
      <c r="D289" s="23">
        <f t="array" ref="D289">MATCH(MIN(ABS(ServerTypeA!$A$106:$A$165-$C289)),ABS(ServerTypeA!$A$106:$A$165-$C289),0)</f>
        <v>2</v>
      </c>
      <c r="E289" s="23">
        <f t="array" ref="E289">INDEX(ServerTypeA!$A$106:$A$165,MATCH(MIN(ABS(ServerTypeA!$A$106:$A$165-$C289)),ABS(ServerTypeA!$A$106:$A$165-$C289),0))</f>
        <v>0.2</v>
      </c>
      <c r="F289" s="12">
        <f t="shared" ca="1" si="70"/>
        <v>0</v>
      </c>
      <c r="G289" s="80">
        <f t="shared" ca="1" si="70"/>
        <v>0.1626364559668394</v>
      </c>
      <c r="H289" s="12">
        <f t="shared" ca="1" si="70"/>
        <v>0.44689177712898531</v>
      </c>
      <c r="I289" s="12">
        <f t="shared" ca="1" si="70"/>
        <v>0.25672841154259229</v>
      </c>
      <c r="J289" s="12">
        <f t="shared" ca="1" si="70"/>
        <v>8.0778867012517908E-2</v>
      </c>
      <c r="K289" s="12">
        <f t="shared" ca="1" si="70"/>
        <v>3.6441263038010985E-2</v>
      </c>
      <c r="L289" s="12">
        <f t="shared" ca="1" si="70"/>
        <v>1.1196275956871338E-2</v>
      </c>
      <c r="M289" s="12">
        <f t="shared" ca="1" si="70"/>
        <v>3.494913428613633E-3</v>
      </c>
      <c r="N289" s="12">
        <f t="shared" ca="1" si="70"/>
        <v>1.1292488621793551E-3</v>
      </c>
      <c r="O289" s="12">
        <f t="shared" ca="1" si="70"/>
        <v>3.8010943408661735E-4</v>
      </c>
      <c r="P289" s="12">
        <f t="shared" ca="1" si="71"/>
        <v>1.3344624165900765E-4</v>
      </c>
      <c r="Q289" s="12">
        <f t="shared" ca="1" si="71"/>
        <v>4.881027651226777E-5</v>
      </c>
      <c r="R289" s="12">
        <f t="shared" ca="1" si="71"/>
        <v>1.8562562802637572E-5</v>
      </c>
      <c r="S289" s="12">
        <f t="shared" ca="1" si="71"/>
        <v>7.3223909015096567E-6</v>
      </c>
      <c r="T289" s="12">
        <f t="shared" ca="1" si="71"/>
        <v>2.9888294735824772E-6</v>
      </c>
      <c r="U289" s="12">
        <f t="shared" ca="1" si="71"/>
        <v>1.2594040589286593E-6</v>
      </c>
      <c r="V289" s="12">
        <f t="shared" ca="1" si="71"/>
        <v>5.4662697912544189E-7</v>
      </c>
      <c r="W289" s="12">
        <f t="shared" ca="1" si="71"/>
        <v>2.4389220010245793E-7</v>
      </c>
      <c r="X289" s="12">
        <f t="shared" ca="1" si="71"/>
        <v>1.1165486546449443E-7</v>
      </c>
      <c r="Y289" s="12">
        <f t="shared" ca="1" si="71"/>
        <v>5.2359286684122708E-8</v>
      </c>
      <c r="Z289" s="12">
        <f t="shared" ca="1" si="71"/>
        <v>5.0177817123575608E-8</v>
      </c>
      <c r="AA289" s="80">
        <f ca="1">SUMPRODUCT(F289:Z289,FailureForCPU!E$17:Y$17)</f>
        <v>2.0660950502404687E-7</v>
      </c>
      <c r="AB289" s="80">
        <f t="shared" ca="1" si="72"/>
        <v>4.0865216742729725E-8</v>
      </c>
      <c r="AC289" s="12">
        <f t="shared" ca="1" si="73"/>
        <v>0.19778958521211937</v>
      </c>
      <c r="AD289" s="12">
        <f t="shared" ca="1" si="74"/>
        <v>0.99989071678725328</v>
      </c>
    </row>
    <row r="290" spans="1:30">
      <c r="A290" s="56">
        <v>3</v>
      </c>
      <c r="B290" s="12">
        <f t="shared" si="68"/>
        <v>0.17781025555555557</v>
      </c>
      <c r="C290" s="12">
        <f t="shared" si="69"/>
        <v>0.18390131323081796</v>
      </c>
      <c r="D290" s="23">
        <f t="array" ref="D290">MATCH(MIN(ABS(ServerTypeA!$A$106:$A$165-$C290)),ABS(ServerTypeA!$A$106:$A$165-$C290),0)</f>
        <v>2</v>
      </c>
      <c r="E290" s="23">
        <f t="array" ref="E290">INDEX(ServerTypeA!$A$106:$A$165,MATCH(MIN(ABS(ServerTypeA!$A$106:$A$165-$C290)),ABS(ServerTypeA!$A$106:$A$165-$C290),0))</f>
        <v>0.2</v>
      </c>
      <c r="F290" s="80">
        <f t="shared" ca="1" si="70"/>
        <v>0</v>
      </c>
      <c r="G290" s="80">
        <f t="shared" ca="1" si="70"/>
        <v>0.1626364559668394</v>
      </c>
      <c r="H290" s="80">
        <f t="shared" ca="1" si="70"/>
        <v>0.44689177712898531</v>
      </c>
      <c r="I290" s="80">
        <f t="shared" ca="1" si="70"/>
        <v>0.25672841154259229</v>
      </c>
      <c r="J290" s="80">
        <f t="shared" ca="1" si="70"/>
        <v>8.0778867012517908E-2</v>
      </c>
      <c r="K290" s="80">
        <f t="shared" ca="1" si="70"/>
        <v>3.6441263038010985E-2</v>
      </c>
      <c r="L290" s="80">
        <f t="shared" ca="1" si="70"/>
        <v>1.1196275956871338E-2</v>
      </c>
      <c r="M290" s="80">
        <f t="shared" ca="1" si="70"/>
        <v>3.494913428613633E-3</v>
      </c>
      <c r="N290" s="80">
        <f t="shared" ca="1" si="70"/>
        <v>1.1292488621793551E-3</v>
      </c>
      <c r="O290" s="80">
        <f t="shared" ca="1" si="70"/>
        <v>3.8010943408661735E-4</v>
      </c>
      <c r="P290" s="80">
        <f t="shared" ca="1" si="71"/>
        <v>1.3344624165900765E-4</v>
      </c>
      <c r="Q290" s="80">
        <f t="shared" ca="1" si="71"/>
        <v>4.881027651226777E-5</v>
      </c>
      <c r="R290" s="80">
        <f t="shared" ca="1" si="71"/>
        <v>1.8562562802637572E-5</v>
      </c>
      <c r="S290" s="80">
        <f t="shared" ca="1" si="71"/>
        <v>7.3223909015096567E-6</v>
      </c>
      <c r="T290" s="80">
        <f t="shared" ca="1" si="71"/>
        <v>2.9888294735824772E-6</v>
      </c>
      <c r="U290" s="80">
        <f t="shared" ca="1" si="71"/>
        <v>1.2594040589286593E-6</v>
      </c>
      <c r="V290" s="80">
        <f t="shared" ca="1" si="71"/>
        <v>5.4662697912544189E-7</v>
      </c>
      <c r="W290" s="80">
        <f t="shared" ca="1" si="71"/>
        <v>2.4389220010245793E-7</v>
      </c>
      <c r="X290" s="80">
        <f t="shared" ca="1" si="71"/>
        <v>1.1165486546449443E-7</v>
      </c>
      <c r="Y290" s="80">
        <f t="shared" ca="1" si="71"/>
        <v>5.2359286684122708E-8</v>
      </c>
      <c r="Z290" s="80">
        <f t="shared" ca="1" si="71"/>
        <v>5.0177817123575608E-8</v>
      </c>
      <c r="AA290" s="80">
        <f ca="1">SUMPRODUCT(F290:Z290,FailureForCPU!E$17:Y$17)</f>
        <v>2.0660950502404687E-7</v>
      </c>
      <c r="AB290" s="80">
        <f t="shared" ca="1" si="72"/>
        <v>3.7995759299891503E-8</v>
      </c>
      <c r="AC290" s="12">
        <f t="shared" ca="1" si="73"/>
        <v>0.18390127523505867</v>
      </c>
      <c r="AD290" s="12">
        <f t="shared" ca="1" si="74"/>
        <v>0.99989071678725328</v>
      </c>
    </row>
    <row r="291" spans="1:30">
      <c r="A291" s="56">
        <v>4</v>
      </c>
      <c r="B291" s="12">
        <f t="shared" si="68"/>
        <v>0.35924234000000005</v>
      </c>
      <c r="C291" s="12">
        <f t="shared" si="69"/>
        <v>0.37154852450830894</v>
      </c>
      <c r="D291" s="23">
        <f t="array" ref="D291">MATCH(MIN(ABS(ServerTypeA!$A$106:$A$165-$C291)),ABS(ServerTypeA!$A$106:$A$165-$C291),0)</f>
        <v>4</v>
      </c>
      <c r="E291" s="23">
        <f t="array" ref="E291">INDEX(ServerTypeA!$A$106:$A$165,MATCH(MIN(ABS(ServerTypeA!$A$106:$A$165-$C291)),ABS(ServerTypeA!$A$106:$A$165-$C291),0))</f>
        <v>0.4</v>
      </c>
      <c r="F291" s="80">
        <f t="shared" ca="1" si="70"/>
        <v>0</v>
      </c>
      <c r="G291" s="80">
        <f t="shared" ca="1" si="70"/>
        <v>4.8173495024784518E-2</v>
      </c>
      <c r="H291" s="80">
        <f t="shared" ca="1" si="70"/>
        <v>0.38674242167765105</v>
      </c>
      <c r="I291" s="80">
        <f t="shared" ca="1" si="70"/>
        <v>0.35996128270467487</v>
      </c>
      <c r="J291" s="80">
        <f t="shared" ca="1" si="70"/>
        <v>0.12840573422331936</v>
      </c>
      <c r="K291" s="80">
        <f t="shared" ca="1" si="70"/>
        <v>5.6094229657256189E-2</v>
      </c>
      <c r="L291" s="80">
        <f t="shared" ca="1" si="70"/>
        <v>1.5209033974828756E-2</v>
      </c>
      <c r="M291" s="80">
        <f t="shared" ca="1" si="70"/>
        <v>3.9746438089780511E-3</v>
      </c>
      <c r="N291" s="80">
        <f t="shared" ca="1" si="70"/>
        <v>1.0450649719873084E-3</v>
      </c>
      <c r="O291" s="80">
        <f t="shared" ca="1" si="70"/>
        <v>2.8192928270942552E-4</v>
      </c>
      <c r="P291" s="80">
        <f t="shared" ca="1" si="71"/>
        <v>7.8721555912264485E-5</v>
      </c>
      <c r="Q291" s="80">
        <f t="shared" ca="1" si="71"/>
        <v>2.2829740597640757E-5</v>
      </c>
      <c r="R291" s="80">
        <f t="shared" ca="1" si="71"/>
        <v>6.8815575364755688E-6</v>
      </c>
      <c r="S291" s="80">
        <f t="shared" ca="1" si="71"/>
        <v>2.1546338000444365E-6</v>
      </c>
      <c r="T291" s="80">
        <f t="shared" ca="1" si="71"/>
        <v>6.9981033046229157E-7</v>
      </c>
      <c r="U291" s="80">
        <f t="shared" ca="1" si="71"/>
        <v>2.3538909244003037E-7</v>
      </c>
      <c r="V291" s="80">
        <f t="shared" ca="1" si="71"/>
        <v>8.1849132360645172E-8</v>
      </c>
      <c r="W291" s="80">
        <f t="shared" ca="1" si="71"/>
        <v>2.9368769638438152E-8</v>
      </c>
      <c r="X291" s="80">
        <f t="shared" ca="1" si="71"/>
        <v>1.085533962719154E-8</v>
      </c>
      <c r="Y291" s="80">
        <f t="shared" ca="1" si="71"/>
        <v>4.126343045030012E-9</v>
      </c>
      <c r="Z291" s="80">
        <f t="shared" ca="1" si="71"/>
        <v>2.7148532311116469E-9</v>
      </c>
      <c r="AA291" s="80">
        <f ca="1">SUMPRODUCT(F291:Z291,FailureForCPU!E$17:Y$17)</f>
        <v>4.1768345534117412E-8</v>
      </c>
      <c r="AB291" s="80">
        <f t="shared" ca="1" si="72"/>
        <v>1.551896715435454E-8</v>
      </c>
      <c r="AC291" s="12">
        <f t="shared" ca="1" si="73"/>
        <v>0.37154850898934177</v>
      </c>
      <c r="AD291" s="12">
        <f t="shared" ca="1" si="74"/>
        <v>0.99999948692789675</v>
      </c>
    </row>
    <row r="292" spans="1:30">
      <c r="A292" s="56">
        <v>5</v>
      </c>
      <c r="B292" s="12">
        <f t="shared" si="68"/>
        <v>0.95434750888888886</v>
      </c>
      <c r="C292" s="12">
        <f t="shared" si="69"/>
        <v>0.98703958112467161</v>
      </c>
      <c r="D292" s="23">
        <f t="array" ref="D292">MATCH(MIN(ABS(ServerTypeA!$A$106:$A$165-$C292)),ABS(ServerTypeA!$A$106:$A$165-$C292),0)</f>
        <v>10</v>
      </c>
      <c r="E292" s="23">
        <f t="array" ref="E292">INDEX(ServerTypeA!$A$106:$A$165,MATCH(MIN(ABS(ServerTypeA!$A$106:$A$165-$C292)),ABS(ServerTypeA!$A$106:$A$165-$C292),0))</f>
        <v>1</v>
      </c>
      <c r="F292" s="80">
        <f t="shared" ca="1" si="70"/>
        <v>0</v>
      </c>
      <c r="G292" s="80">
        <f t="shared" ca="1" si="70"/>
        <v>6.3362385179783882E-5</v>
      </c>
      <c r="H292" s="80">
        <f t="shared" ca="1" si="70"/>
        <v>3.2995538185137452E-2</v>
      </c>
      <c r="I292" s="80">
        <f t="shared" ca="1" si="70"/>
        <v>0.26726256706287965</v>
      </c>
      <c r="J292" s="80">
        <f t="shared" ca="1" si="70"/>
        <v>0.31013660162702217</v>
      </c>
      <c r="K292" s="80">
        <f t="shared" ca="1" si="70"/>
        <v>0.2532552756998514</v>
      </c>
      <c r="L292" s="80">
        <f t="shared" ca="1" si="70"/>
        <v>9.8107796915847922E-2</v>
      </c>
      <c r="M292" s="80">
        <f t="shared" ca="1" si="70"/>
        <v>2.8732042413077363E-2</v>
      </c>
      <c r="N292" s="80">
        <f t="shared" ca="1" si="70"/>
        <v>7.2542263535837481E-3</v>
      </c>
      <c r="O292" s="80">
        <f t="shared" ca="1" si="70"/>
        <v>1.6975679546920031E-3</v>
      </c>
      <c r="P292" s="80">
        <f t="shared" ca="1" si="71"/>
        <v>3.8387097105896384E-4</v>
      </c>
      <c r="Q292" s="80">
        <f t="shared" ca="1" si="71"/>
        <v>8.5988652237634078E-5</v>
      </c>
      <c r="R292" s="80">
        <f t="shared" ca="1" si="71"/>
        <v>1.9370639502747089E-5</v>
      </c>
      <c r="S292" s="80">
        <f t="shared" ca="1" si="71"/>
        <v>4.4290582862371863E-6</v>
      </c>
      <c r="T292" s="80">
        <f t="shared" ca="1" si="71"/>
        <v>1.033706087172348E-6</v>
      </c>
      <c r="U292" s="80">
        <f t="shared" ca="1" si="71"/>
        <v>2.4709440304970798E-7</v>
      </c>
      <c r="V292" s="80">
        <f t="shared" ca="1" si="71"/>
        <v>6.0608630669811703E-8</v>
      </c>
      <c r="W292" s="80">
        <f t="shared" ca="1" si="71"/>
        <v>1.5269196684819519E-8</v>
      </c>
      <c r="X292" s="80">
        <f t="shared" ca="1" si="71"/>
        <v>3.9522030093053218E-9</v>
      </c>
      <c r="Y292" s="80">
        <f t="shared" ca="1" si="71"/>
        <v>1.0508791614682877E-9</v>
      </c>
      <c r="Z292" s="80">
        <f t="shared" ca="1" si="71"/>
        <v>4.0024294989393638E-10</v>
      </c>
      <c r="AA292" s="80">
        <f ca="1">SUMPRODUCT(F292:Z292,FailureForCPU!E$17:Y$17)</f>
        <v>6.3473937673511974E-8</v>
      </c>
      <c r="AB292" s="80">
        <f t="shared" ca="1" si="72"/>
        <v>6.2651288853596773E-8</v>
      </c>
      <c r="AC292" s="12">
        <f t="shared" ca="1" si="73"/>
        <v>0.98703951847338278</v>
      </c>
      <c r="AD292" s="12">
        <f t="shared" ca="1" si="74"/>
        <v>0.99999999999999978</v>
      </c>
    </row>
    <row r="293" spans="1:30">
      <c r="A293" s="56">
        <v>6</v>
      </c>
      <c r="B293" s="12">
        <f t="shared" si="68"/>
        <v>1.3952391016858241</v>
      </c>
      <c r="C293" s="12">
        <f t="shared" si="69"/>
        <v>1.4430343304401878</v>
      </c>
      <c r="D293" s="23">
        <f t="array" ref="D293">MATCH(MIN(ABS(ServerTypeA!$A$106:$A$165-$C293)),ABS(ServerTypeA!$A$106:$A$165-$C293),0)</f>
        <v>14</v>
      </c>
      <c r="E293" s="23">
        <f t="array" ref="E293">INDEX(ServerTypeA!$A$106:$A$165,MATCH(MIN(ABS(ServerTypeA!$A$106:$A$165-$C293)),ABS(ServerTypeA!$A$106:$A$165-$C293),0))</f>
        <v>1.4</v>
      </c>
      <c r="F293" s="80">
        <f t="shared" ca="1" si="70"/>
        <v>0</v>
      </c>
      <c r="G293" s="80">
        <f t="shared" ca="1" si="70"/>
        <v>5.7047203781505807E-8</v>
      </c>
      <c r="H293" s="80">
        <f t="shared" ca="1" si="70"/>
        <v>1.2164947634970128E-3</v>
      </c>
      <c r="I293" s="80">
        <f t="shared" ca="1" si="70"/>
        <v>6.1107180217783164E-2</v>
      </c>
      <c r="J293" s="80">
        <f t="shared" ca="1" si="70"/>
        <v>0.20519986834614401</v>
      </c>
      <c r="K293" s="80">
        <f t="shared" ca="1" si="70"/>
        <v>0.35393725260419706</v>
      </c>
      <c r="L293" s="80">
        <f t="shared" ca="1" si="70"/>
        <v>0.23797616540794975</v>
      </c>
      <c r="M293" s="80">
        <f t="shared" ca="1" si="70"/>
        <v>9.8998386993275234E-2</v>
      </c>
      <c r="N293" s="80">
        <f t="shared" ca="1" si="70"/>
        <v>3.0942177429169604E-2</v>
      </c>
      <c r="O293" s="80">
        <f t="shared" ca="1" si="70"/>
        <v>8.1406156055102707E-3</v>
      </c>
      <c r="P293" s="80">
        <f t="shared" ca="1" si="71"/>
        <v>1.9315032419103817E-3</v>
      </c>
      <c r="Q293" s="80">
        <f t="shared" ca="1" si="71"/>
        <v>4.3157453216891017E-4</v>
      </c>
      <c r="R293" s="80">
        <f t="shared" ca="1" si="71"/>
        <v>9.3381147563964539E-5</v>
      </c>
      <c r="S293" s="80">
        <f t="shared" ca="1" si="71"/>
        <v>1.9929403250573685E-5</v>
      </c>
      <c r="T293" s="80">
        <f t="shared" ca="1" si="71"/>
        <v>4.2472546489813467E-6</v>
      </c>
      <c r="U293" s="80">
        <f t="shared" ca="1" si="71"/>
        <v>9.1141149816120759E-7</v>
      </c>
      <c r="V293" s="80">
        <f t="shared" ca="1" si="71"/>
        <v>1.9804408701862286E-7</v>
      </c>
      <c r="W293" s="80">
        <f t="shared" ca="1" si="71"/>
        <v>4.3742479083341834E-8</v>
      </c>
      <c r="X293" s="80">
        <f t="shared" ca="1" si="71"/>
        <v>9.8455228414451312E-9</v>
      </c>
      <c r="Y293" s="80">
        <f t="shared" ca="1" si="71"/>
        <v>2.2619285333647099E-9</v>
      </c>
      <c r="Z293" s="80">
        <f t="shared" ca="1" si="71"/>
        <v>7.0021166642675325E-10</v>
      </c>
      <c r="AA293" s="80">
        <f ca="1">SUMPRODUCT(F293:Z293,FailureForCPU!E$17:Y$17)</f>
        <v>2.6914387304954884E-7</v>
      </c>
      <c r="AB293" s="80">
        <f t="shared" ca="1" si="72"/>
        <v>3.8838384863813463E-7</v>
      </c>
      <c r="AC293" s="12">
        <f t="shared" ca="1" si="73"/>
        <v>1.4430339420563392</v>
      </c>
      <c r="AD293" s="12">
        <f t="shared" ca="1" si="74"/>
        <v>1</v>
      </c>
    </row>
    <row r="294" spans="1:30">
      <c r="A294" s="56">
        <v>7</v>
      </c>
      <c r="B294" s="12">
        <f t="shared" si="68"/>
        <v>1.6468302396934869</v>
      </c>
      <c r="C294" s="12">
        <f t="shared" si="69"/>
        <v>1.7032439597007962</v>
      </c>
      <c r="D294" s="23">
        <f t="array" ref="D294">MATCH(MIN(ABS(ServerTypeA!$A$106:$A$165-$C294)),ABS(ServerTypeA!$A$106:$A$165-$C294),0)</f>
        <v>17</v>
      </c>
      <c r="E294" s="23">
        <f t="array" ref="E294">INDEX(ServerTypeA!$A$106:$A$165,MATCH(MIN(ABS(ServerTypeA!$A$106:$A$165-$C294)),ABS(ServerTypeA!$A$106:$A$165-$C294),0))</f>
        <v>1.7</v>
      </c>
      <c r="F294" s="80">
        <f t="shared" ca="1" si="70"/>
        <v>0</v>
      </c>
      <c r="G294" s="80">
        <f t="shared" ca="1" si="70"/>
        <v>8.1253198802544112E-11</v>
      </c>
      <c r="H294" s="80">
        <f t="shared" ca="1" si="70"/>
        <v>4.33826302524141E-5</v>
      </c>
      <c r="I294" s="80">
        <f t="shared" ca="1" si="70"/>
        <v>1.0705987157923591E-2</v>
      </c>
      <c r="J294" s="80">
        <f t="shared" ca="1" si="70"/>
        <v>8.5289399602454408E-2</v>
      </c>
      <c r="K294" s="80">
        <f t="shared" ca="1" si="70"/>
        <v>0.28828196681177598</v>
      </c>
      <c r="L294" s="80">
        <f t="shared" ca="1" si="70"/>
        <v>0.32142633077115734</v>
      </c>
      <c r="M294" s="80">
        <f t="shared" ca="1" si="70"/>
        <v>0.18912407351993599</v>
      </c>
      <c r="N294" s="80">
        <f t="shared" ca="1" si="70"/>
        <v>7.4607012926096727E-2</v>
      </c>
      <c r="O294" s="80">
        <f t="shared" ca="1" si="70"/>
        <v>2.2822152808572804E-2</v>
      </c>
      <c r="P294" s="80">
        <f t="shared" ca="1" si="71"/>
        <v>5.9287841336530533E-3</v>
      </c>
      <c r="Q294" s="80">
        <f t="shared" ca="1" si="71"/>
        <v>1.3868580523002105E-3</v>
      </c>
      <c r="R294" s="80">
        <f t="shared" ca="1" si="71"/>
        <v>3.0365091844619663E-4</v>
      </c>
      <c r="S294" s="80">
        <f t="shared" ca="1" si="71"/>
        <v>6.3881746393823491E-5</v>
      </c>
      <c r="T294" s="80">
        <f t="shared" ca="1" si="71"/>
        <v>1.3148842294530283E-5</v>
      </c>
      <c r="U294" s="80">
        <f t="shared" ca="1" si="71"/>
        <v>2.6816199827361942E-6</v>
      </c>
      <c r="V294" s="80">
        <f t="shared" ca="1" si="71"/>
        <v>5.4674756877481911E-7</v>
      </c>
      <c r="W294" s="80">
        <f t="shared" ca="1" si="71"/>
        <v>1.1215444262191454E-7</v>
      </c>
      <c r="X294" s="80">
        <f t="shared" ca="1" si="71"/>
        <v>2.3251678915592322E-8</v>
      </c>
      <c r="Y294" s="80">
        <f t="shared" ca="1" si="71"/>
        <v>4.8876390712493389E-9</v>
      </c>
      <c r="Z294" s="80">
        <f t="shared" ca="1" si="71"/>
        <v>1.3361776129983127E-9</v>
      </c>
      <c r="AA294" s="80">
        <f ca="1">SUMPRODUCT(F294:Z294,FailureForCPU!E$17:Y$17)</f>
        <v>8.4375321515358262E-7</v>
      </c>
      <c r="AB294" s="80">
        <f t="shared" ca="1" si="72"/>
        <v>1.437117567188466E-6</v>
      </c>
      <c r="AC294" s="12">
        <f t="shared" ca="1" si="73"/>
        <v>1.7032425225832291</v>
      </c>
      <c r="AD294" s="12">
        <f t="shared" ca="1" si="74"/>
        <v>1</v>
      </c>
    </row>
    <row r="295" spans="1:30">
      <c r="A295" s="56">
        <v>8</v>
      </c>
      <c r="B295" s="12">
        <f t="shared" si="68"/>
        <v>1.8977111415325671</v>
      </c>
      <c r="C295" s="12">
        <f t="shared" si="69"/>
        <v>1.9627190229843283</v>
      </c>
      <c r="D295" s="23">
        <f t="array" ref="D295">MATCH(MIN(ABS(ServerTypeA!$A$106:$A$165-$C295)),ABS(ServerTypeA!$A$106:$A$165-$C295),0)</f>
        <v>20</v>
      </c>
      <c r="E295" s="23">
        <f t="array" ref="E295">INDEX(ServerTypeA!$A$106:$A$165,MATCH(MIN(ABS(ServerTypeA!$A$106:$A$165-$C295)),ABS(ServerTypeA!$A$106:$A$165-$C295),0))</f>
        <v>2</v>
      </c>
      <c r="F295" s="80">
        <f t="shared" ca="1" si="70"/>
        <v>0</v>
      </c>
      <c r="G295" s="80">
        <f t="shared" ca="1" si="70"/>
        <v>4.0327851882455048E-14</v>
      </c>
      <c r="H295" s="80">
        <f t="shared" ca="1" si="70"/>
        <v>7.6343649033183721E-7</v>
      </c>
      <c r="I295" s="80">
        <f t="shared" ca="1" si="70"/>
        <v>1.1261859468466584E-3</v>
      </c>
      <c r="J295" s="80">
        <f t="shared" ca="1" si="70"/>
        <v>2.2612201701377344E-2</v>
      </c>
      <c r="K295" s="80">
        <f t="shared" ca="1" si="70"/>
        <v>0.16230317290931873</v>
      </c>
      <c r="L295" s="80">
        <f t="shared" ca="1" si="70"/>
        <v>0.31714492139955697</v>
      </c>
      <c r="M295" s="80">
        <f t="shared" ca="1" si="70"/>
        <v>0.27781919593603943</v>
      </c>
      <c r="N295" s="80">
        <f t="shared" ca="1" si="70"/>
        <v>0.14469470987553978</v>
      </c>
      <c r="O295" s="80">
        <f t="shared" ca="1" si="70"/>
        <v>5.3484922732303541E-2</v>
      </c>
      <c r="P295" s="80">
        <f t="shared" ca="1" si="71"/>
        <v>1.5719419243440669E-2</v>
      </c>
      <c r="Q295" s="80">
        <f t="shared" ca="1" si="71"/>
        <v>3.9583848233887275E-3</v>
      </c>
      <c r="R295" s="80">
        <f t="shared" ca="1" si="71"/>
        <v>8.981527125127009E-4</v>
      </c>
      <c r="S295" s="80">
        <f t="shared" ca="1" si="71"/>
        <v>1.9011234478316652E-4</v>
      </c>
      <c r="T295" s="80">
        <f t="shared" ca="1" si="71"/>
        <v>3.8467327741598112E-5</v>
      </c>
      <c r="U295" s="80">
        <f t="shared" ca="1" si="71"/>
        <v>7.5710929109407132E-6</v>
      </c>
      <c r="V295" s="80">
        <f t="shared" ca="1" si="71"/>
        <v>1.4678447695093411E-6</v>
      </c>
      <c r="W295" s="80">
        <f t="shared" ca="1" si="71"/>
        <v>2.8291288289850058E-7</v>
      </c>
      <c r="X295" s="80">
        <f t="shared" ca="1" si="71"/>
        <v>5.4577875108208218E-8</v>
      </c>
      <c r="Y295" s="80">
        <f t="shared" ca="1" si="71"/>
        <v>1.0591190591213717E-8</v>
      </c>
      <c r="Z295" s="80">
        <f t="shared" ca="1" si="71"/>
        <v>2.5909909773247364E-9</v>
      </c>
      <c r="AA295" s="80">
        <f ca="1">SUMPRODUCT(F295:Z295,FailureForCPU!E$17:Y$17)</f>
        <v>2.4804686957341508E-6</v>
      </c>
      <c r="AB295" s="80">
        <f t="shared" ca="1" si="72"/>
        <v>4.8684630950345434E-6</v>
      </c>
      <c r="AC295" s="12">
        <f t="shared" ca="1" si="73"/>
        <v>1.9627141545212332</v>
      </c>
      <c r="AD295" s="12">
        <f t="shared" ca="1" si="74"/>
        <v>1</v>
      </c>
    </row>
    <row r="296" spans="1:30">
      <c r="A296" s="56">
        <v>9</v>
      </c>
      <c r="B296" s="12">
        <f t="shared" si="68"/>
        <v>2.1127480528735636</v>
      </c>
      <c r="C296" s="12">
        <f t="shared" si="69"/>
        <v>2.1851222261356362</v>
      </c>
      <c r="D296" s="23">
        <f t="array" ref="D296">MATCH(MIN(ABS(ServerTypeA!$A$106:$A$165-$C296)),ABS(ServerTypeA!$A$106:$A$165-$C296),0)</f>
        <v>22</v>
      </c>
      <c r="E296" s="23">
        <f t="array" ref="E296">INDEX(ServerTypeA!$A$106:$A$165,MATCH(MIN(ABS(ServerTypeA!$A$106:$A$165-$C296)),ABS(ServerTypeA!$A$106:$A$165-$C296),0))</f>
        <v>2.2000000000000002</v>
      </c>
      <c r="F296" s="80">
        <f t="shared" ca="1" si="70"/>
        <v>0</v>
      </c>
      <c r="G296" s="80">
        <f t="shared" ca="1" si="70"/>
        <v>1.4197865135647501E-16</v>
      </c>
      <c r="H296" s="80">
        <f t="shared" ca="1" si="70"/>
        <v>3.5178484297494661E-8</v>
      </c>
      <c r="I296" s="80">
        <f t="shared" ca="1" si="70"/>
        <v>1.9059109896381863E-4</v>
      </c>
      <c r="J296" s="80">
        <f t="shared" ca="1" si="70"/>
        <v>7.3891799340688458E-3</v>
      </c>
      <c r="K296" s="80">
        <f t="shared" ca="1" si="70"/>
        <v>9.1526270384004405E-2</v>
      </c>
      <c r="L296" s="80">
        <f t="shared" ca="1" si="70"/>
        <v>0.26679036397934275</v>
      </c>
      <c r="M296" s="80">
        <f t="shared" ca="1" si="70"/>
        <v>0.31199858065834007</v>
      </c>
      <c r="N296" s="80">
        <f t="shared" ca="1" si="70"/>
        <v>0.19967588337153253</v>
      </c>
      <c r="O296" s="80">
        <f t="shared" ca="1" si="70"/>
        <v>8.5232169616926923E-2</v>
      </c>
      <c r="P296" s="80">
        <f t="shared" ca="1" si="71"/>
        <v>2.7604715117663936E-2</v>
      </c>
      <c r="Q296" s="80">
        <f t="shared" ca="1" si="71"/>
        <v>7.3921295639194362E-3</v>
      </c>
      <c r="R296" s="80">
        <f t="shared" ca="1" si="71"/>
        <v>1.7353282851382268E-3</v>
      </c>
      <c r="S296" s="80">
        <f t="shared" ca="1" si="71"/>
        <v>3.7197373049924209E-4</v>
      </c>
      <c r="T296" s="80">
        <f t="shared" ca="1" si="71"/>
        <v>7.4939643748717089E-5</v>
      </c>
      <c r="U296" s="80">
        <f t="shared" ca="1" si="71"/>
        <v>1.4488656518762966E-5</v>
      </c>
      <c r="V296" s="80">
        <f t="shared" ca="1" si="71"/>
        <v>2.7294494167051653E-6</v>
      </c>
      <c r="W296" s="80">
        <f t="shared" ca="1" si="71"/>
        <v>5.0668760964711623E-7</v>
      </c>
      <c r="X296" s="80">
        <f t="shared" ca="1" si="71"/>
        <v>9.3468969675214453E-8</v>
      </c>
      <c r="Y296" s="80">
        <f t="shared" ca="1" si="71"/>
        <v>1.7242146377327572E-8</v>
      </c>
      <c r="Z296" s="80">
        <f t="shared" ca="1" si="71"/>
        <v>3.9327054945914597E-9</v>
      </c>
      <c r="AA296" s="80">
        <f ca="1">SUMPRODUCT(F296:Z296,FailureForCPU!E$17:Y$17)</f>
        <v>4.8314492097689671E-6</v>
      </c>
      <c r="AB296" s="80">
        <f t="shared" ca="1" si="72"/>
        <v>1.0557307052711627E-5</v>
      </c>
      <c r="AC296" s="12">
        <f t="shared" ca="1" si="73"/>
        <v>2.1851116688285837</v>
      </c>
      <c r="AD296" s="12">
        <f t="shared" ca="1" si="74"/>
        <v>1</v>
      </c>
    </row>
    <row r="297" spans="1:30">
      <c r="A297" s="56">
        <v>10</v>
      </c>
      <c r="B297" s="12">
        <f t="shared" si="68"/>
        <v>2.2471277933333327</v>
      </c>
      <c r="C297" s="12">
        <f t="shared" si="69"/>
        <v>2.3241052710953052</v>
      </c>
      <c r="D297" s="23">
        <f t="array" ref="D297">MATCH(MIN(ABS(ServerTypeA!$A$106:$A$165-$C297)),ABS(ServerTypeA!$A$106:$A$165-$C297),0)</f>
        <v>23</v>
      </c>
      <c r="E297" s="23">
        <f t="array" ref="E297">INDEX(ServerTypeA!$A$106:$A$165,MATCH(MIN(ABS(ServerTypeA!$A$106:$A$165-$C297)),ABS(ServerTypeA!$A$106:$A$165-$C297),0))</f>
        <v>2.2999999999999998</v>
      </c>
      <c r="F297" s="80">
        <f t="shared" ref="F297:O310" ca="1" si="75">OFFSET($B$106,$D297-1,F$221,1,1)</f>
        <v>0</v>
      </c>
      <c r="G297" s="80">
        <f t="shared" ca="1" si="75"/>
        <v>7.0657294544177229E-18</v>
      </c>
      <c r="H297" s="80">
        <f t="shared" ca="1" si="75"/>
        <v>6.7238726448175657E-9</v>
      </c>
      <c r="I297" s="80">
        <f t="shared" ca="1" si="75"/>
        <v>7.2182403488525558E-5</v>
      </c>
      <c r="J297" s="80">
        <f t="shared" ca="1" si="75"/>
        <v>3.9460356627938342E-3</v>
      </c>
      <c r="K297" s="80">
        <f t="shared" ca="1" si="75"/>
        <v>6.5095372899179882E-2</v>
      </c>
      <c r="L297" s="80">
        <f t="shared" ca="1" si="75"/>
        <v>0.23352595939847376</v>
      </c>
      <c r="M297" s="80">
        <f t="shared" ca="1" si="75"/>
        <v>0.31764125546533772</v>
      </c>
      <c r="N297" s="80">
        <f t="shared" ca="1" si="75"/>
        <v>0.22666710323925121</v>
      </c>
      <c r="O297" s="80">
        <f t="shared" ca="1" si="75"/>
        <v>0.1044896259873298</v>
      </c>
      <c r="P297" s="80">
        <f t="shared" ref="P297:Z310" ca="1" si="76">OFFSET($B$106,$D297-1,P$221,1,1)</f>
        <v>3.5672462103660596E-2</v>
      </c>
      <c r="Q297" s="80">
        <f t="shared" ca="1" si="76"/>
        <v>9.8842744218808898E-3</v>
      </c>
      <c r="R297" s="80">
        <f t="shared" ca="1" si="76"/>
        <v>2.3667328600559534E-3</v>
      </c>
      <c r="S297" s="80">
        <f t="shared" ca="1" si="76"/>
        <v>5.1167201767454706E-4</v>
      </c>
      <c r="T297" s="80">
        <f t="shared" ca="1" si="76"/>
        <v>1.0304770744595793E-4</v>
      </c>
      <c r="U297" s="80">
        <f t="shared" ca="1" si="76"/>
        <v>1.9774762235469368E-5</v>
      </c>
      <c r="V297" s="80">
        <f t="shared" ca="1" si="76"/>
        <v>3.6763825657093463E-6</v>
      </c>
      <c r="W297" s="80">
        <f t="shared" ca="1" si="76"/>
        <v>6.7037949680326392E-7</v>
      </c>
      <c r="X297" s="80">
        <f t="shared" ca="1" si="76"/>
        <v>1.2101077295767482E-7</v>
      </c>
      <c r="Y297" s="80">
        <f t="shared" ca="1" si="76"/>
        <v>2.1775074521279691E-8</v>
      </c>
      <c r="Z297" s="80">
        <f t="shared" ca="1" si="76"/>
        <v>4.7994092033931679E-9</v>
      </c>
      <c r="AA297" s="80">
        <f ca="1">SUMPRODUCT(F297:Z297,FailureForCPU!E$17:Y$17)</f>
        <v>6.6368706425327473E-6</v>
      </c>
      <c r="AB297" s="80">
        <f t="shared" ca="1" si="72"/>
        <v>1.5424786043888043E-5</v>
      </c>
      <c r="AC297" s="12">
        <f t="shared" ca="1" si="73"/>
        <v>2.3240898463092612</v>
      </c>
      <c r="AD297" s="12">
        <f t="shared" ca="1" si="74"/>
        <v>1</v>
      </c>
    </row>
    <row r="298" spans="1:30">
      <c r="A298" s="56">
        <v>11</v>
      </c>
      <c r="B298" s="12">
        <f t="shared" si="68"/>
        <v>2.3458744600000001</v>
      </c>
      <c r="C298" s="12">
        <f t="shared" si="69"/>
        <v>2.4262345977779955</v>
      </c>
      <c r="D298" s="23">
        <f t="array" ref="D298">MATCH(MIN(ABS(ServerTypeA!$A$106:$A$165-$C298)),ABS(ServerTypeA!$A$106:$A$165-$C298),0)</f>
        <v>24</v>
      </c>
      <c r="E298" s="23">
        <f t="array" ref="E298">INDEX(ServerTypeA!$A$106:$A$165,MATCH(MIN(ABS(ServerTypeA!$A$106:$A$165-$C298)),ABS(ServerTypeA!$A$106:$A$165-$C298),0))</f>
        <v>2.4</v>
      </c>
      <c r="F298" s="80">
        <f t="shared" ca="1" si="75"/>
        <v>0</v>
      </c>
      <c r="G298" s="80">
        <f t="shared" ca="1" si="75"/>
        <v>3.1167221746766763E-19</v>
      </c>
      <c r="H298" s="80">
        <f t="shared" ca="1" si="75"/>
        <v>1.1873417779384991E-9</v>
      </c>
      <c r="I298" s="80">
        <f t="shared" ca="1" si="75"/>
        <v>2.5843525653936865E-5</v>
      </c>
      <c r="J298" s="80">
        <f t="shared" ca="1" si="75"/>
        <v>2.0136703289901359E-3</v>
      </c>
      <c r="K298" s="80">
        <f t="shared" ca="1" si="75"/>
        <v>4.4672201065323769E-2</v>
      </c>
      <c r="L298" s="80">
        <f t="shared" ca="1" si="75"/>
        <v>0.19829249902226209</v>
      </c>
      <c r="M298" s="80">
        <f t="shared" ca="1" si="75"/>
        <v>0.31510797306156924</v>
      </c>
      <c r="N298" s="80">
        <f t="shared" ca="1" si="75"/>
        <v>0.25169979823357103</v>
      </c>
      <c r="O298" s="80">
        <f t="shared" ca="1" si="75"/>
        <v>0.12572328963604151</v>
      </c>
      <c r="P298" s="80">
        <f t="shared" ca="1" si="76"/>
        <v>4.536838566680601E-2</v>
      </c>
      <c r="Q298" s="80">
        <f t="shared" ca="1" si="76"/>
        <v>1.3036812185681645E-2</v>
      </c>
      <c r="R298" s="80">
        <f t="shared" ca="1" si="76"/>
        <v>3.1898099842099237E-3</v>
      </c>
      <c r="S298" s="80">
        <f t="shared" ca="1" si="76"/>
        <v>6.9656424110131621E-4</v>
      </c>
      <c r="T298" s="80">
        <f t="shared" ca="1" si="76"/>
        <v>1.4040043471519326E-4</v>
      </c>
      <c r="U298" s="80">
        <f t="shared" ca="1" si="76"/>
        <v>2.676723389849478E-5</v>
      </c>
      <c r="V298" s="80">
        <f t="shared" ca="1" si="76"/>
        <v>4.9146294129887025E-6</v>
      </c>
      <c r="W298" s="80">
        <f t="shared" ca="1" si="76"/>
        <v>8.8077484361459568E-7</v>
      </c>
      <c r="X298" s="80">
        <f t="shared" ca="1" si="76"/>
        <v>1.5563918720484793E-7</v>
      </c>
      <c r="Y298" s="80">
        <f t="shared" ca="1" si="76"/>
        <v>2.7326620855028239E-8</v>
      </c>
      <c r="Z298" s="80">
        <f t="shared" ca="1" si="76"/>
        <v>5.8227692667500719E-9</v>
      </c>
      <c r="AA298" s="80">
        <f ca="1">SUMPRODUCT(F298:Z298,FailureForCPU!E$17:Y$17)</f>
        <v>9.0278360402225779E-6</v>
      </c>
      <c r="AB298" s="80">
        <f t="shared" ca="1" si="72"/>
        <v>2.1903648143855118E-5</v>
      </c>
      <c r="AC298" s="12">
        <f t="shared" ca="1" si="73"/>
        <v>2.4262126941298519</v>
      </c>
      <c r="AD298" s="12">
        <f t="shared" ca="1" si="74"/>
        <v>1</v>
      </c>
    </row>
    <row r="299" spans="1:30">
      <c r="A299" s="56">
        <v>12</v>
      </c>
      <c r="B299" s="12">
        <f t="shared" si="68"/>
        <v>2.6348075555555552</v>
      </c>
      <c r="C299" s="12">
        <f t="shared" si="69"/>
        <v>2.7250653684919506</v>
      </c>
      <c r="D299" s="23">
        <f t="array" ref="D299">MATCH(MIN(ABS(ServerTypeA!$A$106:$A$165-$C299)),ABS(ServerTypeA!$A$106:$A$165-$C299),0)</f>
        <v>27</v>
      </c>
      <c r="E299" s="23">
        <f t="array" ref="E299">INDEX(ServerTypeA!$A$106:$A$165,MATCH(MIN(ABS(ServerTypeA!$A$106:$A$165-$C299)),ABS(ServerTypeA!$A$106:$A$165-$C299),0))</f>
        <v>2.7</v>
      </c>
      <c r="F299" s="80">
        <f t="shared" ca="1" si="75"/>
        <v>0</v>
      </c>
      <c r="G299" s="80">
        <f t="shared" ca="1" si="75"/>
        <v>1.239169873735288E-23</v>
      </c>
      <c r="H299" s="80">
        <f t="shared" ca="1" si="75"/>
        <v>3.9552592835852416E-12</v>
      </c>
      <c r="I299" s="80">
        <f t="shared" ca="1" si="75"/>
        <v>8.3133291341925023E-7</v>
      </c>
      <c r="J299" s="80">
        <f t="shared" ca="1" si="75"/>
        <v>2.0173249503252499E-4</v>
      </c>
      <c r="K299" s="80">
        <f t="shared" ca="1" si="75"/>
        <v>1.1612561064618721E-2</v>
      </c>
      <c r="L299" s="80">
        <f t="shared" ca="1" si="75"/>
        <v>0.10127489089389075</v>
      </c>
      <c r="M299" s="80">
        <f t="shared" ca="1" si="75"/>
        <v>0.26410179348864982</v>
      </c>
      <c r="N299" s="80">
        <f t="shared" ca="1" si="75"/>
        <v>0.30332291293257807</v>
      </c>
      <c r="O299" s="80">
        <f t="shared" ca="1" si="75"/>
        <v>0.19688249400125168</v>
      </c>
      <c r="P299" s="80">
        <f t="shared" ca="1" si="76"/>
        <v>8.5404838049038867E-2</v>
      </c>
      <c r="Q299" s="80">
        <f t="shared" ca="1" si="76"/>
        <v>2.7775370702588065E-2</v>
      </c>
      <c r="R299" s="80">
        <f t="shared" ca="1" si="76"/>
        <v>7.3381726042808237E-3</v>
      </c>
      <c r="S299" s="80">
        <f t="shared" ca="1" si="76"/>
        <v>1.6673465755835393E-3</v>
      </c>
      <c r="T299" s="80">
        <f t="shared" ca="1" si="76"/>
        <v>3.3952157254268922E-4</v>
      </c>
      <c r="U299" s="80">
        <f t="shared" ca="1" si="76"/>
        <v>6.386281174752817E-5</v>
      </c>
      <c r="V299" s="80">
        <f t="shared" ca="1" si="76"/>
        <v>1.1348687767864796E-5</v>
      </c>
      <c r="W299" s="80">
        <f t="shared" ca="1" si="76"/>
        <v>1.9378808218117882E-6</v>
      </c>
      <c r="X299" s="80">
        <f t="shared" ca="1" si="76"/>
        <v>3.2210748901473352E-7</v>
      </c>
      <c r="Y299" s="80">
        <f t="shared" ca="1" si="76"/>
        <v>5.2634755443037307E-8</v>
      </c>
      <c r="Z299" s="80">
        <f t="shared" ca="1" si="76"/>
        <v>1.016049411273201E-8</v>
      </c>
      <c r="AA299" s="80">
        <f ca="1">SUMPRODUCT(F299:Z299,FailureForCPU!E$17:Y$17)</f>
        <v>2.1635301689484909E-5</v>
      </c>
      <c r="AB299" s="80">
        <f t="shared" ca="1" si="72"/>
        <v>5.8957611370890713E-5</v>
      </c>
      <c r="AC299" s="12">
        <f t="shared" ca="1" si="73"/>
        <v>2.7250064108805798</v>
      </c>
      <c r="AD299" s="12">
        <f t="shared" ca="1" si="74"/>
        <v>1</v>
      </c>
    </row>
    <row r="300" spans="1:30">
      <c r="A300" s="56">
        <v>13</v>
      </c>
      <c r="B300" s="12">
        <f t="shared" si="68"/>
        <v>2.5970738657471264</v>
      </c>
      <c r="C300" s="12">
        <f t="shared" si="69"/>
        <v>2.6860390756207488</v>
      </c>
      <c r="D300" s="23">
        <f t="array" ref="D300">MATCH(MIN(ABS(ServerTypeA!$A$106:$A$165-$C300)),ABS(ServerTypeA!$A$106:$A$165-$C300),0)</f>
        <v>27</v>
      </c>
      <c r="E300" s="23">
        <f t="array" ref="E300">INDEX(ServerTypeA!$A$106:$A$165,MATCH(MIN(ABS(ServerTypeA!$A$106:$A$165-$C300)),ABS(ServerTypeA!$A$106:$A$165-$C300),0))</f>
        <v>2.7</v>
      </c>
      <c r="F300" s="80">
        <f t="shared" ca="1" si="75"/>
        <v>0</v>
      </c>
      <c r="G300" s="80">
        <f t="shared" ca="1" si="75"/>
        <v>1.239169873735288E-23</v>
      </c>
      <c r="H300" s="80">
        <f t="shared" ca="1" si="75"/>
        <v>3.9552592835852416E-12</v>
      </c>
      <c r="I300" s="80">
        <f t="shared" ca="1" si="75"/>
        <v>8.3133291341925023E-7</v>
      </c>
      <c r="J300" s="80">
        <f t="shared" ca="1" si="75"/>
        <v>2.0173249503252499E-4</v>
      </c>
      <c r="K300" s="80">
        <f t="shared" ca="1" si="75"/>
        <v>1.1612561064618721E-2</v>
      </c>
      <c r="L300" s="80">
        <f t="shared" ca="1" si="75"/>
        <v>0.10127489089389075</v>
      </c>
      <c r="M300" s="80">
        <f t="shared" ca="1" si="75"/>
        <v>0.26410179348864982</v>
      </c>
      <c r="N300" s="80">
        <f t="shared" ca="1" si="75"/>
        <v>0.30332291293257807</v>
      </c>
      <c r="O300" s="80">
        <f t="shared" ca="1" si="75"/>
        <v>0.19688249400125168</v>
      </c>
      <c r="P300" s="80">
        <f t="shared" ca="1" si="76"/>
        <v>8.5404838049038867E-2</v>
      </c>
      <c r="Q300" s="80">
        <f t="shared" ca="1" si="76"/>
        <v>2.7775370702588065E-2</v>
      </c>
      <c r="R300" s="80">
        <f t="shared" ca="1" si="76"/>
        <v>7.3381726042808237E-3</v>
      </c>
      <c r="S300" s="80">
        <f t="shared" ca="1" si="76"/>
        <v>1.6673465755835393E-3</v>
      </c>
      <c r="T300" s="80">
        <f t="shared" ca="1" si="76"/>
        <v>3.3952157254268922E-4</v>
      </c>
      <c r="U300" s="80">
        <f t="shared" ca="1" si="76"/>
        <v>6.386281174752817E-5</v>
      </c>
      <c r="V300" s="80">
        <f t="shared" ca="1" si="76"/>
        <v>1.1348687767864796E-5</v>
      </c>
      <c r="W300" s="80">
        <f t="shared" ca="1" si="76"/>
        <v>1.9378808218117882E-6</v>
      </c>
      <c r="X300" s="80">
        <f t="shared" ca="1" si="76"/>
        <v>3.2210748901473352E-7</v>
      </c>
      <c r="Y300" s="80">
        <f t="shared" ca="1" si="76"/>
        <v>5.2634755443037307E-8</v>
      </c>
      <c r="Z300" s="80">
        <f t="shared" ca="1" si="76"/>
        <v>1.016049411273201E-8</v>
      </c>
      <c r="AA300" s="80">
        <f ca="1">SUMPRODUCT(F300:Z300,FailureForCPU!E$17:Y$17)</f>
        <v>2.1635301689484909E-5</v>
      </c>
      <c r="AB300" s="80">
        <f t="shared" ca="1" si="72"/>
        <v>5.8113265750800073E-5</v>
      </c>
      <c r="AC300" s="12">
        <f t="shared" ca="1" si="73"/>
        <v>2.6859809623549982</v>
      </c>
      <c r="AD300" s="12">
        <f t="shared" ca="1" si="74"/>
        <v>1</v>
      </c>
    </row>
    <row r="301" spans="1:30">
      <c r="A301" s="56">
        <v>14</v>
      </c>
      <c r="B301" s="12">
        <f t="shared" si="68"/>
        <v>2.6367986977777775</v>
      </c>
      <c r="C301" s="12">
        <f t="shared" si="69"/>
        <v>2.7271247191652397</v>
      </c>
      <c r="D301" s="23">
        <f t="array" ref="D301">MATCH(MIN(ABS(ServerTypeA!$A$106:$A$165-$C301)),ABS(ServerTypeA!$A$106:$A$165-$C301),0)</f>
        <v>27</v>
      </c>
      <c r="E301" s="23">
        <f t="array" ref="E301">INDEX(ServerTypeA!$A$106:$A$165,MATCH(MIN(ABS(ServerTypeA!$A$106:$A$165-$C301)),ABS(ServerTypeA!$A$106:$A$165-$C301),0))</f>
        <v>2.7</v>
      </c>
      <c r="F301" s="80">
        <f t="shared" ca="1" si="75"/>
        <v>0</v>
      </c>
      <c r="G301" s="80">
        <f t="shared" ca="1" si="75"/>
        <v>1.239169873735288E-23</v>
      </c>
      <c r="H301" s="80">
        <f t="shared" ca="1" si="75"/>
        <v>3.9552592835852416E-12</v>
      </c>
      <c r="I301" s="80">
        <f t="shared" ca="1" si="75"/>
        <v>8.3133291341925023E-7</v>
      </c>
      <c r="J301" s="80">
        <f t="shared" ca="1" si="75"/>
        <v>2.0173249503252499E-4</v>
      </c>
      <c r="K301" s="80">
        <f t="shared" ca="1" si="75"/>
        <v>1.1612561064618721E-2</v>
      </c>
      <c r="L301" s="80">
        <f t="shared" ca="1" si="75"/>
        <v>0.10127489089389075</v>
      </c>
      <c r="M301" s="80">
        <f t="shared" ca="1" si="75"/>
        <v>0.26410179348864982</v>
      </c>
      <c r="N301" s="80">
        <f t="shared" ca="1" si="75"/>
        <v>0.30332291293257807</v>
      </c>
      <c r="O301" s="80">
        <f t="shared" ca="1" si="75"/>
        <v>0.19688249400125168</v>
      </c>
      <c r="P301" s="80">
        <f t="shared" ca="1" si="76"/>
        <v>8.5404838049038867E-2</v>
      </c>
      <c r="Q301" s="80">
        <f t="shared" ca="1" si="76"/>
        <v>2.7775370702588065E-2</v>
      </c>
      <c r="R301" s="80">
        <f t="shared" ca="1" si="76"/>
        <v>7.3381726042808237E-3</v>
      </c>
      <c r="S301" s="80">
        <f t="shared" ca="1" si="76"/>
        <v>1.6673465755835393E-3</v>
      </c>
      <c r="T301" s="80">
        <f t="shared" ca="1" si="76"/>
        <v>3.3952157254268922E-4</v>
      </c>
      <c r="U301" s="80">
        <f t="shared" ca="1" si="76"/>
        <v>6.386281174752817E-5</v>
      </c>
      <c r="V301" s="80">
        <f t="shared" ca="1" si="76"/>
        <v>1.1348687767864796E-5</v>
      </c>
      <c r="W301" s="80">
        <f t="shared" ca="1" si="76"/>
        <v>1.9378808218117882E-6</v>
      </c>
      <c r="X301" s="80">
        <f t="shared" ca="1" si="76"/>
        <v>3.2210748901473352E-7</v>
      </c>
      <c r="Y301" s="80">
        <f t="shared" ca="1" si="76"/>
        <v>5.2634755443037307E-8</v>
      </c>
      <c r="Z301" s="80">
        <f t="shared" ca="1" si="76"/>
        <v>1.016049411273201E-8</v>
      </c>
      <c r="AA301" s="80">
        <f ca="1">SUMPRODUCT(F301:Z301,FailureForCPU!E$17:Y$17)</f>
        <v>2.1635301689484909E-5</v>
      </c>
      <c r="AB301" s="80">
        <f t="shared" ca="1" si="72"/>
        <v>5.900216604399177E-5</v>
      </c>
      <c r="AC301" s="12">
        <f t="shared" ca="1" si="73"/>
        <v>2.7270657169991956</v>
      </c>
      <c r="AD301" s="12">
        <f t="shared" ca="1" si="74"/>
        <v>1</v>
      </c>
    </row>
    <row r="302" spans="1:30">
      <c r="A302" s="56">
        <v>15</v>
      </c>
      <c r="B302" s="12">
        <f t="shared" si="68"/>
        <v>2.6291948468199231</v>
      </c>
      <c r="C302" s="12">
        <f t="shared" si="69"/>
        <v>2.719260391135387</v>
      </c>
      <c r="D302" s="23">
        <f t="array" ref="D302">MATCH(MIN(ABS(ServerTypeA!$A$106:$A$165-$C302)),ABS(ServerTypeA!$A$106:$A$165-$C302),0)</f>
        <v>27</v>
      </c>
      <c r="E302" s="23">
        <f t="array" ref="E302">INDEX(ServerTypeA!$A$106:$A$165,MATCH(MIN(ABS(ServerTypeA!$A$106:$A$165-$C302)),ABS(ServerTypeA!$A$106:$A$165-$C302),0))</f>
        <v>2.7</v>
      </c>
      <c r="F302" s="80">
        <f t="shared" ca="1" si="75"/>
        <v>0</v>
      </c>
      <c r="G302" s="80">
        <f t="shared" ca="1" si="75"/>
        <v>1.239169873735288E-23</v>
      </c>
      <c r="H302" s="80">
        <f t="shared" ca="1" si="75"/>
        <v>3.9552592835852416E-12</v>
      </c>
      <c r="I302" s="80">
        <f t="shared" ca="1" si="75"/>
        <v>8.3133291341925023E-7</v>
      </c>
      <c r="J302" s="80">
        <f t="shared" ca="1" si="75"/>
        <v>2.0173249503252499E-4</v>
      </c>
      <c r="K302" s="80">
        <f t="shared" ca="1" si="75"/>
        <v>1.1612561064618721E-2</v>
      </c>
      <c r="L302" s="80">
        <f t="shared" ca="1" si="75"/>
        <v>0.10127489089389075</v>
      </c>
      <c r="M302" s="80">
        <f t="shared" ca="1" si="75"/>
        <v>0.26410179348864982</v>
      </c>
      <c r="N302" s="80">
        <f t="shared" ca="1" si="75"/>
        <v>0.30332291293257807</v>
      </c>
      <c r="O302" s="80">
        <f t="shared" ca="1" si="75"/>
        <v>0.19688249400125168</v>
      </c>
      <c r="P302" s="80">
        <f t="shared" ca="1" si="76"/>
        <v>8.5404838049038867E-2</v>
      </c>
      <c r="Q302" s="80">
        <f t="shared" ca="1" si="76"/>
        <v>2.7775370702588065E-2</v>
      </c>
      <c r="R302" s="80">
        <f t="shared" ca="1" si="76"/>
        <v>7.3381726042808237E-3</v>
      </c>
      <c r="S302" s="80">
        <f t="shared" ca="1" si="76"/>
        <v>1.6673465755835393E-3</v>
      </c>
      <c r="T302" s="80">
        <f t="shared" ca="1" si="76"/>
        <v>3.3952157254268922E-4</v>
      </c>
      <c r="U302" s="80">
        <f t="shared" ca="1" si="76"/>
        <v>6.386281174752817E-5</v>
      </c>
      <c r="V302" s="80">
        <f t="shared" ca="1" si="76"/>
        <v>1.1348687767864796E-5</v>
      </c>
      <c r="W302" s="80">
        <f t="shared" ca="1" si="76"/>
        <v>1.9378808218117882E-6</v>
      </c>
      <c r="X302" s="80">
        <f t="shared" ca="1" si="76"/>
        <v>3.2210748901473352E-7</v>
      </c>
      <c r="Y302" s="80">
        <f t="shared" ca="1" si="76"/>
        <v>5.2634755443037307E-8</v>
      </c>
      <c r="Z302" s="80">
        <f t="shared" ca="1" si="76"/>
        <v>1.016049411273201E-8</v>
      </c>
      <c r="AA302" s="80">
        <f ca="1">SUMPRODUCT(F302:Z302,FailureForCPU!E$17:Y$17)</f>
        <v>2.1635301689484909E-5</v>
      </c>
      <c r="AB302" s="80">
        <f t="shared" ca="1" si="72"/>
        <v>5.8832018934480836E-5</v>
      </c>
      <c r="AC302" s="12">
        <f t="shared" ca="1" si="73"/>
        <v>2.7192015591164527</v>
      </c>
      <c r="AD302" s="12">
        <f t="shared" ca="1" si="74"/>
        <v>1</v>
      </c>
    </row>
    <row r="303" spans="1:30">
      <c r="A303" s="56">
        <v>16</v>
      </c>
      <c r="B303" s="12">
        <f t="shared" si="68"/>
        <v>2.7095263688888891</v>
      </c>
      <c r="C303" s="12">
        <f t="shared" si="69"/>
        <v>2.8023437451081703</v>
      </c>
      <c r="D303" s="23">
        <f t="array" ref="D303">MATCH(MIN(ABS(ServerTypeA!$A$106:$A$165-$C303)),ABS(ServerTypeA!$A$106:$A$165-$C303),0)</f>
        <v>28</v>
      </c>
      <c r="E303" s="23">
        <f t="array" ref="E303">INDEX(ServerTypeA!$A$106:$A$165,MATCH(MIN(ABS(ServerTypeA!$A$106:$A$165-$C303)),ABS(ServerTypeA!$A$106:$A$165-$C303),0))</f>
        <v>2.8</v>
      </c>
      <c r="F303" s="80">
        <f t="shared" ca="1" si="75"/>
        <v>0</v>
      </c>
      <c r="G303" s="80">
        <f t="shared" ca="1" si="75"/>
        <v>3.2014838861642734E-25</v>
      </c>
      <c r="H303" s="80">
        <f t="shared" ca="1" si="75"/>
        <v>4.9265370227173325E-13</v>
      </c>
      <c r="I303" s="80">
        <f t="shared" ca="1" si="75"/>
        <v>2.3260569688671958E-7</v>
      </c>
      <c r="J303" s="80">
        <f t="shared" ca="1" si="75"/>
        <v>8.4722779199233693E-5</v>
      </c>
      <c r="K303" s="80">
        <f t="shared" ca="1" si="75"/>
        <v>6.8671365489865188E-3</v>
      </c>
      <c r="L303" s="80">
        <f t="shared" ca="1" si="75"/>
        <v>7.6093165585766731E-2</v>
      </c>
      <c r="M303" s="80">
        <f t="shared" ca="1" si="75"/>
        <v>0.2365929721208383</v>
      </c>
      <c r="N303" s="80">
        <f t="shared" ca="1" si="75"/>
        <v>0.30952971082579805</v>
      </c>
      <c r="O303" s="80">
        <f t="shared" ca="1" si="75"/>
        <v>0.22098283242873895</v>
      </c>
      <c r="P303" s="80">
        <f t="shared" ca="1" si="76"/>
        <v>0.10260586206497568</v>
      </c>
      <c r="Q303" s="80">
        <f t="shared" ca="1" si="76"/>
        <v>3.4968210674430344E-2</v>
      </c>
      <c r="R303" s="80">
        <f t="shared" ca="1" si="76"/>
        <v>9.5212444115283512E-3</v>
      </c>
      <c r="S303" s="80">
        <f t="shared" ca="1" si="76"/>
        <v>2.2003932167329321E-3</v>
      </c>
      <c r="T303" s="80">
        <f t="shared" ca="1" si="76"/>
        <v>4.5096087870266643E-4</v>
      </c>
      <c r="U303" s="80">
        <f t="shared" ca="1" si="76"/>
        <v>8.4651126864176973E-5</v>
      </c>
      <c r="V303" s="80">
        <f t="shared" ca="1" si="76"/>
        <v>1.4909074353308682E-5</v>
      </c>
      <c r="W303" s="80">
        <f t="shared" ca="1" si="76"/>
        <v>2.5090146867912111E-6</v>
      </c>
      <c r="X303" s="80">
        <f t="shared" ca="1" si="76"/>
        <v>4.0910072174327183E-7</v>
      </c>
      <c r="Y303" s="80">
        <f t="shared" ca="1" si="76"/>
        <v>6.5325990061815276E-8</v>
      </c>
      <c r="Z303" s="80">
        <f t="shared" ca="1" si="76"/>
        <v>1.2215496614231824E-8</v>
      </c>
      <c r="AA303" s="80">
        <f ca="1">SUMPRODUCT(F303:Z303,FailureForCPU!E$17:Y$17)</f>
        <v>2.8603509763217017E-5</v>
      </c>
      <c r="AB303" s="80">
        <f t="shared" ca="1" si="72"/>
        <v>8.0156866673091688E-5</v>
      </c>
      <c r="AC303" s="12">
        <f t="shared" ca="1" si="73"/>
        <v>2.8022635882414972</v>
      </c>
      <c r="AD303" s="12">
        <f t="shared" ca="1" si="74"/>
        <v>1</v>
      </c>
    </row>
    <row r="304" spans="1:30">
      <c r="A304" s="56">
        <v>17</v>
      </c>
      <c r="B304" s="12">
        <f t="shared" si="68"/>
        <v>2.6672917514942527</v>
      </c>
      <c r="C304" s="12">
        <f t="shared" si="69"/>
        <v>2.7586623411396118</v>
      </c>
      <c r="D304" s="23">
        <f t="array" ref="D304">MATCH(MIN(ABS(ServerTypeA!$A$106:$A$165-$C304)),ABS(ServerTypeA!$A$106:$A$165-$C304),0)</f>
        <v>28</v>
      </c>
      <c r="E304" s="23">
        <f t="array" ref="E304">INDEX(ServerTypeA!$A$106:$A$165,MATCH(MIN(ABS(ServerTypeA!$A$106:$A$165-$C304)),ABS(ServerTypeA!$A$106:$A$165-$C304),0))</f>
        <v>2.8</v>
      </c>
      <c r="F304" s="80">
        <f t="shared" ca="1" si="75"/>
        <v>0</v>
      </c>
      <c r="G304" s="80">
        <f t="shared" ca="1" si="75"/>
        <v>3.2014838861642734E-25</v>
      </c>
      <c r="H304" s="80">
        <f t="shared" ca="1" si="75"/>
        <v>4.9265370227173325E-13</v>
      </c>
      <c r="I304" s="80">
        <f t="shared" ca="1" si="75"/>
        <v>2.3260569688671958E-7</v>
      </c>
      <c r="J304" s="80">
        <f t="shared" ca="1" si="75"/>
        <v>8.4722779199233693E-5</v>
      </c>
      <c r="K304" s="80">
        <f t="shared" ca="1" si="75"/>
        <v>6.8671365489865188E-3</v>
      </c>
      <c r="L304" s="80">
        <f t="shared" ca="1" si="75"/>
        <v>7.6093165585766731E-2</v>
      </c>
      <c r="M304" s="80">
        <f t="shared" ca="1" si="75"/>
        <v>0.2365929721208383</v>
      </c>
      <c r="N304" s="80">
        <f t="shared" ca="1" si="75"/>
        <v>0.30952971082579805</v>
      </c>
      <c r="O304" s="80">
        <f t="shared" ca="1" si="75"/>
        <v>0.22098283242873895</v>
      </c>
      <c r="P304" s="80">
        <f t="shared" ca="1" si="76"/>
        <v>0.10260586206497568</v>
      </c>
      <c r="Q304" s="80">
        <f t="shared" ca="1" si="76"/>
        <v>3.4968210674430344E-2</v>
      </c>
      <c r="R304" s="80">
        <f t="shared" ca="1" si="76"/>
        <v>9.5212444115283512E-3</v>
      </c>
      <c r="S304" s="80">
        <f t="shared" ca="1" si="76"/>
        <v>2.2003932167329321E-3</v>
      </c>
      <c r="T304" s="80">
        <f t="shared" ca="1" si="76"/>
        <v>4.5096087870266643E-4</v>
      </c>
      <c r="U304" s="80">
        <f t="shared" ca="1" si="76"/>
        <v>8.4651126864176973E-5</v>
      </c>
      <c r="V304" s="80">
        <f t="shared" ca="1" si="76"/>
        <v>1.4909074353308682E-5</v>
      </c>
      <c r="W304" s="80">
        <f t="shared" ca="1" si="76"/>
        <v>2.5090146867912111E-6</v>
      </c>
      <c r="X304" s="80">
        <f t="shared" ca="1" si="76"/>
        <v>4.0910072174327183E-7</v>
      </c>
      <c r="Y304" s="80">
        <f t="shared" ca="1" si="76"/>
        <v>6.5325990061815276E-8</v>
      </c>
      <c r="Z304" s="80">
        <f t="shared" ca="1" si="76"/>
        <v>1.2215496614231824E-8</v>
      </c>
      <c r="AA304" s="80">
        <f ca="1">SUMPRODUCT(F304:Z304,FailureForCPU!E$17:Y$17)</f>
        <v>2.8603509763217017E-5</v>
      </c>
      <c r="AB304" s="80">
        <f t="shared" ca="1" si="72"/>
        <v>7.8907425208206002E-5</v>
      </c>
      <c r="AC304" s="12">
        <f t="shared" ca="1" si="73"/>
        <v>2.7585834337144037</v>
      </c>
      <c r="AD304" s="12">
        <f t="shared" ca="1" si="74"/>
        <v>1</v>
      </c>
    </row>
    <row r="305" spans="1:30">
      <c r="A305" s="56">
        <v>18</v>
      </c>
      <c r="B305" s="12">
        <f t="shared" si="68"/>
        <v>3.6254902505747126</v>
      </c>
      <c r="C305" s="12">
        <f t="shared" si="69"/>
        <v>3.7496848317497697</v>
      </c>
      <c r="D305" s="23">
        <f t="array" ref="D305">MATCH(MIN(ABS(ServerTypeA!$A$106:$A$165-$C305)),ABS(ServerTypeA!$A$106:$A$165-$C305),0)</f>
        <v>37</v>
      </c>
      <c r="E305" s="23">
        <f t="array" ref="E305">INDEX(ServerTypeA!$A$106:$A$165,MATCH(MIN(ABS(ServerTypeA!$A$106:$A$165-$C305)),ABS(ServerTypeA!$A$106:$A$165-$C305),0))</f>
        <v>3.7</v>
      </c>
      <c r="F305" s="80">
        <f t="shared" ca="1" si="75"/>
        <v>0</v>
      </c>
      <c r="G305" s="80">
        <f t="shared" ca="1" si="75"/>
        <v>2.5905779142758108E-43</v>
      </c>
      <c r="H305" s="80">
        <f t="shared" ca="1" si="75"/>
        <v>1.0776463501599234E-23</v>
      </c>
      <c r="I305" s="80">
        <f t="shared" ca="1" si="75"/>
        <v>3.8977225725402576E-14</v>
      </c>
      <c r="J305" s="80">
        <f t="shared" ca="1" si="75"/>
        <v>1.3472315149940316E-9</v>
      </c>
      <c r="K305" s="80">
        <f t="shared" ca="1" si="75"/>
        <v>5.3942186582197124E-6</v>
      </c>
      <c r="L305" s="80">
        <f t="shared" ca="1" si="75"/>
        <v>8.9695932018085678E-4</v>
      </c>
      <c r="M305" s="80">
        <f t="shared" ca="1" si="75"/>
        <v>2.029915981653807E-2</v>
      </c>
      <c r="N305" s="80">
        <f t="shared" ca="1" si="75"/>
        <v>0.11914569711400624</v>
      </c>
      <c r="O305" s="80">
        <f t="shared" ca="1" si="75"/>
        <v>0.26626431347654567</v>
      </c>
      <c r="P305" s="80">
        <f t="shared" ca="1" si="76"/>
        <v>0.29188941817230374</v>
      </c>
      <c r="Q305" s="80">
        <f t="shared" ca="1" si="76"/>
        <v>0.18765177989898019</v>
      </c>
      <c r="R305" s="80">
        <f t="shared" ca="1" si="76"/>
        <v>8.054374590151081E-2</v>
      </c>
      <c r="S305" s="80">
        <f t="shared" ca="1" si="76"/>
        <v>2.5396944288544221E-2</v>
      </c>
      <c r="T305" s="80">
        <f t="shared" ca="1" si="76"/>
        <v>6.3182103037050519E-3</v>
      </c>
      <c r="U305" s="80">
        <f t="shared" ca="1" si="76"/>
        <v>1.3087956078142726E-3</v>
      </c>
      <c r="V305" s="80">
        <f t="shared" ca="1" si="76"/>
        <v>2.3522766733863332E-4</v>
      </c>
      <c r="W305" s="80">
        <f t="shared" ca="1" si="76"/>
        <v>3.7865571857698122E-5</v>
      </c>
      <c r="X305" s="80">
        <f t="shared" ca="1" si="76"/>
        <v>5.5963458769348051E-6</v>
      </c>
      <c r="Y305" s="80">
        <f t="shared" ca="1" si="76"/>
        <v>7.7435930501135175E-7</v>
      </c>
      <c r="Z305" s="80">
        <f t="shared" ca="1" si="76"/>
        <v>1.1658956389215547E-7</v>
      </c>
      <c r="AA305" s="80">
        <f ca="1">SUMPRODUCT(F305:Z305,FailureForCPU!E$17:Y$17)</f>
        <v>3.5949880007329541E-4</v>
      </c>
      <c r="AB305" s="80">
        <f t="shared" ca="1" si="72"/>
        <v>1.3480071976670789E-3</v>
      </c>
      <c r="AC305" s="12">
        <f t="shared" ca="1" si="73"/>
        <v>3.7483368245521027</v>
      </c>
      <c r="AD305" s="12">
        <f t="shared" ca="1" si="74"/>
        <v>1</v>
      </c>
    </row>
    <row r="306" spans="1:30">
      <c r="A306" s="56">
        <v>19</v>
      </c>
      <c r="B306" s="12">
        <f t="shared" si="68"/>
        <v>4.399450104444445</v>
      </c>
      <c r="C306" s="12">
        <f t="shared" si="69"/>
        <v>4.5501574089353136</v>
      </c>
      <c r="D306" s="23">
        <f t="array" ref="D306">MATCH(MIN(ABS(ServerTypeA!$A$106:$A$165-$C306)),ABS(ServerTypeA!$A$106:$A$165-$C306),0)</f>
        <v>46</v>
      </c>
      <c r="E306" s="23">
        <f t="array" ref="E306">INDEX(ServerTypeA!$A$106:$A$165,MATCH(MIN(ABS(ServerTypeA!$A$106:$A$165-$C306)),ABS(ServerTypeA!$A$106:$A$165-$C306),0))</f>
        <v>4.5999999999999996</v>
      </c>
      <c r="F306" s="80">
        <f t="shared" ca="1" si="75"/>
        <v>0</v>
      </c>
      <c r="G306" s="80">
        <f t="shared" ca="1" si="75"/>
        <v>1.9450312335676643E-74</v>
      </c>
      <c r="H306" s="80">
        <f t="shared" ca="1" si="75"/>
        <v>1.9518708621362601E-43</v>
      </c>
      <c r="I306" s="80">
        <f t="shared" ca="1" si="75"/>
        <v>1.1056346077656767E-27</v>
      </c>
      <c r="J306" s="80">
        <f t="shared" ca="1" si="75"/>
        <v>7.2268934232827396E-20</v>
      </c>
      <c r="K306" s="80">
        <f t="shared" ca="1" si="75"/>
        <v>2.4352876517075336E-13</v>
      </c>
      <c r="L306" s="80">
        <f t="shared" ca="1" si="75"/>
        <v>5.1888508943521619E-9</v>
      </c>
      <c r="M306" s="80">
        <f t="shared" ca="1" si="75"/>
        <v>4.4489077413810326E-6</v>
      </c>
      <c r="N306" s="80">
        <f t="shared" ca="1" si="75"/>
        <v>4.3815966701965525E-4</v>
      </c>
      <c r="O306" s="80">
        <f t="shared" ca="1" si="75"/>
        <v>9.341943128058583E-3</v>
      </c>
      <c r="P306" s="80">
        <f t="shared" ca="1" si="76"/>
        <v>6.4364624363827283E-2</v>
      </c>
      <c r="Q306" s="80">
        <f t="shared" ca="1" si="76"/>
        <v>0.18724244103695353</v>
      </c>
      <c r="R306" s="80">
        <f t="shared" ca="1" si="76"/>
        <v>0.27804414187644511</v>
      </c>
      <c r="S306" s="80">
        <f t="shared" ca="1" si="76"/>
        <v>0.24268112672331099</v>
      </c>
      <c r="T306" s="80">
        <f t="shared" ca="1" si="76"/>
        <v>0.13866743727673425</v>
      </c>
      <c r="U306" s="80">
        <f t="shared" ca="1" si="76"/>
        <v>5.6395391897555269E-2</v>
      </c>
      <c r="V306" s="80">
        <f t="shared" ca="1" si="76"/>
        <v>1.7430667954212442E-2</v>
      </c>
      <c r="W306" s="80">
        <f t="shared" ca="1" si="76"/>
        <v>4.3122263170891628E-3</v>
      </c>
      <c r="X306" s="80">
        <f t="shared" ca="1" si="76"/>
        <v>8.899336850339834E-4</v>
      </c>
      <c r="Y306" s="80">
        <f t="shared" ca="1" si="76"/>
        <v>1.583822800058643E-4</v>
      </c>
      <c r="Z306" s="80">
        <f t="shared" ca="1" si="76"/>
        <v>2.9069696918071486E-5</v>
      </c>
      <c r="AA306" s="80">
        <f ca="1">SUMPRODUCT(F306:Z306,FailureForCPU!E$17:Y$17)</f>
        <v>6.5789195971424942E-3</v>
      </c>
      <c r="AB306" s="80">
        <f t="shared" ca="1" si="72"/>
        <v>2.993511974772765E-2</v>
      </c>
      <c r="AC306" s="12">
        <f t="shared" ca="1" si="73"/>
        <v>4.5202222891875863</v>
      </c>
      <c r="AD306" s="12">
        <f t="shared" ca="1" si="74"/>
        <v>1</v>
      </c>
    </row>
    <row r="307" spans="1:30">
      <c r="A307" s="56">
        <v>20</v>
      </c>
      <c r="B307" s="12">
        <f t="shared" si="68"/>
        <v>4.2813726177777767</v>
      </c>
      <c r="C307" s="12">
        <f t="shared" si="69"/>
        <v>4.4280350668175936</v>
      </c>
      <c r="D307" s="23">
        <f t="array" ref="D307">MATCH(MIN(ABS(ServerTypeA!$A$106:$A$165-$C307)),ABS(ServerTypeA!$A$106:$A$165-$C307),0)</f>
        <v>44</v>
      </c>
      <c r="E307" s="23">
        <f t="array" ref="E307">INDEX(ServerTypeA!$A$106:$A$165,MATCH(MIN(ABS(ServerTypeA!$A$106:$A$165-$C307)),ABS(ServerTypeA!$A$106:$A$165-$C307),0))</f>
        <v>4.4000000000000004</v>
      </c>
      <c r="F307" s="80">
        <f t="shared" ca="1" si="75"/>
        <v>0</v>
      </c>
      <c r="G307" s="80">
        <f t="shared" ca="1" si="75"/>
        <v>1.1324045275092948E-65</v>
      </c>
      <c r="H307" s="80">
        <f t="shared" ca="1" si="75"/>
        <v>1.0240139345634852E-37</v>
      </c>
      <c r="I307" s="80">
        <f t="shared" ca="1" si="75"/>
        <v>1.1963954622512039E-23</v>
      </c>
      <c r="J307" s="80">
        <f t="shared" ca="1" si="75"/>
        <v>9.728326217269486E-17</v>
      </c>
      <c r="K307" s="80">
        <f t="shared" ca="1" si="75"/>
        <v>4.9549950547790573E-11</v>
      </c>
      <c r="L307" s="80">
        <f t="shared" ca="1" si="75"/>
        <v>2.6393002512798672E-7</v>
      </c>
      <c r="M307" s="80">
        <f t="shared" ca="1" si="75"/>
        <v>7.8831483922981946E-5</v>
      </c>
      <c r="N307" s="80">
        <f t="shared" ca="1" si="75"/>
        <v>3.3981376375431527E-3</v>
      </c>
      <c r="O307" s="80">
        <f t="shared" ca="1" si="75"/>
        <v>3.7183996373000627E-2</v>
      </c>
      <c r="P307" s="80">
        <f t="shared" ca="1" si="76"/>
        <v>0.14746118765791461</v>
      </c>
      <c r="Q307" s="80">
        <f t="shared" ca="1" si="76"/>
        <v>0.26959173636167788</v>
      </c>
      <c r="R307" s="80">
        <f t="shared" ca="1" si="76"/>
        <v>0.27015420719258254</v>
      </c>
      <c r="S307" s="80">
        <f t="shared" ca="1" si="76"/>
        <v>0.16887707489021397</v>
      </c>
      <c r="T307" s="80">
        <f t="shared" ca="1" si="76"/>
        <v>7.268072477294607E-2</v>
      </c>
      <c r="U307" s="80">
        <f t="shared" ca="1" si="76"/>
        <v>2.3239036953590642E-2</v>
      </c>
      <c r="V307" s="80">
        <f t="shared" ca="1" si="76"/>
        <v>5.8577236837721314E-3</v>
      </c>
      <c r="W307" s="80">
        <f t="shared" ca="1" si="76"/>
        <v>1.2195628628653976E-3</v>
      </c>
      <c r="X307" s="80">
        <f t="shared" ca="1" si="76"/>
        <v>2.1762200366570728E-4</v>
      </c>
      <c r="Y307" s="80">
        <f t="shared" ca="1" si="76"/>
        <v>3.4281764194066255E-5</v>
      </c>
      <c r="Z307" s="80">
        <f t="shared" ca="1" si="76"/>
        <v>5.6123825350473666E-6</v>
      </c>
      <c r="AA307" s="80">
        <f ca="1">SUMPRODUCT(F307:Z307,FailureForCPU!E$17:Y$17)</f>
        <v>3.4628183374226617E-3</v>
      </c>
      <c r="AB307" s="80">
        <f t="shared" ca="1" si="72"/>
        <v>1.5333481028126544E-2</v>
      </c>
      <c r="AC307" s="12">
        <f t="shared" ca="1" si="73"/>
        <v>4.4127015857894669</v>
      </c>
      <c r="AD307" s="12">
        <f t="shared" ca="1" si="74"/>
        <v>1</v>
      </c>
    </row>
    <row r="308" spans="1:30">
      <c r="A308" s="56">
        <v>21</v>
      </c>
      <c r="B308" s="12">
        <f t="shared" si="68"/>
        <v>3.3526749333333328</v>
      </c>
      <c r="C308" s="12">
        <f t="shared" si="69"/>
        <v>3.4675239690176629</v>
      </c>
      <c r="D308" s="23">
        <f t="array" ref="D308">MATCH(MIN(ABS(ServerTypeA!$A$106:$A$165-$C308)),ABS(ServerTypeA!$A$106:$A$165-$C308),0)</f>
        <v>35</v>
      </c>
      <c r="E308" s="23">
        <f t="array" ref="E308">INDEX(ServerTypeA!$A$106:$A$165,MATCH(MIN(ABS(ServerTypeA!$A$106:$A$165-$C308)),ABS(ServerTypeA!$A$106:$A$165-$C308),0))</f>
        <v>3.5</v>
      </c>
      <c r="F308" s="80">
        <f t="shared" ca="1" si="75"/>
        <v>0</v>
      </c>
      <c r="G308" s="80">
        <f t="shared" ca="1" si="75"/>
        <v>1.50366484881224E-38</v>
      </c>
      <c r="H308" s="80">
        <f t="shared" ca="1" si="75"/>
        <v>7.9630702305120814E-21</v>
      </c>
      <c r="I308" s="80">
        <f t="shared" ca="1" si="75"/>
        <v>2.8669683470833189E-12</v>
      </c>
      <c r="J308" s="80">
        <f t="shared" ca="1" si="75"/>
        <v>3.0218697383724031E-8</v>
      </c>
      <c r="K308" s="80">
        <f t="shared" ca="1" si="75"/>
        <v>4.3199956064287151E-5</v>
      </c>
      <c r="L308" s="80">
        <f t="shared" ca="1" si="75"/>
        <v>3.5013605088770605E-3</v>
      </c>
      <c r="M308" s="80">
        <f t="shared" ca="1" si="75"/>
        <v>4.6796239906555681E-2</v>
      </c>
      <c r="N308" s="80">
        <f t="shared" ca="1" si="75"/>
        <v>0.1836888456785849</v>
      </c>
      <c r="O308" s="80">
        <f t="shared" ca="1" si="75"/>
        <v>0.30021993974432037</v>
      </c>
      <c r="P308" s="80">
        <f t="shared" ca="1" si="76"/>
        <v>0.25809558618541772</v>
      </c>
      <c r="Q308" s="80">
        <f t="shared" ca="1" si="76"/>
        <v>0.13763547452249747</v>
      </c>
      <c r="R308" s="80">
        <f t="shared" ca="1" si="76"/>
        <v>5.1284801903269006E-2</v>
      </c>
      <c r="S308" s="80">
        <f t="shared" ca="1" si="76"/>
        <v>1.4568035999753315E-2</v>
      </c>
      <c r="T308" s="80">
        <f t="shared" ca="1" si="76"/>
        <v>3.365317272463475E-3</v>
      </c>
      <c r="U308" s="80">
        <f t="shared" ca="1" si="76"/>
        <v>6.6363492525067791E-4</v>
      </c>
      <c r="V308" s="80">
        <f t="shared" ca="1" si="76"/>
        <v>1.1590947375528238E-4</v>
      </c>
      <c r="W308" s="80">
        <f t="shared" ca="1" si="76"/>
        <v>1.8445870450967128E-5</v>
      </c>
      <c r="X308" s="80">
        <f t="shared" ca="1" si="76"/>
        <v>2.7341701650529515E-6</v>
      </c>
      <c r="Y308" s="80">
        <f t="shared" ca="1" si="76"/>
        <v>3.8405104496597176E-7</v>
      </c>
      <c r="Z308" s="80">
        <f t="shared" ca="1" si="76"/>
        <v>5.9609965408213839E-8</v>
      </c>
      <c r="AA308" s="80">
        <f ca="1">SUMPRODUCT(F308:Z308,FailureForCPU!E$17:Y$17)</f>
        <v>1.9891693999302221E-4</v>
      </c>
      <c r="AB308" s="80">
        <f t="shared" ca="1" si="72"/>
        <v>6.8974925726945262E-4</v>
      </c>
      <c r="AC308" s="12">
        <f t="shared" ca="1" si="73"/>
        <v>3.4668342197603934</v>
      </c>
      <c r="AD308" s="12">
        <f t="shared" ca="1" si="74"/>
        <v>1</v>
      </c>
    </row>
    <row r="309" spans="1:30">
      <c r="A309" s="56">
        <v>22</v>
      </c>
      <c r="B309" s="12">
        <f t="shared" si="68"/>
        <v>2.0333673111111108</v>
      </c>
      <c r="C309" s="12">
        <f t="shared" si="69"/>
        <v>2.1030222223437267</v>
      </c>
      <c r="D309" s="23">
        <f t="array" ref="D309">MATCH(MIN(ABS(ServerTypeA!$A$106:$A$165-$C309)),ABS(ServerTypeA!$A$106:$A$165-$C309),0)</f>
        <v>21</v>
      </c>
      <c r="E309" s="23">
        <f t="array" ref="E309">INDEX(ServerTypeA!$A$106:$A$165,MATCH(MIN(ABS(ServerTypeA!$A$106:$A$165-$C309)),ABS(ServerTypeA!$A$106:$A$165-$C309),0))</f>
        <v>2.1</v>
      </c>
      <c r="F309" s="80">
        <f t="shared" ca="1" si="75"/>
        <v>0</v>
      </c>
      <c r="G309" s="80">
        <f t="shared" ca="1" si="75"/>
        <v>2.5357922694985603E-15</v>
      </c>
      <c r="H309" s="80">
        <f t="shared" ca="1" si="75"/>
        <v>1.702973368267634E-7</v>
      </c>
      <c r="I309" s="80">
        <f t="shared" ca="1" si="75"/>
        <v>4.7617402327868697E-4</v>
      </c>
      <c r="J309" s="80">
        <f t="shared" ca="1" si="75"/>
        <v>1.3224086946461266E-2</v>
      </c>
      <c r="K309" s="80">
        <f t="shared" ca="1" si="75"/>
        <v>0.12413549219269859</v>
      </c>
      <c r="L309" s="80">
        <f t="shared" ca="1" si="75"/>
        <v>0.29551688970197165</v>
      </c>
      <c r="M309" s="80">
        <f t="shared" ca="1" si="75"/>
        <v>0.29844063028975598</v>
      </c>
      <c r="N309" s="80">
        <f t="shared" ca="1" si="75"/>
        <v>0.17196326563138287</v>
      </c>
      <c r="O309" s="80">
        <f t="shared" ca="1" si="75"/>
        <v>6.8192738245804185E-2</v>
      </c>
      <c r="P309" s="80">
        <f t="shared" ca="1" si="76"/>
        <v>2.1010021948516533E-2</v>
      </c>
      <c r="Q309" s="80">
        <f t="shared" ca="1" si="76"/>
        <v>5.4495764603040842E-3</v>
      </c>
      <c r="R309" s="80">
        <f t="shared" ca="1" si="76"/>
        <v>1.2565417597770745E-3</v>
      </c>
      <c r="S309" s="80">
        <f t="shared" ca="1" si="76"/>
        <v>2.6744785902110824E-4</v>
      </c>
      <c r="T309" s="80">
        <f t="shared" ca="1" si="76"/>
        <v>5.3964566450792617E-5</v>
      </c>
      <c r="U309" s="80">
        <f t="shared" ca="1" si="76"/>
        <v>1.0521585664613475E-5</v>
      </c>
      <c r="V309" s="80">
        <f t="shared" ca="1" si="76"/>
        <v>2.0099721521615876E-6</v>
      </c>
      <c r="W309" s="80">
        <f t="shared" ca="1" si="76"/>
        <v>3.8007576763643414E-7</v>
      </c>
      <c r="X309" s="80">
        <f t="shared" ca="1" si="76"/>
        <v>7.1681720892335932E-8</v>
      </c>
      <c r="Y309" s="80">
        <f t="shared" ca="1" si="76"/>
        <v>1.3559813938357479E-8</v>
      </c>
      <c r="Z309" s="80">
        <f t="shared" ca="1" si="76"/>
        <v>3.202118570300172E-9</v>
      </c>
      <c r="AA309" s="80">
        <f ca="1">SUMPRODUCT(F309:Z309,FailureForCPU!E$17:Y$17)</f>
        <v>3.4805579297516227E-6</v>
      </c>
      <c r="AB309" s="80">
        <f t="shared" ca="1" si="72"/>
        <v>7.3196906724223379E-6</v>
      </c>
      <c r="AC309" s="12">
        <f t="shared" ca="1" si="73"/>
        <v>2.1030149026530545</v>
      </c>
      <c r="AD309" s="12">
        <f t="shared" ca="1" si="74"/>
        <v>1</v>
      </c>
    </row>
    <row r="310" spans="1:30">
      <c r="A310" s="56">
        <v>23</v>
      </c>
      <c r="B310" s="12">
        <f t="shared" si="68"/>
        <v>1.0004340733333335</v>
      </c>
      <c r="C310" s="12">
        <f t="shared" si="69"/>
        <v>1.0347048842150326</v>
      </c>
      <c r="D310" s="23">
        <f t="array" ref="D310">MATCH(MIN(ABS(ServerTypeA!$A$106:$A$165-$C310)),ABS(ServerTypeA!$A$106:$A$165-$C310),0)</f>
        <v>10</v>
      </c>
      <c r="E310" s="23">
        <f t="array" ref="E310">INDEX(ServerTypeA!$A$106:$A$165,MATCH(MIN(ABS(ServerTypeA!$A$106:$A$165-$C310)),ABS(ServerTypeA!$A$106:$A$165-$C310),0))</f>
        <v>1</v>
      </c>
      <c r="F310" s="80">
        <f t="shared" ca="1" si="75"/>
        <v>0</v>
      </c>
      <c r="G310" s="80">
        <f t="shared" ca="1" si="75"/>
        <v>6.3362385179783882E-5</v>
      </c>
      <c r="H310" s="80">
        <f t="shared" ca="1" si="75"/>
        <v>3.2995538185137452E-2</v>
      </c>
      <c r="I310" s="80">
        <f t="shared" ca="1" si="75"/>
        <v>0.26726256706287965</v>
      </c>
      <c r="J310" s="80">
        <f t="shared" ca="1" si="75"/>
        <v>0.31013660162702217</v>
      </c>
      <c r="K310" s="80">
        <f t="shared" ca="1" si="75"/>
        <v>0.2532552756998514</v>
      </c>
      <c r="L310" s="80">
        <f t="shared" ca="1" si="75"/>
        <v>9.8107796915847922E-2</v>
      </c>
      <c r="M310" s="80">
        <f t="shared" ca="1" si="75"/>
        <v>2.8732042413077363E-2</v>
      </c>
      <c r="N310" s="80">
        <f t="shared" ca="1" si="75"/>
        <v>7.2542263535837481E-3</v>
      </c>
      <c r="O310" s="80">
        <f t="shared" ca="1" si="75"/>
        <v>1.6975679546920031E-3</v>
      </c>
      <c r="P310" s="80">
        <f t="shared" ca="1" si="76"/>
        <v>3.8387097105896384E-4</v>
      </c>
      <c r="Q310" s="80">
        <f t="shared" ca="1" si="76"/>
        <v>8.5988652237634078E-5</v>
      </c>
      <c r="R310" s="80">
        <f t="shared" ca="1" si="76"/>
        <v>1.9370639502747089E-5</v>
      </c>
      <c r="S310" s="80">
        <f t="shared" ca="1" si="76"/>
        <v>4.4290582862371863E-6</v>
      </c>
      <c r="T310" s="80">
        <f t="shared" ca="1" si="76"/>
        <v>1.033706087172348E-6</v>
      </c>
      <c r="U310" s="80">
        <f t="shared" ca="1" si="76"/>
        <v>2.4709440304970798E-7</v>
      </c>
      <c r="V310" s="80">
        <f t="shared" ca="1" si="76"/>
        <v>6.0608630669811703E-8</v>
      </c>
      <c r="W310" s="80">
        <f t="shared" ca="1" si="76"/>
        <v>1.5269196684819519E-8</v>
      </c>
      <c r="X310" s="80">
        <f t="shared" ca="1" si="76"/>
        <v>3.9522030093053218E-9</v>
      </c>
      <c r="Y310" s="80">
        <f t="shared" ca="1" si="76"/>
        <v>1.0508791614682877E-9</v>
      </c>
      <c r="Z310" s="80">
        <f t="shared" ca="1" si="76"/>
        <v>4.0024294989393638E-10</v>
      </c>
      <c r="AA310" s="80">
        <f ca="1">SUMPRODUCT(F310:Z310,FailureForCPU!E$17:Y$17)</f>
        <v>6.3473937673511974E-8</v>
      </c>
      <c r="AB310" s="80">
        <f t="shared" ca="1" si="72"/>
        <v>6.5676793331143405E-8</v>
      </c>
      <c r="AC310" s="12">
        <f t="shared" ca="1" si="73"/>
        <v>1.0347048185382393</v>
      </c>
      <c r="AD310" s="12">
        <f t="shared" ca="1" si="74"/>
        <v>0.99999999999999978</v>
      </c>
    </row>
    <row r="311" spans="1:30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>
      <c r="A312" s="54" t="s">
        <v>55</v>
      </c>
      <c r="B312" s="12">
        <f>SUM(B287:B310)</f>
        <v>48.744819081532569</v>
      </c>
      <c r="C312" s="12">
        <f>SUM(C287:C310)</f>
        <v>50.414618742233678</v>
      </c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25">
        <f ca="1">SUM(AB287:AB310)</f>
        <v>4.7762488307992075E-2</v>
      </c>
      <c r="AC312" s="25">
        <f ca="1">SUM(AC287:AC310)</f>
        <v>50.366856253925683</v>
      </c>
      <c r="AD312" s="54"/>
    </row>
    <row r="313" spans="1:30">
      <c r="A313" s="54" t="s">
        <v>66</v>
      </c>
      <c r="B313" s="69">
        <f ca="1">AC312/C312</f>
        <v>0.99905260637688842</v>
      </c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5" spans="1:30">
      <c r="A315" s="22" t="s">
        <v>116</v>
      </c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>
      <c r="A316" s="22" t="s">
        <v>51</v>
      </c>
      <c r="B316" s="37">
        <f>QResults!F11/QResults!B11</f>
        <v>1.0113912180372169</v>
      </c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>
      <c r="A317" s="54"/>
      <c r="B317" s="54"/>
      <c r="C317" s="54"/>
      <c r="D317" s="54"/>
      <c r="E317" s="54" t="s">
        <v>59</v>
      </c>
      <c r="F317" s="56">
        <v>0</v>
      </c>
      <c r="G317" s="56">
        <v>1</v>
      </c>
      <c r="H317" s="56">
        <v>2</v>
      </c>
      <c r="I317" s="56">
        <v>3</v>
      </c>
      <c r="J317" s="56">
        <v>4</v>
      </c>
      <c r="K317" s="56">
        <v>5</v>
      </c>
      <c r="L317" s="56">
        <v>6</v>
      </c>
      <c r="M317" s="56">
        <v>7</v>
      </c>
      <c r="N317" s="56">
        <v>8</v>
      </c>
      <c r="O317" s="56">
        <v>9</v>
      </c>
      <c r="P317" s="56">
        <v>10</v>
      </c>
      <c r="Q317" s="56">
        <v>11</v>
      </c>
      <c r="R317" s="56">
        <v>12</v>
      </c>
      <c r="S317" s="56">
        <v>13</v>
      </c>
      <c r="T317" s="56">
        <v>14</v>
      </c>
      <c r="U317" s="56">
        <v>15</v>
      </c>
      <c r="V317" s="56">
        <v>16</v>
      </c>
      <c r="W317" s="56">
        <v>17</v>
      </c>
      <c r="X317" s="56">
        <v>18</v>
      </c>
      <c r="Y317" s="56">
        <v>19</v>
      </c>
      <c r="Z317" s="56">
        <v>20</v>
      </c>
      <c r="AA317" s="54"/>
      <c r="AB317" s="54"/>
      <c r="AC317" s="54"/>
      <c r="AD317" s="54"/>
    </row>
    <row r="318" spans="1:30" ht="45">
      <c r="A318" s="56" t="s">
        <v>52</v>
      </c>
      <c r="B318" s="56" t="s">
        <v>53</v>
      </c>
      <c r="C318" s="56" t="s">
        <v>54</v>
      </c>
      <c r="D318" s="61" t="s">
        <v>56</v>
      </c>
      <c r="E318" s="61" t="s">
        <v>57</v>
      </c>
      <c r="F318" s="56" t="s">
        <v>20</v>
      </c>
      <c r="G318" s="56" t="s">
        <v>21</v>
      </c>
      <c r="H318" s="56" t="s">
        <v>22</v>
      </c>
      <c r="I318" s="56" t="s">
        <v>23</v>
      </c>
      <c r="J318" s="56" t="s">
        <v>24</v>
      </c>
      <c r="K318" s="56" t="s">
        <v>25</v>
      </c>
      <c r="L318" s="56" t="s">
        <v>26</v>
      </c>
      <c r="M318" s="56" t="s">
        <v>27</v>
      </c>
      <c r="N318" s="56" t="s">
        <v>28</v>
      </c>
      <c r="O318" s="56" t="s">
        <v>29</v>
      </c>
      <c r="P318" s="56" t="s">
        <v>30</v>
      </c>
      <c r="Q318" s="56" t="s">
        <v>31</v>
      </c>
      <c r="R318" s="56" t="s">
        <v>32</v>
      </c>
      <c r="S318" s="56" t="s">
        <v>33</v>
      </c>
      <c r="T318" s="56" t="s">
        <v>34</v>
      </c>
      <c r="U318" s="56" t="s">
        <v>35</v>
      </c>
      <c r="V318" s="56" t="s">
        <v>36</v>
      </c>
      <c r="W318" s="56" t="s">
        <v>37</v>
      </c>
      <c r="X318" s="56" t="s">
        <v>38</v>
      </c>
      <c r="Y318" s="56" t="s">
        <v>39</v>
      </c>
      <c r="Z318" s="56" t="s">
        <v>40</v>
      </c>
      <c r="AA318" s="61" t="s">
        <v>58</v>
      </c>
      <c r="AB318" s="61" t="s">
        <v>64</v>
      </c>
      <c r="AC318" s="61" t="s">
        <v>65</v>
      </c>
      <c r="AD318" s="56" t="s">
        <v>75</v>
      </c>
    </row>
    <row r="319" spans="1:30">
      <c r="A319" s="56">
        <v>0</v>
      </c>
      <c r="B319" s="12">
        <f t="shared" ref="B319:B342" si="77">B191</f>
        <v>0.54705915111111103</v>
      </c>
      <c r="C319" s="12">
        <f t="shared" ref="C319:C342" si="78">$B$316*B319</f>
        <v>0.55329082118067252</v>
      </c>
      <c r="D319" s="23">
        <f t="array" ref="D319">MATCH(MIN(ABS(ServerTypeA!$A$106:$A$165-$C319)),ABS(ServerTypeA!$A$106:$A$165-$C319),0)</f>
        <v>6</v>
      </c>
      <c r="E319" s="23">
        <f t="array" ref="E319">INDEX(ServerTypeA!$A$106:$A$165,MATCH(MIN(ABS(ServerTypeA!$A$106:$A$165-$C319)),ABS(ServerTypeA!$A$106:$A$165-$C319),0))</f>
        <v>0.6</v>
      </c>
      <c r="F319" s="12">
        <f t="shared" ref="F319:O328" ca="1" si="79">OFFSET($B$106,$D319-1,F$221,1,1)</f>
        <v>0</v>
      </c>
      <c r="G319" s="80">
        <f t="shared" ca="1" si="79"/>
        <v>8.8501101347481185E-3</v>
      </c>
      <c r="H319" s="12">
        <f t="shared" ca="1" si="79"/>
        <v>0.23702524946475678</v>
      </c>
      <c r="I319" s="12">
        <f t="shared" ca="1" si="79"/>
        <v>0.41757389753529983</v>
      </c>
      <c r="J319" s="12">
        <f t="shared" ca="1" si="79"/>
        <v>0.20102280901080527</v>
      </c>
      <c r="K319" s="12">
        <f t="shared" ca="1" si="79"/>
        <v>9.8805432504243562E-2</v>
      </c>
      <c r="L319" s="12">
        <f t="shared" ca="1" si="79"/>
        <v>2.7583944128667937E-2</v>
      </c>
      <c r="M319" s="12">
        <f t="shared" ca="1" si="79"/>
        <v>6.9229815342005674E-3</v>
      </c>
      <c r="N319" s="12">
        <f t="shared" ca="1" si="79"/>
        <v>1.6759676772103438E-3</v>
      </c>
      <c r="O319" s="12">
        <f t="shared" ca="1" si="79"/>
        <v>4.054455240855015E-4</v>
      </c>
      <c r="P319" s="12">
        <f t="shared" ref="P319:Z328" ca="1" si="80">OFFSET($B$106,$D319-1,P$221,1,1)</f>
        <v>9.9826693368942898E-5</v>
      </c>
      <c r="Q319" s="12">
        <f t="shared" ca="1" si="80"/>
        <v>2.5253762408916636E-5</v>
      </c>
      <c r="R319" s="12">
        <f t="shared" ca="1" si="80"/>
        <v>6.5949166127010628E-6</v>
      </c>
      <c r="S319" s="12">
        <f t="shared" ca="1" si="80"/>
        <v>1.7814388527659375E-6</v>
      </c>
      <c r="T319" s="12">
        <f t="shared" ca="1" si="80"/>
        <v>4.9799148915674607E-7</v>
      </c>
      <c r="U319" s="12">
        <f t="shared" ca="1" si="80"/>
        <v>1.4400980208328917E-7</v>
      </c>
      <c r="V319" s="12">
        <f t="shared" ca="1" si="80"/>
        <v>4.3042460484699063E-8</v>
      </c>
      <c r="W319" s="12">
        <f t="shared" ca="1" si="80"/>
        <v>1.3281143851351374E-8</v>
      </c>
      <c r="X319" s="12">
        <f t="shared" ca="1" si="80"/>
        <v>4.2252131793318881E-9</v>
      </c>
      <c r="Y319" s="12">
        <f t="shared" ca="1" si="80"/>
        <v>1.3840658619201918E-9</v>
      </c>
      <c r="Z319" s="12">
        <f t="shared" ca="1" si="80"/>
        <v>7.1807870760665082E-10</v>
      </c>
      <c r="AA319" s="80">
        <f ca="1">SUMPRODUCT(F319:Z319,FailureForCPU!E$17:Y$17)</f>
        <v>2.9442263253335687E-8</v>
      </c>
      <c r="AB319" s="80">
        <f t="shared" ref="AB319:AB342" ca="1" si="81">AA319*C319</f>
        <v>1.6290134012855643E-8</v>
      </c>
      <c r="AC319" s="12">
        <f t="shared" ref="AC319:AC342" ca="1" si="82">C319-AB319</f>
        <v>0.5532908048905385</v>
      </c>
      <c r="AD319" s="12">
        <f t="shared" ref="AD319:AD342" ca="1" si="83">SUM(F319:Z319)</f>
        <v>0.99999999897751457</v>
      </c>
    </row>
    <row r="320" spans="1:30">
      <c r="A320" s="56">
        <v>1</v>
      </c>
      <c r="B320" s="12">
        <f t="shared" si="77"/>
        <v>0.30210809111111114</v>
      </c>
      <c r="C320" s="12">
        <f t="shared" si="78"/>
        <v>0.30554947024776519</v>
      </c>
      <c r="D320" s="23">
        <f t="array" ref="D320">MATCH(MIN(ABS(ServerTypeA!$A$106:$A$165-$C320)),ABS(ServerTypeA!$A$106:$A$165-$C320),0)</f>
        <v>3</v>
      </c>
      <c r="E320" s="23">
        <f t="array" ref="E320">INDEX(ServerTypeA!$A$106:$A$165,MATCH(MIN(ABS(ServerTypeA!$A$106:$A$165-$C320)),ABS(ServerTypeA!$A$106:$A$165-$C320),0))</f>
        <v>0.3</v>
      </c>
      <c r="F320" s="12">
        <f t="shared" ca="1" si="79"/>
        <v>0</v>
      </c>
      <c r="G320" s="80">
        <f t="shared" ca="1" si="79"/>
        <v>9.3645685149841063E-2</v>
      </c>
      <c r="H320" s="12">
        <f t="shared" ca="1" si="79"/>
        <v>0.43496774121179493</v>
      </c>
      <c r="I320" s="12">
        <f t="shared" ca="1" si="79"/>
        <v>0.30971202206367943</v>
      </c>
      <c r="J320" s="12">
        <f t="shared" ca="1" si="79"/>
        <v>0.10084687618964905</v>
      </c>
      <c r="K320" s="12">
        <f t="shared" ca="1" si="79"/>
        <v>4.369155763676158E-2</v>
      </c>
      <c r="L320" s="12">
        <f t="shared" ca="1" si="79"/>
        <v>1.2294147338348549E-2</v>
      </c>
      <c r="M320" s="12">
        <f t="shared" ca="1" si="79"/>
        <v>3.4319914015099595E-3</v>
      </c>
      <c r="N320" s="12">
        <f t="shared" ca="1" si="79"/>
        <v>9.7974800056666034E-4</v>
      </c>
      <c r="O320" s="12">
        <f t="shared" ca="1" si="79"/>
        <v>2.8965646966772063E-4</v>
      </c>
      <c r="P320" s="12">
        <f t="shared" ca="1" si="80"/>
        <v>8.9102308850064205E-5</v>
      </c>
      <c r="Q320" s="12">
        <f t="shared" ca="1" si="80"/>
        <v>2.8546284221997453E-5</v>
      </c>
      <c r="R320" s="12">
        <f t="shared" ca="1" si="80"/>
        <v>9.5172244658492389E-6</v>
      </c>
      <c r="S320" s="12">
        <f t="shared" ca="1" si="80"/>
        <v>3.2965250564842563E-6</v>
      </c>
      <c r="T320" s="12">
        <f t="shared" ca="1" si="80"/>
        <v>1.1839190681151024E-6</v>
      </c>
      <c r="U320" s="12">
        <f t="shared" ca="1" si="80"/>
        <v>4.3994472476160951E-7</v>
      </c>
      <c r="V320" s="12">
        <f t="shared" ca="1" si="80"/>
        <v>1.688057024162859E-7</v>
      </c>
      <c r="W320" s="12">
        <f t="shared" ca="1" si="80"/>
        <v>6.6746950189155996E-8</v>
      </c>
      <c r="X320" s="12">
        <f t="shared" ca="1" si="80"/>
        <v>2.7147205150512832E-8</v>
      </c>
      <c r="Y320" s="12">
        <f t="shared" ca="1" si="80"/>
        <v>1.1337537686451071E-8</v>
      </c>
      <c r="Z320" s="12">
        <f t="shared" ca="1" si="80"/>
        <v>8.7650239288805665E-9</v>
      </c>
      <c r="AA320" s="80">
        <f ca="1">SUMPRODUCT(F320:Z320,FailureForCPU!E$17:Y$17)</f>
        <v>7.3483250387362808E-8</v>
      </c>
      <c r="AB320" s="80">
        <f t="shared" ca="1" si="81"/>
        <v>2.2452768227942593E-8</v>
      </c>
      <c r="AC320" s="12">
        <f t="shared" ca="1" si="82"/>
        <v>0.30554944779499699</v>
      </c>
      <c r="AD320" s="12">
        <f t="shared" ca="1" si="83"/>
        <v>0.99999179447062558</v>
      </c>
    </row>
    <row r="321" spans="1:30">
      <c r="A321" s="56">
        <v>2</v>
      </c>
      <c r="B321" s="12">
        <f t="shared" si="77"/>
        <v>0.19123856888888888</v>
      </c>
      <c r="C321" s="12">
        <f t="shared" si="78"/>
        <v>0.19341700912422752</v>
      </c>
      <c r="D321" s="23">
        <f t="array" ref="D321">MATCH(MIN(ABS(ServerTypeA!$A$106:$A$165-$C321)),ABS(ServerTypeA!$A$106:$A$165-$C321),0)</f>
        <v>2</v>
      </c>
      <c r="E321" s="23">
        <f t="array" ref="E321">INDEX(ServerTypeA!$A$106:$A$165,MATCH(MIN(ABS(ServerTypeA!$A$106:$A$165-$C321)),ABS(ServerTypeA!$A$106:$A$165-$C321),0))</f>
        <v>0.2</v>
      </c>
      <c r="F321" s="12">
        <f t="shared" ca="1" si="79"/>
        <v>0</v>
      </c>
      <c r="G321" s="80">
        <f t="shared" ca="1" si="79"/>
        <v>0.1626364559668394</v>
      </c>
      <c r="H321" s="12">
        <f t="shared" ca="1" si="79"/>
        <v>0.44689177712898531</v>
      </c>
      <c r="I321" s="12">
        <f t="shared" ca="1" si="79"/>
        <v>0.25672841154259229</v>
      </c>
      <c r="J321" s="12">
        <f t="shared" ca="1" si="79"/>
        <v>8.0778867012517908E-2</v>
      </c>
      <c r="K321" s="12">
        <f t="shared" ca="1" si="79"/>
        <v>3.6441263038010985E-2</v>
      </c>
      <c r="L321" s="12">
        <f t="shared" ca="1" si="79"/>
        <v>1.1196275956871338E-2</v>
      </c>
      <c r="M321" s="12">
        <f t="shared" ca="1" si="79"/>
        <v>3.494913428613633E-3</v>
      </c>
      <c r="N321" s="12">
        <f t="shared" ca="1" si="79"/>
        <v>1.1292488621793551E-3</v>
      </c>
      <c r="O321" s="12">
        <f t="shared" ca="1" si="79"/>
        <v>3.8010943408661735E-4</v>
      </c>
      <c r="P321" s="12">
        <f t="shared" ca="1" si="80"/>
        <v>1.3344624165900765E-4</v>
      </c>
      <c r="Q321" s="12">
        <f t="shared" ca="1" si="80"/>
        <v>4.881027651226777E-5</v>
      </c>
      <c r="R321" s="12">
        <f t="shared" ca="1" si="80"/>
        <v>1.8562562802637572E-5</v>
      </c>
      <c r="S321" s="12">
        <f t="shared" ca="1" si="80"/>
        <v>7.3223909015096567E-6</v>
      </c>
      <c r="T321" s="12">
        <f t="shared" ca="1" si="80"/>
        <v>2.9888294735824772E-6</v>
      </c>
      <c r="U321" s="12">
        <f t="shared" ca="1" si="80"/>
        <v>1.2594040589286593E-6</v>
      </c>
      <c r="V321" s="12">
        <f t="shared" ca="1" si="80"/>
        <v>5.4662697912544189E-7</v>
      </c>
      <c r="W321" s="12">
        <f t="shared" ca="1" si="80"/>
        <v>2.4389220010245793E-7</v>
      </c>
      <c r="X321" s="12">
        <f t="shared" ca="1" si="80"/>
        <v>1.1165486546449443E-7</v>
      </c>
      <c r="Y321" s="12">
        <f t="shared" ca="1" si="80"/>
        <v>5.2359286684122708E-8</v>
      </c>
      <c r="Z321" s="12">
        <f t="shared" ca="1" si="80"/>
        <v>5.0177817123575608E-8</v>
      </c>
      <c r="AA321" s="80">
        <f ca="1">SUMPRODUCT(F321:Z321,FailureForCPU!E$17:Y$17)</f>
        <v>2.0660950502404687E-7</v>
      </c>
      <c r="AB321" s="80">
        <f t="shared" ca="1" si="81"/>
        <v>3.9961792518388204E-8</v>
      </c>
      <c r="AC321" s="12">
        <f t="shared" ca="1" si="82"/>
        <v>0.193416969162435</v>
      </c>
      <c r="AD321" s="12">
        <f t="shared" ca="1" si="83"/>
        <v>0.99989071678725328</v>
      </c>
    </row>
    <row r="322" spans="1:30">
      <c r="A322" s="56">
        <v>3</v>
      </c>
      <c r="B322" s="12">
        <f t="shared" si="77"/>
        <v>0.17781025555555557</v>
      </c>
      <c r="C322" s="12">
        <f t="shared" si="78"/>
        <v>0.17983573094584215</v>
      </c>
      <c r="D322" s="23">
        <f t="array" ref="D322">MATCH(MIN(ABS(ServerTypeA!$A$106:$A$165-$C322)),ABS(ServerTypeA!$A$106:$A$165-$C322),0)</f>
        <v>2</v>
      </c>
      <c r="E322" s="23">
        <f t="array" ref="E322">INDEX(ServerTypeA!$A$106:$A$165,MATCH(MIN(ABS(ServerTypeA!$A$106:$A$165-$C322)),ABS(ServerTypeA!$A$106:$A$165-$C322),0))</f>
        <v>0.2</v>
      </c>
      <c r="F322" s="80">
        <f t="shared" ca="1" si="79"/>
        <v>0</v>
      </c>
      <c r="G322" s="80">
        <f t="shared" ca="1" si="79"/>
        <v>0.1626364559668394</v>
      </c>
      <c r="H322" s="80">
        <f t="shared" ca="1" si="79"/>
        <v>0.44689177712898531</v>
      </c>
      <c r="I322" s="80">
        <f t="shared" ca="1" si="79"/>
        <v>0.25672841154259229</v>
      </c>
      <c r="J322" s="80">
        <f t="shared" ca="1" si="79"/>
        <v>8.0778867012517908E-2</v>
      </c>
      <c r="K322" s="80">
        <f t="shared" ca="1" si="79"/>
        <v>3.6441263038010985E-2</v>
      </c>
      <c r="L322" s="80">
        <f t="shared" ca="1" si="79"/>
        <v>1.1196275956871338E-2</v>
      </c>
      <c r="M322" s="80">
        <f t="shared" ca="1" si="79"/>
        <v>3.494913428613633E-3</v>
      </c>
      <c r="N322" s="80">
        <f t="shared" ca="1" si="79"/>
        <v>1.1292488621793551E-3</v>
      </c>
      <c r="O322" s="80">
        <f t="shared" ca="1" si="79"/>
        <v>3.8010943408661735E-4</v>
      </c>
      <c r="P322" s="80">
        <f t="shared" ca="1" si="80"/>
        <v>1.3344624165900765E-4</v>
      </c>
      <c r="Q322" s="80">
        <f t="shared" ca="1" si="80"/>
        <v>4.881027651226777E-5</v>
      </c>
      <c r="R322" s="80">
        <f t="shared" ca="1" si="80"/>
        <v>1.8562562802637572E-5</v>
      </c>
      <c r="S322" s="80">
        <f t="shared" ca="1" si="80"/>
        <v>7.3223909015096567E-6</v>
      </c>
      <c r="T322" s="80">
        <f t="shared" ca="1" si="80"/>
        <v>2.9888294735824772E-6</v>
      </c>
      <c r="U322" s="80">
        <f t="shared" ca="1" si="80"/>
        <v>1.2594040589286593E-6</v>
      </c>
      <c r="V322" s="80">
        <f t="shared" ca="1" si="80"/>
        <v>5.4662697912544189E-7</v>
      </c>
      <c r="W322" s="80">
        <f t="shared" ca="1" si="80"/>
        <v>2.4389220010245793E-7</v>
      </c>
      <c r="X322" s="80">
        <f t="shared" ca="1" si="80"/>
        <v>1.1165486546449443E-7</v>
      </c>
      <c r="Y322" s="80">
        <f t="shared" ca="1" si="80"/>
        <v>5.2359286684122708E-8</v>
      </c>
      <c r="Z322" s="80">
        <f t="shared" ca="1" si="80"/>
        <v>5.0177817123575608E-8</v>
      </c>
      <c r="AA322" s="80">
        <f ca="1">SUMPRODUCT(F322:Z322,FailureForCPU!E$17:Y$17)</f>
        <v>2.0660950502404687E-7</v>
      </c>
      <c r="AB322" s="80">
        <f t="shared" ca="1" si="81"/>
        <v>3.7155771356358118E-8</v>
      </c>
      <c r="AC322" s="12">
        <f t="shared" ca="1" si="82"/>
        <v>0.17983569379007081</v>
      </c>
      <c r="AD322" s="12">
        <f t="shared" ca="1" si="83"/>
        <v>0.99989071678725328</v>
      </c>
    </row>
    <row r="323" spans="1:30">
      <c r="A323" s="56">
        <v>4</v>
      </c>
      <c r="B323" s="12">
        <f t="shared" si="77"/>
        <v>0.35924234000000005</v>
      </c>
      <c r="C323" s="12">
        <f t="shared" si="78"/>
        <v>0.36333454782314006</v>
      </c>
      <c r="D323" s="23">
        <f t="array" ref="D323">MATCH(MIN(ABS(ServerTypeA!$A$106:$A$165-$C323)),ABS(ServerTypeA!$A$106:$A$165-$C323),0)</f>
        <v>4</v>
      </c>
      <c r="E323" s="23">
        <f t="array" ref="E323">INDEX(ServerTypeA!$A$106:$A$165,MATCH(MIN(ABS(ServerTypeA!$A$106:$A$165-$C323)),ABS(ServerTypeA!$A$106:$A$165-$C323),0))</f>
        <v>0.4</v>
      </c>
      <c r="F323" s="80">
        <f t="shared" ca="1" si="79"/>
        <v>0</v>
      </c>
      <c r="G323" s="80">
        <f t="shared" ca="1" si="79"/>
        <v>4.8173495024784518E-2</v>
      </c>
      <c r="H323" s="80">
        <f t="shared" ca="1" si="79"/>
        <v>0.38674242167765105</v>
      </c>
      <c r="I323" s="80">
        <f t="shared" ca="1" si="79"/>
        <v>0.35996128270467487</v>
      </c>
      <c r="J323" s="80">
        <f t="shared" ca="1" si="79"/>
        <v>0.12840573422331936</v>
      </c>
      <c r="K323" s="80">
        <f t="shared" ca="1" si="79"/>
        <v>5.6094229657256189E-2</v>
      </c>
      <c r="L323" s="80">
        <f t="shared" ca="1" si="79"/>
        <v>1.5209033974828756E-2</v>
      </c>
      <c r="M323" s="80">
        <f t="shared" ca="1" si="79"/>
        <v>3.9746438089780511E-3</v>
      </c>
      <c r="N323" s="80">
        <f t="shared" ca="1" si="79"/>
        <v>1.0450649719873084E-3</v>
      </c>
      <c r="O323" s="80">
        <f t="shared" ca="1" si="79"/>
        <v>2.8192928270942552E-4</v>
      </c>
      <c r="P323" s="80">
        <f t="shared" ca="1" si="80"/>
        <v>7.8721555912264485E-5</v>
      </c>
      <c r="Q323" s="80">
        <f t="shared" ca="1" si="80"/>
        <v>2.2829740597640757E-5</v>
      </c>
      <c r="R323" s="80">
        <f t="shared" ca="1" si="80"/>
        <v>6.8815575364755688E-6</v>
      </c>
      <c r="S323" s="80">
        <f t="shared" ca="1" si="80"/>
        <v>2.1546338000444365E-6</v>
      </c>
      <c r="T323" s="80">
        <f t="shared" ca="1" si="80"/>
        <v>6.9981033046229157E-7</v>
      </c>
      <c r="U323" s="80">
        <f t="shared" ca="1" si="80"/>
        <v>2.3538909244003037E-7</v>
      </c>
      <c r="V323" s="80">
        <f t="shared" ca="1" si="80"/>
        <v>8.1849132360645172E-8</v>
      </c>
      <c r="W323" s="80">
        <f t="shared" ca="1" si="80"/>
        <v>2.9368769638438152E-8</v>
      </c>
      <c r="X323" s="80">
        <f t="shared" ca="1" si="80"/>
        <v>1.085533962719154E-8</v>
      </c>
      <c r="Y323" s="80">
        <f t="shared" ca="1" si="80"/>
        <v>4.126343045030012E-9</v>
      </c>
      <c r="Z323" s="80">
        <f t="shared" ca="1" si="80"/>
        <v>2.7148532311116469E-9</v>
      </c>
      <c r="AA323" s="80">
        <f ca="1">SUMPRODUCT(F323:Z323,FailureForCPU!E$17:Y$17)</f>
        <v>4.1768345534117412E-8</v>
      </c>
      <c r="AB323" s="80">
        <f t="shared" ca="1" si="81"/>
        <v>1.5175882937959223E-8</v>
      </c>
      <c r="AC323" s="12">
        <f t="shared" ca="1" si="82"/>
        <v>0.36333453264725712</v>
      </c>
      <c r="AD323" s="12">
        <f t="shared" ca="1" si="83"/>
        <v>0.99999948692789675</v>
      </c>
    </row>
    <row r="324" spans="1:30">
      <c r="A324" s="56">
        <v>5</v>
      </c>
      <c r="B324" s="12">
        <f t="shared" si="77"/>
        <v>0.95434750888888886</v>
      </c>
      <c r="C324" s="12">
        <f t="shared" si="78"/>
        <v>0.96521868944591693</v>
      </c>
      <c r="D324" s="23">
        <f t="array" ref="D324">MATCH(MIN(ABS(ServerTypeA!$A$106:$A$165-$C324)),ABS(ServerTypeA!$A$106:$A$165-$C324),0)</f>
        <v>10</v>
      </c>
      <c r="E324" s="23">
        <f t="array" ref="E324">INDEX(ServerTypeA!$A$106:$A$165,MATCH(MIN(ABS(ServerTypeA!$A$106:$A$165-$C324)),ABS(ServerTypeA!$A$106:$A$165-$C324),0))</f>
        <v>1</v>
      </c>
      <c r="F324" s="80">
        <f t="shared" ca="1" si="79"/>
        <v>0</v>
      </c>
      <c r="G324" s="80">
        <f t="shared" ca="1" si="79"/>
        <v>6.3362385179783882E-5</v>
      </c>
      <c r="H324" s="80">
        <f t="shared" ca="1" si="79"/>
        <v>3.2995538185137452E-2</v>
      </c>
      <c r="I324" s="80">
        <f t="shared" ca="1" si="79"/>
        <v>0.26726256706287965</v>
      </c>
      <c r="J324" s="80">
        <f t="shared" ca="1" si="79"/>
        <v>0.31013660162702217</v>
      </c>
      <c r="K324" s="80">
        <f t="shared" ca="1" si="79"/>
        <v>0.2532552756998514</v>
      </c>
      <c r="L324" s="80">
        <f t="shared" ca="1" si="79"/>
        <v>9.8107796915847922E-2</v>
      </c>
      <c r="M324" s="80">
        <f t="shared" ca="1" si="79"/>
        <v>2.8732042413077363E-2</v>
      </c>
      <c r="N324" s="80">
        <f t="shared" ca="1" si="79"/>
        <v>7.2542263535837481E-3</v>
      </c>
      <c r="O324" s="80">
        <f t="shared" ca="1" si="79"/>
        <v>1.6975679546920031E-3</v>
      </c>
      <c r="P324" s="80">
        <f t="shared" ca="1" si="80"/>
        <v>3.8387097105896384E-4</v>
      </c>
      <c r="Q324" s="80">
        <f t="shared" ca="1" si="80"/>
        <v>8.5988652237634078E-5</v>
      </c>
      <c r="R324" s="80">
        <f t="shared" ca="1" si="80"/>
        <v>1.9370639502747089E-5</v>
      </c>
      <c r="S324" s="80">
        <f t="shared" ca="1" si="80"/>
        <v>4.4290582862371863E-6</v>
      </c>
      <c r="T324" s="80">
        <f t="shared" ca="1" si="80"/>
        <v>1.033706087172348E-6</v>
      </c>
      <c r="U324" s="80">
        <f t="shared" ca="1" si="80"/>
        <v>2.4709440304970798E-7</v>
      </c>
      <c r="V324" s="80">
        <f t="shared" ca="1" si="80"/>
        <v>6.0608630669811703E-8</v>
      </c>
      <c r="W324" s="80">
        <f t="shared" ca="1" si="80"/>
        <v>1.5269196684819519E-8</v>
      </c>
      <c r="X324" s="80">
        <f t="shared" ca="1" si="80"/>
        <v>3.9522030093053218E-9</v>
      </c>
      <c r="Y324" s="80">
        <f t="shared" ca="1" si="80"/>
        <v>1.0508791614682877E-9</v>
      </c>
      <c r="Z324" s="80">
        <f t="shared" ca="1" si="80"/>
        <v>4.0024294989393638E-10</v>
      </c>
      <c r="AA324" s="80">
        <f ca="1">SUMPRODUCT(F324:Z324,FailureForCPU!E$17:Y$17)</f>
        <v>6.3473937673511974E-8</v>
      </c>
      <c r="AB324" s="80">
        <f t="shared" ca="1" si="81"/>
        <v>6.1266230935199046E-8</v>
      </c>
      <c r="AC324" s="12">
        <f t="shared" ca="1" si="82"/>
        <v>0.96521862817968596</v>
      </c>
      <c r="AD324" s="12">
        <f t="shared" ca="1" si="83"/>
        <v>0.99999999999999978</v>
      </c>
    </row>
    <row r="325" spans="1:30">
      <c r="A325" s="56">
        <v>6</v>
      </c>
      <c r="B325" s="12">
        <f t="shared" si="77"/>
        <v>1.3952391016858241</v>
      </c>
      <c r="C325" s="12">
        <f t="shared" si="78"/>
        <v>1.4111325745071779</v>
      </c>
      <c r="D325" s="23">
        <f t="array" ref="D325">MATCH(MIN(ABS(ServerTypeA!$A$106:$A$165-$C325)),ABS(ServerTypeA!$A$106:$A$165-$C325),0)</f>
        <v>14</v>
      </c>
      <c r="E325" s="23">
        <f t="array" ref="E325">INDEX(ServerTypeA!$A$106:$A$165,MATCH(MIN(ABS(ServerTypeA!$A$106:$A$165-$C325)),ABS(ServerTypeA!$A$106:$A$165-$C325),0))</f>
        <v>1.4</v>
      </c>
      <c r="F325" s="80">
        <f t="shared" ca="1" si="79"/>
        <v>0</v>
      </c>
      <c r="G325" s="80">
        <f t="shared" ca="1" si="79"/>
        <v>5.7047203781505807E-8</v>
      </c>
      <c r="H325" s="80">
        <f t="shared" ca="1" si="79"/>
        <v>1.2164947634970128E-3</v>
      </c>
      <c r="I325" s="80">
        <f t="shared" ca="1" si="79"/>
        <v>6.1107180217783164E-2</v>
      </c>
      <c r="J325" s="80">
        <f t="shared" ca="1" si="79"/>
        <v>0.20519986834614401</v>
      </c>
      <c r="K325" s="80">
        <f t="shared" ca="1" si="79"/>
        <v>0.35393725260419706</v>
      </c>
      <c r="L325" s="80">
        <f t="shared" ca="1" si="79"/>
        <v>0.23797616540794975</v>
      </c>
      <c r="M325" s="80">
        <f t="shared" ca="1" si="79"/>
        <v>9.8998386993275234E-2</v>
      </c>
      <c r="N325" s="80">
        <f t="shared" ca="1" si="79"/>
        <v>3.0942177429169604E-2</v>
      </c>
      <c r="O325" s="80">
        <f t="shared" ca="1" si="79"/>
        <v>8.1406156055102707E-3</v>
      </c>
      <c r="P325" s="80">
        <f t="shared" ca="1" si="80"/>
        <v>1.9315032419103817E-3</v>
      </c>
      <c r="Q325" s="80">
        <f t="shared" ca="1" si="80"/>
        <v>4.3157453216891017E-4</v>
      </c>
      <c r="R325" s="80">
        <f t="shared" ca="1" si="80"/>
        <v>9.3381147563964539E-5</v>
      </c>
      <c r="S325" s="80">
        <f t="shared" ca="1" si="80"/>
        <v>1.9929403250573685E-5</v>
      </c>
      <c r="T325" s="80">
        <f t="shared" ca="1" si="80"/>
        <v>4.2472546489813467E-6</v>
      </c>
      <c r="U325" s="80">
        <f t="shared" ca="1" si="80"/>
        <v>9.1141149816120759E-7</v>
      </c>
      <c r="V325" s="80">
        <f t="shared" ca="1" si="80"/>
        <v>1.9804408701862286E-7</v>
      </c>
      <c r="W325" s="80">
        <f t="shared" ca="1" si="80"/>
        <v>4.3742479083341834E-8</v>
      </c>
      <c r="X325" s="80">
        <f t="shared" ca="1" si="80"/>
        <v>9.8455228414451312E-9</v>
      </c>
      <c r="Y325" s="80">
        <f t="shared" ca="1" si="80"/>
        <v>2.2619285333647099E-9</v>
      </c>
      <c r="Z325" s="80">
        <f t="shared" ca="1" si="80"/>
        <v>7.0021166642675325E-10</v>
      </c>
      <c r="AA325" s="80">
        <f ca="1">SUMPRODUCT(F325:Z325,FailureForCPU!E$17:Y$17)</f>
        <v>2.6914387304954884E-7</v>
      </c>
      <c r="AB325" s="80">
        <f t="shared" ca="1" si="81"/>
        <v>3.7979768648924292E-7</v>
      </c>
      <c r="AC325" s="12">
        <f t="shared" ca="1" si="82"/>
        <v>1.4111321947094915</v>
      </c>
      <c r="AD325" s="12">
        <f t="shared" ca="1" si="83"/>
        <v>1</v>
      </c>
    </row>
    <row r="326" spans="1:30">
      <c r="A326" s="56">
        <v>7</v>
      </c>
      <c r="B326" s="12">
        <f t="shared" si="77"/>
        <v>1.6468302396934869</v>
      </c>
      <c r="C326" s="12">
        <f t="shared" si="78"/>
        <v>1.6655896420241174</v>
      </c>
      <c r="D326" s="23">
        <f t="array" ref="D326">MATCH(MIN(ABS(ServerTypeA!$A$106:$A$165-$C326)),ABS(ServerTypeA!$A$106:$A$165-$C326),0)</f>
        <v>17</v>
      </c>
      <c r="E326" s="23">
        <f t="array" ref="E326">INDEX(ServerTypeA!$A$106:$A$165,MATCH(MIN(ABS(ServerTypeA!$A$106:$A$165-$C326)),ABS(ServerTypeA!$A$106:$A$165-$C326),0))</f>
        <v>1.7</v>
      </c>
      <c r="F326" s="80">
        <f t="shared" ca="1" si="79"/>
        <v>0</v>
      </c>
      <c r="G326" s="80">
        <f t="shared" ca="1" si="79"/>
        <v>8.1253198802544112E-11</v>
      </c>
      <c r="H326" s="80">
        <f t="shared" ca="1" si="79"/>
        <v>4.33826302524141E-5</v>
      </c>
      <c r="I326" s="80">
        <f t="shared" ca="1" si="79"/>
        <v>1.0705987157923591E-2</v>
      </c>
      <c r="J326" s="80">
        <f t="shared" ca="1" si="79"/>
        <v>8.5289399602454408E-2</v>
      </c>
      <c r="K326" s="80">
        <f t="shared" ca="1" si="79"/>
        <v>0.28828196681177598</v>
      </c>
      <c r="L326" s="80">
        <f t="shared" ca="1" si="79"/>
        <v>0.32142633077115734</v>
      </c>
      <c r="M326" s="80">
        <f t="shared" ca="1" si="79"/>
        <v>0.18912407351993599</v>
      </c>
      <c r="N326" s="80">
        <f t="shared" ca="1" si="79"/>
        <v>7.4607012926096727E-2</v>
      </c>
      <c r="O326" s="80">
        <f t="shared" ca="1" si="79"/>
        <v>2.2822152808572804E-2</v>
      </c>
      <c r="P326" s="80">
        <f t="shared" ca="1" si="80"/>
        <v>5.9287841336530533E-3</v>
      </c>
      <c r="Q326" s="80">
        <f t="shared" ca="1" si="80"/>
        <v>1.3868580523002105E-3</v>
      </c>
      <c r="R326" s="80">
        <f t="shared" ca="1" si="80"/>
        <v>3.0365091844619663E-4</v>
      </c>
      <c r="S326" s="80">
        <f t="shared" ca="1" si="80"/>
        <v>6.3881746393823491E-5</v>
      </c>
      <c r="T326" s="80">
        <f t="shared" ca="1" si="80"/>
        <v>1.3148842294530283E-5</v>
      </c>
      <c r="U326" s="80">
        <f t="shared" ca="1" si="80"/>
        <v>2.6816199827361942E-6</v>
      </c>
      <c r="V326" s="80">
        <f t="shared" ca="1" si="80"/>
        <v>5.4674756877481911E-7</v>
      </c>
      <c r="W326" s="80">
        <f t="shared" ca="1" si="80"/>
        <v>1.1215444262191454E-7</v>
      </c>
      <c r="X326" s="80">
        <f t="shared" ca="1" si="80"/>
        <v>2.3251678915592322E-8</v>
      </c>
      <c r="Y326" s="80">
        <f t="shared" ca="1" si="80"/>
        <v>4.8876390712493389E-9</v>
      </c>
      <c r="Z326" s="80">
        <f t="shared" ca="1" si="80"/>
        <v>1.3361776129983127E-9</v>
      </c>
      <c r="AA326" s="80">
        <f ca="1">SUMPRODUCT(F326:Z326,FailureForCPU!E$17:Y$17)</f>
        <v>8.4375321515358262E-7</v>
      </c>
      <c r="AB326" s="80">
        <f t="shared" ca="1" si="81"/>
        <v>1.4053466155843538E-6</v>
      </c>
      <c r="AC326" s="12">
        <f t="shared" ca="1" si="82"/>
        <v>1.6655882366775019</v>
      </c>
      <c r="AD326" s="12">
        <f t="shared" ca="1" si="83"/>
        <v>1</v>
      </c>
    </row>
    <row r="327" spans="1:30">
      <c r="A327" s="56">
        <v>8</v>
      </c>
      <c r="B327" s="12">
        <f t="shared" si="77"/>
        <v>1.8977111415325671</v>
      </c>
      <c r="C327" s="12">
        <f t="shared" si="78"/>
        <v>1.9193283829174204</v>
      </c>
      <c r="D327" s="23">
        <f t="array" ref="D327">MATCH(MIN(ABS(ServerTypeA!$A$106:$A$165-$C327)),ABS(ServerTypeA!$A$106:$A$165-$C327),0)</f>
        <v>19</v>
      </c>
      <c r="E327" s="23">
        <f t="array" ref="E327">INDEX(ServerTypeA!$A$106:$A$165,MATCH(MIN(ABS(ServerTypeA!$A$106:$A$165-$C327)),ABS(ServerTypeA!$A$106:$A$165-$C327),0))</f>
        <v>1.9</v>
      </c>
      <c r="F327" s="80">
        <f t="shared" ca="1" si="79"/>
        <v>0</v>
      </c>
      <c r="G327" s="80">
        <f t="shared" ca="1" si="79"/>
        <v>5.7158460567334667E-13</v>
      </c>
      <c r="H327" s="80">
        <f t="shared" ca="1" si="79"/>
        <v>3.1701372202456796E-6</v>
      </c>
      <c r="I327" s="80">
        <f t="shared" ca="1" si="79"/>
        <v>2.5214304195275705E-3</v>
      </c>
      <c r="J327" s="80">
        <f t="shared" ca="1" si="79"/>
        <v>3.6917438819851656E-2</v>
      </c>
      <c r="K327" s="80">
        <f t="shared" ca="1" si="79"/>
        <v>0.20438495361532483</v>
      </c>
      <c r="L327" s="80">
        <f t="shared" ca="1" si="79"/>
        <v>0.32947828873508789</v>
      </c>
      <c r="M327" s="80">
        <f t="shared" ca="1" si="79"/>
        <v>0.25151339442566145</v>
      </c>
      <c r="N327" s="80">
        <f t="shared" ca="1" si="79"/>
        <v>0.11888602524109571</v>
      </c>
      <c r="O327" s="80">
        <f t="shared" ca="1" si="79"/>
        <v>4.1104401465784313E-2</v>
      </c>
      <c r="P327" s="80">
        <f t="shared" ca="1" si="80"/>
        <v>1.1557531471714677E-2</v>
      </c>
      <c r="Q327" s="80">
        <f t="shared" ca="1" si="80"/>
        <v>2.8322550791273216E-3</v>
      </c>
      <c r="R327" s="80">
        <f t="shared" ca="1" si="80"/>
        <v>6.3364061512283243E-4</v>
      </c>
      <c r="S327" s="80">
        <f t="shared" ca="1" si="80"/>
        <v>1.3360164088005444E-4</v>
      </c>
      <c r="T327" s="80">
        <f t="shared" ca="1" si="80"/>
        <v>2.7145120289340241E-5</v>
      </c>
      <c r="U327" s="80">
        <f t="shared" ca="1" si="80"/>
        <v>5.3992629335253284E-6</v>
      </c>
      <c r="V327" s="80">
        <f t="shared" ca="1" si="80"/>
        <v>1.0633187061959148E-6</v>
      </c>
      <c r="W327" s="80">
        <f t="shared" ca="1" si="80"/>
        <v>2.0904952280353939E-7</v>
      </c>
      <c r="X327" s="80">
        <f t="shared" ca="1" si="80"/>
        <v>4.1275919571148734E-8</v>
      </c>
      <c r="Y327" s="80">
        <f t="shared" ca="1" si="80"/>
        <v>8.2207582963178538E-9</v>
      </c>
      <c r="Z327" s="80">
        <f t="shared" ca="1" si="80"/>
        <v>2.0849001414191548E-9</v>
      </c>
      <c r="AA327" s="80">
        <f ca="1">SUMPRODUCT(F327:Z327,FailureForCPU!E$17:Y$17)</f>
        <v>1.7488299276965007E-6</v>
      </c>
      <c r="AB327" s="80">
        <f t="shared" ca="1" si="81"/>
        <v>3.3565789171233139E-6</v>
      </c>
      <c r="AC327" s="12">
        <f t="shared" ca="1" si="82"/>
        <v>1.9193250263385033</v>
      </c>
      <c r="AD327" s="12">
        <f t="shared" ca="1" si="83"/>
        <v>1</v>
      </c>
    </row>
    <row r="328" spans="1:30">
      <c r="A328" s="56">
        <v>9</v>
      </c>
      <c r="B328" s="12">
        <f t="shared" si="77"/>
        <v>2.1127480528735636</v>
      </c>
      <c r="C328" s="12">
        <f t="shared" si="78"/>
        <v>2.1368148266015519</v>
      </c>
      <c r="D328" s="23">
        <f t="array" ref="D328">MATCH(MIN(ABS(ServerTypeA!$A$106:$A$165-$C328)),ABS(ServerTypeA!$A$106:$A$165-$C328),0)</f>
        <v>21</v>
      </c>
      <c r="E328" s="23">
        <f t="array" ref="E328">INDEX(ServerTypeA!$A$106:$A$165,MATCH(MIN(ABS(ServerTypeA!$A$106:$A$165-$C328)),ABS(ServerTypeA!$A$106:$A$165-$C328),0))</f>
        <v>2.1</v>
      </c>
      <c r="F328" s="80">
        <f t="shared" ca="1" si="79"/>
        <v>0</v>
      </c>
      <c r="G328" s="80">
        <f t="shared" ca="1" si="79"/>
        <v>2.5357922694985603E-15</v>
      </c>
      <c r="H328" s="80">
        <f t="shared" ca="1" si="79"/>
        <v>1.702973368267634E-7</v>
      </c>
      <c r="I328" s="80">
        <f t="shared" ca="1" si="79"/>
        <v>4.7617402327868697E-4</v>
      </c>
      <c r="J328" s="80">
        <f t="shared" ca="1" si="79"/>
        <v>1.3224086946461266E-2</v>
      </c>
      <c r="K328" s="80">
        <f t="shared" ca="1" si="79"/>
        <v>0.12413549219269859</v>
      </c>
      <c r="L328" s="80">
        <f t="shared" ca="1" si="79"/>
        <v>0.29551688970197165</v>
      </c>
      <c r="M328" s="80">
        <f t="shared" ca="1" si="79"/>
        <v>0.29844063028975598</v>
      </c>
      <c r="N328" s="80">
        <f t="shared" ca="1" si="79"/>
        <v>0.17196326563138287</v>
      </c>
      <c r="O328" s="80">
        <f t="shared" ca="1" si="79"/>
        <v>6.8192738245804185E-2</v>
      </c>
      <c r="P328" s="80">
        <f t="shared" ca="1" si="80"/>
        <v>2.1010021948516533E-2</v>
      </c>
      <c r="Q328" s="80">
        <f t="shared" ca="1" si="80"/>
        <v>5.4495764603040842E-3</v>
      </c>
      <c r="R328" s="80">
        <f t="shared" ca="1" si="80"/>
        <v>1.2565417597770745E-3</v>
      </c>
      <c r="S328" s="80">
        <f t="shared" ca="1" si="80"/>
        <v>2.6744785902110824E-4</v>
      </c>
      <c r="T328" s="80">
        <f t="shared" ca="1" si="80"/>
        <v>5.3964566450792617E-5</v>
      </c>
      <c r="U328" s="80">
        <f t="shared" ca="1" si="80"/>
        <v>1.0521585664613475E-5</v>
      </c>
      <c r="V328" s="80">
        <f t="shared" ca="1" si="80"/>
        <v>2.0099721521615876E-6</v>
      </c>
      <c r="W328" s="80">
        <f t="shared" ca="1" si="80"/>
        <v>3.8007576763643414E-7</v>
      </c>
      <c r="X328" s="80">
        <f t="shared" ca="1" si="80"/>
        <v>7.1681720892335932E-8</v>
      </c>
      <c r="Y328" s="80">
        <f t="shared" ca="1" si="80"/>
        <v>1.3559813938357479E-8</v>
      </c>
      <c r="Z328" s="80">
        <f t="shared" ca="1" si="80"/>
        <v>3.202118570300172E-9</v>
      </c>
      <c r="AA328" s="80">
        <f ca="1">SUMPRODUCT(F328:Z328,FailureForCPU!E$17:Y$17)</f>
        <v>3.4805579297516227E-6</v>
      </c>
      <c r="AB328" s="80">
        <f t="shared" ca="1" si="81"/>
        <v>7.4373077891388703E-6</v>
      </c>
      <c r="AC328" s="12">
        <f t="shared" ca="1" si="82"/>
        <v>2.1368073892937627</v>
      </c>
      <c r="AD328" s="12">
        <f t="shared" ca="1" si="83"/>
        <v>1</v>
      </c>
    </row>
    <row r="329" spans="1:30">
      <c r="A329" s="56">
        <v>10</v>
      </c>
      <c r="B329" s="12">
        <f t="shared" si="77"/>
        <v>2.2471277933333327</v>
      </c>
      <c r="C329" s="12">
        <f t="shared" si="78"/>
        <v>2.2727253159846827</v>
      </c>
      <c r="D329" s="23">
        <f t="array" ref="D329">MATCH(MIN(ABS(ServerTypeA!$A$106:$A$165-$C329)),ABS(ServerTypeA!$A$106:$A$165-$C329),0)</f>
        <v>23</v>
      </c>
      <c r="E329" s="23">
        <f t="array" ref="E329">INDEX(ServerTypeA!$A$106:$A$165,MATCH(MIN(ABS(ServerTypeA!$A$106:$A$165-$C329)),ABS(ServerTypeA!$A$106:$A$165-$C329),0))</f>
        <v>2.2999999999999998</v>
      </c>
      <c r="F329" s="80">
        <f t="shared" ref="F329:O342" ca="1" si="84">OFFSET($B$106,$D329-1,F$221,1,1)</f>
        <v>0</v>
      </c>
      <c r="G329" s="80">
        <f t="shared" ca="1" si="84"/>
        <v>7.0657294544177229E-18</v>
      </c>
      <c r="H329" s="80">
        <f t="shared" ca="1" si="84"/>
        <v>6.7238726448175657E-9</v>
      </c>
      <c r="I329" s="80">
        <f t="shared" ca="1" si="84"/>
        <v>7.2182403488525558E-5</v>
      </c>
      <c r="J329" s="80">
        <f t="shared" ca="1" si="84"/>
        <v>3.9460356627938342E-3</v>
      </c>
      <c r="K329" s="80">
        <f t="shared" ca="1" si="84"/>
        <v>6.5095372899179882E-2</v>
      </c>
      <c r="L329" s="80">
        <f t="shared" ca="1" si="84"/>
        <v>0.23352595939847376</v>
      </c>
      <c r="M329" s="80">
        <f t="shared" ca="1" si="84"/>
        <v>0.31764125546533772</v>
      </c>
      <c r="N329" s="80">
        <f t="shared" ca="1" si="84"/>
        <v>0.22666710323925121</v>
      </c>
      <c r="O329" s="80">
        <f t="shared" ca="1" si="84"/>
        <v>0.1044896259873298</v>
      </c>
      <c r="P329" s="80">
        <f t="shared" ref="P329:Z342" ca="1" si="85">OFFSET($B$106,$D329-1,P$221,1,1)</f>
        <v>3.5672462103660596E-2</v>
      </c>
      <c r="Q329" s="80">
        <f t="shared" ca="1" si="85"/>
        <v>9.8842744218808898E-3</v>
      </c>
      <c r="R329" s="80">
        <f t="shared" ca="1" si="85"/>
        <v>2.3667328600559534E-3</v>
      </c>
      <c r="S329" s="80">
        <f t="shared" ca="1" si="85"/>
        <v>5.1167201767454706E-4</v>
      </c>
      <c r="T329" s="80">
        <f t="shared" ca="1" si="85"/>
        <v>1.0304770744595793E-4</v>
      </c>
      <c r="U329" s="80">
        <f t="shared" ca="1" si="85"/>
        <v>1.9774762235469368E-5</v>
      </c>
      <c r="V329" s="80">
        <f t="shared" ca="1" si="85"/>
        <v>3.6763825657093463E-6</v>
      </c>
      <c r="W329" s="80">
        <f t="shared" ca="1" si="85"/>
        <v>6.7037949680326392E-7</v>
      </c>
      <c r="X329" s="80">
        <f t="shared" ca="1" si="85"/>
        <v>1.2101077295767482E-7</v>
      </c>
      <c r="Y329" s="80">
        <f t="shared" ca="1" si="85"/>
        <v>2.1775074521279691E-8</v>
      </c>
      <c r="Z329" s="80">
        <f t="shared" ca="1" si="85"/>
        <v>4.7994092033931679E-9</v>
      </c>
      <c r="AA329" s="80">
        <f ca="1">SUMPRODUCT(F329:Z329,FailureForCPU!E$17:Y$17)</f>
        <v>6.6368706425327473E-6</v>
      </c>
      <c r="AB329" s="80">
        <f t="shared" ca="1" si="81"/>
        <v>1.5083783928199703E-5</v>
      </c>
      <c r="AC329" s="12">
        <f t="shared" ca="1" si="82"/>
        <v>2.2727102322007546</v>
      </c>
      <c r="AD329" s="12">
        <f t="shared" ca="1" si="83"/>
        <v>1</v>
      </c>
    </row>
    <row r="330" spans="1:30">
      <c r="A330" s="56">
        <v>11</v>
      </c>
      <c r="B330" s="12">
        <f t="shared" si="77"/>
        <v>2.3458744600000001</v>
      </c>
      <c r="C330" s="12">
        <f t="shared" si="78"/>
        <v>2.3725968274617983</v>
      </c>
      <c r="D330" s="23">
        <f t="array" ref="D330">MATCH(MIN(ABS(ServerTypeA!$A$106:$A$165-$C330)),ABS(ServerTypeA!$A$106:$A$165-$C330),0)</f>
        <v>24</v>
      </c>
      <c r="E330" s="23">
        <f t="array" ref="E330">INDEX(ServerTypeA!$A$106:$A$165,MATCH(MIN(ABS(ServerTypeA!$A$106:$A$165-$C330)),ABS(ServerTypeA!$A$106:$A$165-$C330),0))</f>
        <v>2.4</v>
      </c>
      <c r="F330" s="80">
        <f t="shared" ca="1" si="84"/>
        <v>0</v>
      </c>
      <c r="G330" s="80">
        <f t="shared" ca="1" si="84"/>
        <v>3.1167221746766763E-19</v>
      </c>
      <c r="H330" s="80">
        <f t="shared" ca="1" si="84"/>
        <v>1.1873417779384991E-9</v>
      </c>
      <c r="I330" s="80">
        <f t="shared" ca="1" si="84"/>
        <v>2.5843525653936865E-5</v>
      </c>
      <c r="J330" s="80">
        <f t="shared" ca="1" si="84"/>
        <v>2.0136703289901359E-3</v>
      </c>
      <c r="K330" s="80">
        <f t="shared" ca="1" si="84"/>
        <v>4.4672201065323769E-2</v>
      </c>
      <c r="L330" s="80">
        <f t="shared" ca="1" si="84"/>
        <v>0.19829249902226209</v>
      </c>
      <c r="M330" s="80">
        <f t="shared" ca="1" si="84"/>
        <v>0.31510797306156924</v>
      </c>
      <c r="N330" s="80">
        <f t="shared" ca="1" si="84"/>
        <v>0.25169979823357103</v>
      </c>
      <c r="O330" s="80">
        <f t="shared" ca="1" si="84"/>
        <v>0.12572328963604151</v>
      </c>
      <c r="P330" s="80">
        <f t="shared" ca="1" si="85"/>
        <v>4.536838566680601E-2</v>
      </c>
      <c r="Q330" s="80">
        <f t="shared" ca="1" si="85"/>
        <v>1.3036812185681645E-2</v>
      </c>
      <c r="R330" s="80">
        <f t="shared" ca="1" si="85"/>
        <v>3.1898099842099237E-3</v>
      </c>
      <c r="S330" s="80">
        <f t="shared" ca="1" si="85"/>
        <v>6.9656424110131621E-4</v>
      </c>
      <c r="T330" s="80">
        <f t="shared" ca="1" si="85"/>
        <v>1.4040043471519326E-4</v>
      </c>
      <c r="U330" s="80">
        <f t="shared" ca="1" si="85"/>
        <v>2.676723389849478E-5</v>
      </c>
      <c r="V330" s="80">
        <f t="shared" ca="1" si="85"/>
        <v>4.9146294129887025E-6</v>
      </c>
      <c r="W330" s="80">
        <f t="shared" ca="1" si="85"/>
        <v>8.8077484361459568E-7</v>
      </c>
      <c r="X330" s="80">
        <f t="shared" ca="1" si="85"/>
        <v>1.5563918720484793E-7</v>
      </c>
      <c r="Y330" s="80">
        <f t="shared" ca="1" si="85"/>
        <v>2.7326620855028239E-8</v>
      </c>
      <c r="Z330" s="80">
        <f t="shared" ca="1" si="85"/>
        <v>5.8227692667500719E-9</v>
      </c>
      <c r="AA330" s="80">
        <f ca="1">SUMPRODUCT(F330:Z330,FailureForCPU!E$17:Y$17)</f>
        <v>9.0278360402225779E-6</v>
      </c>
      <c r="AB330" s="80">
        <f t="shared" ca="1" si="81"/>
        <v>2.1419415147877371E-5</v>
      </c>
      <c r="AC330" s="12">
        <f t="shared" ca="1" si="82"/>
        <v>2.3725754080466506</v>
      </c>
      <c r="AD330" s="12">
        <f t="shared" ca="1" si="83"/>
        <v>1</v>
      </c>
    </row>
    <row r="331" spans="1:30">
      <c r="A331" s="56">
        <v>12</v>
      </c>
      <c r="B331" s="12">
        <f t="shared" si="77"/>
        <v>2.6348075555555552</v>
      </c>
      <c r="C331" s="12">
        <f t="shared" si="78"/>
        <v>2.664821222906995</v>
      </c>
      <c r="D331" s="23">
        <f t="array" ref="D331">MATCH(MIN(ABS(ServerTypeA!$A$106:$A$165-$C331)),ABS(ServerTypeA!$A$106:$A$165-$C331),0)</f>
        <v>27</v>
      </c>
      <c r="E331" s="23">
        <f t="array" ref="E331">INDEX(ServerTypeA!$A$106:$A$165,MATCH(MIN(ABS(ServerTypeA!$A$106:$A$165-$C331)),ABS(ServerTypeA!$A$106:$A$165-$C331),0))</f>
        <v>2.7</v>
      </c>
      <c r="F331" s="80">
        <f t="shared" ca="1" si="84"/>
        <v>0</v>
      </c>
      <c r="G331" s="80">
        <f t="shared" ca="1" si="84"/>
        <v>1.239169873735288E-23</v>
      </c>
      <c r="H331" s="80">
        <f t="shared" ca="1" si="84"/>
        <v>3.9552592835852416E-12</v>
      </c>
      <c r="I331" s="80">
        <f t="shared" ca="1" si="84"/>
        <v>8.3133291341925023E-7</v>
      </c>
      <c r="J331" s="80">
        <f t="shared" ca="1" si="84"/>
        <v>2.0173249503252499E-4</v>
      </c>
      <c r="K331" s="80">
        <f t="shared" ca="1" si="84"/>
        <v>1.1612561064618721E-2</v>
      </c>
      <c r="L331" s="80">
        <f t="shared" ca="1" si="84"/>
        <v>0.10127489089389075</v>
      </c>
      <c r="M331" s="80">
        <f t="shared" ca="1" si="84"/>
        <v>0.26410179348864982</v>
      </c>
      <c r="N331" s="80">
        <f t="shared" ca="1" si="84"/>
        <v>0.30332291293257807</v>
      </c>
      <c r="O331" s="80">
        <f t="shared" ca="1" si="84"/>
        <v>0.19688249400125168</v>
      </c>
      <c r="P331" s="80">
        <f t="shared" ca="1" si="85"/>
        <v>8.5404838049038867E-2</v>
      </c>
      <c r="Q331" s="80">
        <f t="shared" ca="1" si="85"/>
        <v>2.7775370702588065E-2</v>
      </c>
      <c r="R331" s="80">
        <f t="shared" ca="1" si="85"/>
        <v>7.3381726042808237E-3</v>
      </c>
      <c r="S331" s="80">
        <f t="shared" ca="1" si="85"/>
        <v>1.6673465755835393E-3</v>
      </c>
      <c r="T331" s="80">
        <f t="shared" ca="1" si="85"/>
        <v>3.3952157254268922E-4</v>
      </c>
      <c r="U331" s="80">
        <f t="shared" ca="1" si="85"/>
        <v>6.386281174752817E-5</v>
      </c>
      <c r="V331" s="80">
        <f t="shared" ca="1" si="85"/>
        <v>1.1348687767864796E-5</v>
      </c>
      <c r="W331" s="80">
        <f t="shared" ca="1" si="85"/>
        <v>1.9378808218117882E-6</v>
      </c>
      <c r="X331" s="80">
        <f t="shared" ca="1" si="85"/>
        <v>3.2210748901473352E-7</v>
      </c>
      <c r="Y331" s="80">
        <f t="shared" ca="1" si="85"/>
        <v>5.2634755443037307E-8</v>
      </c>
      <c r="Z331" s="80">
        <f t="shared" ca="1" si="85"/>
        <v>1.016049411273201E-8</v>
      </c>
      <c r="AA331" s="80">
        <f ca="1">SUMPRODUCT(F331:Z331,FailureForCPU!E$17:Y$17)</f>
        <v>2.1635301689484909E-5</v>
      </c>
      <c r="AB331" s="80">
        <f t="shared" ca="1" si="81"/>
        <v>5.7654211106134947E-5</v>
      </c>
      <c r="AC331" s="12">
        <f t="shared" ca="1" si="82"/>
        <v>2.6647635686958888</v>
      </c>
      <c r="AD331" s="12">
        <f t="shared" ca="1" si="83"/>
        <v>1</v>
      </c>
    </row>
    <row r="332" spans="1:30">
      <c r="A332" s="56">
        <v>13</v>
      </c>
      <c r="B332" s="12">
        <f t="shared" si="77"/>
        <v>2.5970738657471264</v>
      </c>
      <c r="C332" s="12">
        <f t="shared" si="78"/>
        <v>2.6266577004106098</v>
      </c>
      <c r="D332" s="23">
        <f t="array" ref="D332">MATCH(MIN(ABS(ServerTypeA!$A$106:$A$165-$C332)),ABS(ServerTypeA!$A$106:$A$165-$C332),0)</f>
        <v>26</v>
      </c>
      <c r="E332" s="23">
        <f t="array" ref="E332">INDEX(ServerTypeA!$A$106:$A$165,MATCH(MIN(ABS(ServerTypeA!$A$106:$A$165-$C332)),ABS(ServerTypeA!$A$106:$A$165-$C332),0))</f>
        <v>2.6</v>
      </c>
      <c r="F332" s="80">
        <f t="shared" ca="1" si="84"/>
        <v>0</v>
      </c>
      <c r="G332" s="80">
        <f t="shared" ca="1" si="84"/>
        <v>4.1517385378884819E-22</v>
      </c>
      <c r="H332" s="80">
        <f t="shared" ca="1" si="84"/>
        <v>2.8903425747891523E-11</v>
      </c>
      <c r="I332" s="80">
        <f t="shared" ca="1" si="84"/>
        <v>2.7804031928019435E-6</v>
      </c>
      <c r="J332" s="80">
        <f t="shared" ca="1" si="84"/>
        <v>4.5602402944500131E-4</v>
      </c>
      <c r="K332" s="80">
        <f t="shared" ca="1" si="84"/>
        <v>1.8883522445358736E-2</v>
      </c>
      <c r="L332" s="80">
        <f t="shared" ca="1" si="84"/>
        <v>0.13061530866486804</v>
      </c>
      <c r="M332" s="80">
        <f t="shared" ca="1" si="84"/>
        <v>0.28730789643090338</v>
      </c>
      <c r="N332" s="80">
        <f t="shared" ca="1" si="84"/>
        <v>0.29107969316933491</v>
      </c>
      <c r="O332" s="80">
        <f t="shared" ca="1" si="84"/>
        <v>0.17248975955743917</v>
      </c>
      <c r="P332" s="80">
        <f t="shared" ca="1" si="85"/>
        <v>7.0149876880944095E-2</v>
      </c>
      <c r="Q332" s="80">
        <f t="shared" ca="1" si="85"/>
        <v>2.1835089466053503E-2</v>
      </c>
      <c r="R332" s="80">
        <f t="shared" ca="1" si="85"/>
        <v>5.6110745400143047E-3</v>
      </c>
      <c r="S332" s="80">
        <f t="shared" ca="1" si="85"/>
        <v>1.2559837851893185E-3</v>
      </c>
      <c r="T332" s="80">
        <f t="shared" ca="1" si="85"/>
        <v>2.5453042509659962E-4</v>
      </c>
      <c r="U332" s="80">
        <f t="shared" ca="1" si="85"/>
        <v>4.8038098002578522E-5</v>
      </c>
      <c r="V332" s="80">
        <f t="shared" ca="1" si="85"/>
        <v>8.6224317851213428E-6</v>
      </c>
      <c r="W332" s="80">
        <f t="shared" ca="1" si="85"/>
        <v>1.4952434074233523E-6</v>
      </c>
      <c r="X332" s="80">
        <f t="shared" ca="1" si="85"/>
        <v>2.5352590016236576E-7</v>
      </c>
      <c r="Y332" s="80">
        <f t="shared" ca="1" si="85"/>
        <v>4.2416263723588088E-8</v>
      </c>
      <c r="Z332" s="80">
        <f t="shared" ca="1" si="85"/>
        <v>8.4578977155302937E-9</v>
      </c>
      <c r="AA332" s="80">
        <f ca="1">SUMPRODUCT(F332:Z332,FailureForCPU!E$17:Y$17)</f>
        <v>1.628052081663704E-5</v>
      </c>
      <c r="AB332" s="80">
        <f t="shared" ca="1" si="81"/>
        <v>4.2763355369714907E-5</v>
      </c>
      <c r="AC332" s="12">
        <f t="shared" ca="1" si="82"/>
        <v>2.6266149370552401</v>
      </c>
      <c r="AD332" s="12">
        <f t="shared" ca="1" si="83"/>
        <v>1</v>
      </c>
    </row>
    <row r="333" spans="1:30">
      <c r="A333" s="56">
        <v>14</v>
      </c>
      <c r="B333" s="12">
        <f t="shared" si="77"/>
        <v>2.6367986977777775</v>
      </c>
      <c r="C333" s="12">
        <f t="shared" si="78"/>
        <v>2.6668350466644135</v>
      </c>
      <c r="D333" s="23">
        <f t="array" ref="D333">MATCH(MIN(ABS(ServerTypeA!$A$106:$A$165-$C333)),ABS(ServerTypeA!$A$106:$A$165-$C333),0)</f>
        <v>27</v>
      </c>
      <c r="E333" s="23">
        <f t="array" ref="E333">INDEX(ServerTypeA!$A$106:$A$165,MATCH(MIN(ABS(ServerTypeA!$A$106:$A$165-$C333)),ABS(ServerTypeA!$A$106:$A$165-$C333),0))</f>
        <v>2.7</v>
      </c>
      <c r="F333" s="80">
        <f t="shared" ca="1" si="84"/>
        <v>0</v>
      </c>
      <c r="G333" s="80">
        <f t="shared" ca="1" si="84"/>
        <v>1.239169873735288E-23</v>
      </c>
      <c r="H333" s="80">
        <f t="shared" ca="1" si="84"/>
        <v>3.9552592835852416E-12</v>
      </c>
      <c r="I333" s="80">
        <f t="shared" ca="1" si="84"/>
        <v>8.3133291341925023E-7</v>
      </c>
      <c r="J333" s="80">
        <f t="shared" ca="1" si="84"/>
        <v>2.0173249503252499E-4</v>
      </c>
      <c r="K333" s="80">
        <f t="shared" ca="1" si="84"/>
        <v>1.1612561064618721E-2</v>
      </c>
      <c r="L333" s="80">
        <f t="shared" ca="1" si="84"/>
        <v>0.10127489089389075</v>
      </c>
      <c r="M333" s="80">
        <f t="shared" ca="1" si="84"/>
        <v>0.26410179348864982</v>
      </c>
      <c r="N333" s="80">
        <f t="shared" ca="1" si="84"/>
        <v>0.30332291293257807</v>
      </c>
      <c r="O333" s="80">
        <f t="shared" ca="1" si="84"/>
        <v>0.19688249400125168</v>
      </c>
      <c r="P333" s="80">
        <f t="shared" ca="1" si="85"/>
        <v>8.5404838049038867E-2</v>
      </c>
      <c r="Q333" s="80">
        <f t="shared" ca="1" si="85"/>
        <v>2.7775370702588065E-2</v>
      </c>
      <c r="R333" s="80">
        <f t="shared" ca="1" si="85"/>
        <v>7.3381726042808237E-3</v>
      </c>
      <c r="S333" s="80">
        <f t="shared" ca="1" si="85"/>
        <v>1.6673465755835393E-3</v>
      </c>
      <c r="T333" s="80">
        <f t="shared" ca="1" si="85"/>
        <v>3.3952157254268922E-4</v>
      </c>
      <c r="U333" s="80">
        <f t="shared" ca="1" si="85"/>
        <v>6.386281174752817E-5</v>
      </c>
      <c r="V333" s="80">
        <f t="shared" ca="1" si="85"/>
        <v>1.1348687767864796E-5</v>
      </c>
      <c r="W333" s="80">
        <f t="shared" ca="1" si="85"/>
        <v>1.9378808218117882E-6</v>
      </c>
      <c r="X333" s="80">
        <f t="shared" ca="1" si="85"/>
        <v>3.2210748901473352E-7</v>
      </c>
      <c r="Y333" s="80">
        <f t="shared" ca="1" si="85"/>
        <v>5.2634755443037307E-8</v>
      </c>
      <c r="Z333" s="80">
        <f t="shared" ca="1" si="85"/>
        <v>1.016049411273201E-8</v>
      </c>
      <c r="AA333" s="80">
        <f ca="1">SUMPRODUCT(F333:Z333,FailureForCPU!E$17:Y$17)</f>
        <v>2.1635301689484909E-5</v>
      </c>
      <c r="AB333" s="80">
        <f t="shared" ca="1" si="81"/>
        <v>5.7697780790676153E-5</v>
      </c>
      <c r="AC333" s="12">
        <f t="shared" ca="1" si="82"/>
        <v>2.6667773488836231</v>
      </c>
      <c r="AD333" s="12">
        <f t="shared" ca="1" si="83"/>
        <v>1</v>
      </c>
    </row>
    <row r="334" spans="1:30">
      <c r="A334" s="56">
        <v>15</v>
      </c>
      <c r="B334" s="12">
        <f t="shared" si="77"/>
        <v>2.6291948468199231</v>
      </c>
      <c r="C334" s="12">
        <f t="shared" si="78"/>
        <v>2.6591445785823757</v>
      </c>
      <c r="D334" s="23">
        <f t="array" ref="D334">MATCH(MIN(ABS(ServerTypeA!$A$106:$A$165-$C334)),ABS(ServerTypeA!$A$106:$A$165-$C334),0)</f>
        <v>27</v>
      </c>
      <c r="E334" s="23">
        <f t="array" ref="E334">INDEX(ServerTypeA!$A$106:$A$165,MATCH(MIN(ABS(ServerTypeA!$A$106:$A$165-$C334)),ABS(ServerTypeA!$A$106:$A$165-$C334),0))</f>
        <v>2.7</v>
      </c>
      <c r="F334" s="80">
        <f t="shared" ca="1" si="84"/>
        <v>0</v>
      </c>
      <c r="G334" s="80">
        <f t="shared" ca="1" si="84"/>
        <v>1.239169873735288E-23</v>
      </c>
      <c r="H334" s="80">
        <f t="shared" ca="1" si="84"/>
        <v>3.9552592835852416E-12</v>
      </c>
      <c r="I334" s="80">
        <f t="shared" ca="1" si="84"/>
        <v>8.3133291341925023E-7</v>
      </c>
      <c r="J334" s="80">
        <f t="shared" ca="1" si="84"/>
        <v>2.0173249503252499E-4</v>
      </c>
      <c r="K334" s="80">
        <f t="shared" ca="1" si="84"/>
        <v>1.1612561064618721E-2</v>
      </c>
      <c r="L334" s="80">
        <f t="shared" ca="1" si="84"/>
        <v>0.10127489089389075</v>
      </c>
      <c r="M334" s="80">
        <f t="shared" ca="1" si="84"/>
        <v>0.26410179348864982</v>
      </c>
      <c r="N334" s="80">
        <f t="shared" ca="1" si="84"/>
        <v>0.30332291293257807</v>
      </c>
      <c r="O334" s="80">
        <f t="shared" ca="1" si="84"/>
        <v>0.19688249400125168</v>
      </c>
      <c r="P334" s="80">
        <f t="shared" ca="1" si="85"/>
        <v>8.5404838049038867E-2</v>
      </c>
      <c r="Q334" s="80">
        <f t="shared" ca="1" si="85"/>
        <v>2.7775370702588065E-2</v>
      </c>
      <c r="R334" s="80">
        <f t="shared" ca="1" si="85"/>
        <v>7.3381726042808237E-3</v>
      </c>
      <c r="S334" s="80">
        <f t="shared" ca="1" si="85"/>
        <v>1.6673465755835393E-3</v>
      </c>
      <c r="T334" s="80">
        <f t="shared" ca="1" si="85"/>
        <v>3.3952157254268922E-4</v>
      </c>
      <c r="U334" s="80">
        <f t="shared" ca="1" si="85"/>
        <v>6.386281174752817E-5</v>
      </c>
      <c r="V334" s="80">
        <f t="shared" ca="1" si="85"/>
        <v>1.1348687767864796E-5</v>
      </c>
      <c r="W334" s="80">
        <f t="shared" ca="1" si="85"/>
        <v>1.9378808218117882E-6</v>
      </c>
      <c r="X334" s="80">
        <f t="shared" ca="1" si="85"/>
        <v>3.2210748901473352E-7</v>
      </c>
      <c r="Y334" s="80">
        <f t="shared" ca="1" si="85"/>
        <v>5.2634755443037307E-8</v>
      </c>
      <c r="Z334" s="80">
        <f t="shared" ca="1" si="85"/>
        <v>1.016049411273201E-8</v>
      </c>
      <c r="AA334" s="80">
        <f ca="1">SUMPRODUCT(F334:Z334,FailureForCPU!E$17:Y$17)</f>
        <v>2.1635301689484909E-5</v>
      </c>
      <c r="AB334" s="80">
        <f t="shared" ca="1" si="81"/>
        <v>5.7531395193587912E-5</v>
      </c>
      <c r="AC334" s="12">
        <f t="shared" ca="1" si="82"/>
        <v>2.6590870471871821</v>
      </c>
      <c r="AD334" s="12">
        <f t="shared" ca="1" si="83"/>
        <v>1</v>
      </c>
    </row>
    <row r="335" spans="1:30">
      <c r="A335" s="56">
        <v>16</v>
      </c>
      <c r="B335" s="12">
        <f t="shared" si="77"/>
        <v>2.7095263688888891</v>
      </c>
      <c r="C335" s="12">
        <f t="shared" si="78"/>
        <v>2.7403911745344911</v>
      </c>
      <c r="D335" s="23">
        <f t="array" ref="D335">MATCH(MIN(ABS(ServerTypeA!$A$106:$A$165-$C335)),ABS(ServerTypeA!$A$106:$A$165-$C335),0)</f>
        <v>27</v>
      </c>
      <c r="E335" s="23">
        <f t="array" ref="E335">INDEX(ServerTypeA!$A$106:$A$165,MATCH(MIN(ABS(ServerTypeA!$A$106:$A$165-$C335)),ABS(ServerTypeA!$A$106:$A$165-$C335),0))</f>
        <v>2.7</v>
      </c>
      <c r="F335" s="80">
        <f t="shared" ca="1" si="84"/>
        <v>0</v>
      </c>
      <c r="G335" s="80">
        <f t="shared" ca="1" si="84"/>
        <v>1.239169873735288E-23</v>
      </c>
      <c r="H335" s="80">
        <f t="shared" ca="1" si="84"/>
        <v>3.9552592835852416E-12</v>
      </c>
      <c r="I335" s="80">
        <f t="shared" ca="1" si="84"/>
        <v>8.3133291341925023E-7</v>
      </c>
      <c r="J335" s="80">
        <f t="shared" ca="1" si="84"/>
        <v>2.0173249503252499E-4</v>
      </c>
      <c r="K335" s="80">
        <f t="shared" ca="1" si="84"/>
        <v>1.1612561064618721E-2</v>
      </c>
      <c r="L335" s="80">
        <f t="shared" ca="1" si="84"/>
        <v>0.10127489089389075</v>
      </c>
      <c r="M335" s="80">
        <f t="shared" ca="1" si="84"/>
        <v>0.26410179348864982</v>
      </c>
      <c r="N335" s="80">
        <f t="shared" ca="1" si="84"/>
        <v>0.30332291293257807</v>
      </c>
      <c r="O335" s="80">
        <f t="shared" ca="1" si="84"/>
        <v>0.19688249400125168</v>
      </c>
      <c r="P335" s="80">
        <f t="shared" ca="1" si="85"/>
        <v>8.5404838049038867E-2</v>
      </c>
      <c r="Q335" s="80">
        <f t="shared" ca="1" si="85"/>
        <v>2.7775370702588065E-2</v>
      </c>
      <c r="R335" s="80">
        <f t="shared" ca="1" si="85"/>
        <v>7.3381726042808237E-3</v>
      </c>
      <c r="S335" s="80">
        <f t="shared" ca="1" si="85"/>
        <v>1.6673465755835393E-3</v>
      </c>
      <c r="T335" s="80">
        <f t="shared" ca="1" si="85"/>
        <v>3.3952157254268922E-4</v>
      </c>
      <c r="U335" s="80">
        <f t="shared" ca="1" si="85"/>
        <v>6.386281174752817E-5</v>
      </c>
      <c r="V335" s="80">
        <f t="shared" ca="1" si="85"/>
        <v>1.1348687767864796E-5</v>
      </c>
      <c r="W335" s="80">
        <f t="shared" ca="1" si="85"/>
        <v>1.9378808218117882E-6</v>
      </c>
      <c r="X335" s="80">
        <f t="shared" ca="1" si="85"/>
        <v>3.2210748901473352E-7</v>
      </c>
      <c r="Y335" s="80">
        <f t="shared" ca="1" si="85"/>
        <v>5.2634755443037307E-8</v>
      </c>
      <c r="Z335" s="80">
        <f t="shared" ca="1" si="85"/>
        <v>1.016049411273201E-8</v>
      </c>
      <c r="AA335" s="80">
        <f ca="1">SUMPRODUCT(F335:Z335,FailureForCPU!E$17:Y$17)</f>
        <v>2.1635301689484909E-5</v>
      </c>
      <c r="AB335" s="80">
        <f t="shared" ca="1" si="81"/>
        <v>5.9289189808255608E-5</v>
      </c>
      <c r="AC335" s="12">
        <f t="shared" ca="1" si="82"/>
        <v>2.7403318853446827</v>
      </c>
      <c r="AD335" s="12">
        <f t="shared" ca="1" si="83"/>
        <v>1</v>
      </c>
    </row>
    <row r="336" spans="1:30">
      <c r="A336" s="56">
        <v>17</v>
      </c>
      <c r="B336" s="12">
        <f t="shared" si="77"/>
        <v>2.6672917514942527</v>
      </c>
      <c r="C336" s="12">
        <f t="shared" si="78"/>
        <v>2.6976754534043939</v>
      </c>
      <c r="D336" s="23">
        <f t="array" ref="D336">MATCH(MIN(ABS(ServerTypeA!$A$106:$A$165-$C336)),ABS(ServerTypeA!$A$106:$A$165-$C336),0)</f>
        <v>27</v>
      </c>
      <c r="E336" s="23">
        <f t="array" ref="E336">INDEX(ServerTypeA!$A$106:$A$165,MATCH(MIN(ABS(ServerTypeA!$A$106:$A$165-$C336)),ABS(ServerTypeA!$A$106:$A$165-$C336),0))</f>
        <v>2.7</v>
      </c>
      <c r="F336" s="80">
        <f t="shared" ca="1" si="84"/>
        <v>0</v>
      </c>
      <c r="G336" s="80">
        <f t="shared" ca="1" si="84"/>
        <v>1.239169873735288E-23</v>
      </c>
      <c r="H336" s="80">
        <f t="shared" ca="1" si="84"/>
        <v>3.9552592835852416E-12</v>
      </c>
      <c r="I336" s="80">
        <f t="shared" ca="1" si="84"/>
        <v>8.3133291341925023E-7</v>
      </c>
      <c r="J336" s="80">
        <f t="shared" ca="1" si="84"/>
        <v>2.0173249503252499E-4</v>
      </c>
      <c r="K336" s="80">
        <f t="shared" ca="1" si="84"/>
        <v>1.1612561064618721E-2</v>
      </c>
      <c r="L336" s="80">
        <f t="shared" ca="1" si="84"/>
        <v>0.10127489089389075</v>
      </c>
      <c r="M336" s="80">
        <f t="shared" ca="1" si="84"/>
        <v>0.26410179348864982</v>
      </c>
      <c r="N336" s="80">
        <f t="shared" ca="1" si="84"/>
        <v>0.30332291293257807</v>
      </c>
      <c r="O336" s="80">
        <f t="shared" ca="1" si="84"/>
        <v>0.19688249400125168</v>
      </c>
      <c r="P336" s="80">
        <f t="shared" ca="1" si="85"/>
        <v>8.5404838049038867E-2</v>
      </c>
      <c r="Q336" s="80">
        <f t="shared" ca="1" si="85"/>
        <v>2.7775370702588065E-2</v>
      </c>
      <c r="R336" s="80">
        <f t="shared" ca="1" si="85"/>
        <v>7.3381726042808237E-3</v>
      </c>
      <c r="S336" s="80">
        <f t="shared" ca="1" si="85"/>
        <v>1.6673465755835393E-3</v>
      </c>
      <c r="T336" s="80">
        <f t="shared" ca="1" si="85"/>
        <v>3.3952157254268922E-4</v>
      </c>
      <c r="U336" s="80">
        <f t="shared" ca="1" si="85"/>
        <v>6.386281174752817E-5</v>
      </c>
      <c r="V336" s="80">
        <f t="shared" ca="1" si="85"/>
        <v>1.1348687767864796E-5</v>
      </c>
      <c r="W336" s="80">
        <f t="shared" ca="1" si="85"/>
        <v>1.9378808218117882E-6</v>
      </c>
      <c r="X336" s="80">
        <f t="shared" ca="1" si="85"/>
        <v>3.2210748901473352E-7</v>
      </c>
      <c r="Y336" s="80">
        <f t="shared" ca="1" si="85"/>
        <v>5.2634755443037307E-8</v>
      </c>
      <c r="Z336" s="80">
        <f t="shared" ca="1" si="85"/>
        <v>1.016049411273201E-8</v>
      </c>
      <c r="AA336" s="80">
        <f ca="1">SUMPRODUCT(F336:Z336,FailureForCPU!E$17:Y$17)</f>
        <v>2.1635301689484909E-5</v>
      </c>
      <c r="AB336" s="80">
        <f t="shared" ca="1" si="81"/>
        <v>5.8365022294722052E-5</v>
      </c>
      <c r="AC336" s="12">
        <f t="shared" ca="1" si="82"/>
        <v>2.6976170883820991</v>
      </c>
      <c r="AD336" s="12">
        <f t="shared" ca="1" si="83"/>
        <v>1</v>
      </c>
    </row>
    <row r="337" spans="1:30">
      <c r="A337" s="56">
        <v>18</v>
      </c>
      <c r="B337" s="12">
        <f t="shared" si="77"/>
        <v>3.6254902505747126</v>
      </c>
      <c r="C337" s="12">
        <f t="shared" si="78"/>
        <v>3.6667890005108132</v>
      </c>
      <c r="D337" s="23">
        <f t="array" ref="D337">MATCH(MIN(ABS(ServerTypeA!$A$106:$A$165-$C337)),ABS(ServerTypeA!$A$106:$A$165-$C337),0)</f>
        <v>37</v>
      </c>
      <c r="E337" s="23">
        <f t="array" ref="E337">INDEX(ServerTypeA!$A$106:$A$165,MATCH(MIN(ABS(ServerTypeA!$A$106:$A$165-$C337)),ABS(ServerTypeA!$A$106:$A$165-$C337),0))</f>
        <v>3.7</v>
      </c>
      <c r="F337" s="80">
        <f t="shared" ca="1" si="84"/>
        <v>0</v>
      </c>
      <c r="G337" s="80">
        <f t="shared" ca="1" si="84"/>
        <v>2.5905779142758108E-43</v>
      </c>
      <c r="H337" s="80">
        <f t="shared" ca="1" si="84"/>
        <v>1.0776463501599234E-23</v>
      </c>
      <c r="I337" s="80">
        <f t="shared" ca="1" si="84"/>
        <v>3.8977225725402576E-14</v>
      </c>
      <c r="J337" s="80">
        <f t="shared" ca="1" si="84"/>
        <v>1.3472315149940316E-9</v>
      </c>
      <c r="K337" s="80">
        <f t="shared" ca="1" si="84"/>
        <v>5.3942186582197124E-6</v>
      </c>
      <c r="L337" s="80">
        <f t="shared" ca="1" si="84"/>
        <v>8.9695932018085678E-4</v>
      </c>
      <c r="M337" s="80">
        <f t="shared" ca="1" si="84"/>
        <v>2.029915981653807E-2</v>
      </c>
      <c r="N337" s="80">
        <f t="shared" ca="1" si="84"/>
        <v>0.11914569711400624</v>
      </c>
      <c r="O337" s="80">
        <f t="shared" ca="1" si="84"/>
        <v>0.26626431347654567</v>
      </c>
      <c r="P337" s="80">
        <f t="shared" ca="1" si="85"/>
        <v>0.29188941817230374</v>
      </c>
      <c r="Q337" s="80">
        <f t="shared" ca="1" si="85"/>
        <v>0.18765177989898019</v>
      </c>
      <c r="R337" s="80">
        <f t="shared" ca="1" si="85"/>
        <v>8.054374590151081E-2</v>
      </c>
      <c r="S337" s="80">
        <f t="shared" ca="1" si="85"/>
        <v>2.5396944288544221E-2</v>
      </c>
      <c r="T337" s="80">
        <f t="shared" ca="1" si="85"/>
        <v>6.3182103037050519E-3</v>
      </c>
      <c r="U337" s="80">
        <f t="shared" ca="1" si="85"/>
        <v>1.3087956078142726E-3</v>
      </c>
      <c r="V337" s="80">
        <f t="shared" ca="1" si="85"/>
        <v>2.3522766733863332E-4</v>
      </c>
      <c r="W337" s="80">
        <f t="shared" ca="1" si="85"/>
        <v>3.7865571857698122E-5</v>
      </c>
      <c r="X337" s="80">
        <f t="shared" ca="1" si="85"/>
        <v>5.5963458769348051E-6</v>
      </c>
      <c r="Y337" s="80">
        <f t="shared" ca="1" si="85"/>
        <v>7.7435930501135175E-7</v>
      </c>
      <c r="Z337" s="80">
        <f t="shared" ca="1" si="85"/>
        <v>1.1658956389215547E-7</v>
      </c>
      <c r="AA337" s="80">
        <f ca="1">SUMPRODUCT(F337:Z337,FailureForCPU!E$17:Y$17)</f>
        <v>3.5949880007329541E-4</v>
      </c>
      <c r="AB337" s="80">
        <f t="shared" ca="1" si="81"/>
        <v>1.3182062458055956E-3</v>
      </c>
      <c r="AC337" s="12">
        <f t="shared" ca="1" si="82"/>
        <v>3.6654707942650075</v>
      </c>
      <c r="AD337" s="12">
        <f t="shared" ca="1" si="83"/>
        <v>1</v>
      </c>
    </row>
    <row r="338" spans="1:30">
      <c r="A338" s="56">
        <v>19</v>
      </c>
      <c r="B338" s="12">
        <f t="shared" si="77"/>
        <v>4.399450104444445</v>
      </c>
      <c r="C338" s="12">
        <f t="shared" si="78"/>
        <v>4.4495651998280286</v>
      </c>
      <c r="D338" s="23">
        <f t="array" ref="D338">MATCH(MIN(ABS(ServerTypeA!$A$106:$A$165-$C338)),ABS(ServerTypeA!$A$106:$A$165-$C338),0)</f>
        <v>44</v>
      </c>
      <c r="E338" s="23">
        <f t="array" ref="E338">INDEX(ServerTypeA!$A$106:$A$165,MATCH(MIN(ABS(ServerTypeA!$A$106:$A$165-$C338)),ABS(ServerTypeA!$A$106:$A$165-$C338),0))</f>
        <v>4.4000000000000004</v>
      </c>
      <c r="F338" s="80">
        <f t="shared" ca="1" si="84"/>
        <v>0</v>
      </c>
      <c r="G338" s="80">
        <f t="shared" ca="1" si="84"/>
        <v>1.1324045275092948E-65</v>
      </c>
      <c r="H338" s="80">
        <f t="shared" ca="1" si="84"/>
        <v>1.0240139345634852E-37</v>
      </c>
      <c r="I338" s="80">
        <f t="shared" ca="1" si="84"/>
        <v>1.1963954622512039E-23</v>
      </c>
      <c r="J338" s="80">
        <f t="shared" ca="1" si="84"/>
        <v>9.728326217269486E-17</v>
      </c>
      <c r="K338" s="80">
        <f t="shared" ca="1" si="84"/>
        <v>4.9549950547790573E-11</v>
      </c>
      <c r="L338" s="80">
        <f t="shared" ca="1" si="84"/>
        <v>2.6393002512798672E-7</v>
      </c>
      <c r="M338" s="80">
        <f t="shared" ca="1" si="84"/>
        <v>7.8831483922981946E-5</v>
      </c>
      <c r="N338" s="80">
        <f t="shared" ca="1" si="84"/>
        <v>3.3981376375431527E-3</v>
      </c>
      <c r="O338" s="80">
        <f t="shared" ca="1" si="84"/>
        <v>3.7183996373000627E-2</v>
      </c>
      <c r="P338" s="80">
        <f t="shared" ca="1" si="85"/>
        <v>0.14746118765791461</v>
      </c>
      <c r="Q338" s="80">
        <f t="shared" ca="1" si="85"/>
        <v>0.26959173636167788</v>
      </c>
      <c r="R338" s="80">
        <f t="shared" ca="1" si="85"/>
        <v>0.27015420719258254</v>
      </c>
      <c r="S338" s="80">
        <f t="shared" ca="1" si="85"/>
        <v>0.16887707489021397</v>
      </c>
      <c r="T338" s="80">
        <f t="shared" ca="1" si="85"/>
        <v>7.268072477294607E-2</v>
      </c>
      <c r="U338" s="80">
        <f t="shared" ca="1" si="85"/>
        <v>2.3239036953590642E-2</v>
      </c>
      <c r="V338" s="80">
        <f t="shared" ca="1" si="85"/>
        <v>5.8577236837721314E-3</v>
      </c>
      <c r="W338" s="80">
        <f t="shared" ca="1" si="85"/>
        <v>1.2195628628653976E-3</v>
      </c>
      <c r="X338" s="80">
        <f t="shared" ca="1" si="85"/>
        <v>2.1762200366570728E-4</v>
      </c>
      <c r="Y338" s="80">
        <f t="shared" ca="1" si="85"/>
        <v>3.4281764194066255E-5</v>
      </c>
      <c r="Z338" s="80">
        <f t="shared" ca="1" si="85"/>
        <v>5.6123825350473666E-6</v>
      </c>
      <c r="AA338" s="80">
        <f ca="1">SUMPRODUCT(F338:Z338,FailureForCPU!E$17:Y$17)</f>
        <v>3.4628183374226617E-3</v>
      </c>
      <c r="AB338" s="80">
        <f t="shared" ca="1" si="81"/>
        <v>1.5408035967522228E-2</v>
      </c>
      <c r="AC338" s="12">
        <f t="shared" ca="1" si="82"/>
        <v>4.4341571638605064</v>
      </c>
      <c r="AD338" s="12">
        <f t="shared" ca="1" si="83"/>
        <v>1</v>
      </c>
    </row>
    <row r="339" spans="1:30">
      <c r="A339" s="56">
        <v>20</v>
      </c>
      <c r="B339" s="12">
        <f t="shared" si="77"/>
        <v>4.2813726177777767</v>
      </c>
      <c r="C339" s="12">
        <f t="shared" si="78"/>
        <v>4.330142666765453</v>
      </c>
      <c r="D339" s="23">
        <f t="array" ref="D339">MATCH(MIN(ABS(ServerTypeA!$A$106:$A$165-$C339)),ABS(ServerTypeA!$A$106:$A$165-$C339),0)</f>
        <v>43</v>
      </c>
      <c r="E339" s="23">
        <f t="array" ref="E339">INDEX(ServerTypeA!$A$106:$A$165,MATCH(MIN(ABS(ServerTypeA!$A$106:$A$165-$C339)),ABS(ServerTypeA!$A$106:$A$165-$C339),0))</f>
        <v>4.3</v>
      </c>
      <c r="F339" s="80">
        <f t="shared" ca="1" si="84"/>
        <v>0</v>
      </c>
      <c r="G339" s="80">
        <f t="shared" ca="1" si="84"/>
        <v>9.0454725765050155E-62</v>
      </c>
      <c r="H339" s="80">
        <f t="shared" ca="1" si="84"/>
        <v>3.3071630419731202E-35</v>
      </c>
      <c r="I339" s="80">
        <f t="shared" ca="1" si="84"/>
        <v>6.6421944053507699E-22</v>
      </c>
      <c r="J339" s="80">
        <f t="shared" ca="1" si="84"/>
        <v>2.1129338192891968E-15</v>
      </c>
      <c r="K339" s="80">
        <f t="shared" ca="1" si="84"/>
        <v>4.6256221569369465E-10</v>
      </c>
      <c r="L339" s="80">
        <f t="shared" ca="1" si="84"/>
        <v>1.3334674643288203E-6</v>
      </c>
      <c r="M339" s="80">
        <f t="shared" ca="1" si="84"/>
        <v>2.5070667075921538E-4</v>
      </c>
      <c r="N339" s="80">
        <f t="shared" ca="1" si="84"/>
        <v>7.5362516333303819E-3</v>
      </c>
      <c r="O339" s="80">
        <f t="shared" ca="1" si="84"/>
        <v>6.1712816655367098E-2</v>
      </c>
      <c r="P339" s="80">
        <f t="shared" ca="1" si="85"/>
        <v>0.19277123755774583</v>
      </c>
      <c r="Q339" s="80">
        <f t="shared" ca="1" si="85"/>
        <v>0.28889760850516655</v>
      </c>
      <c r="R339" s="80">
        <f t="shared" ca="1" si="85"/>
        <v>0.24518773690087892</v>
      </c>
      <c r="S339" s="80">
        <f t="shared" ca="1" si="85"/>
        <v>0.13340081215367483</v>
      </c>
      <c r="T339" s="80">
        <f t="shared" ca="1" si="85"/>
        <v>5.1132246544152049E-2</v>
      </c>
      <c r="U339" s="80">
        <f t="shared" ca="1" si="85"/>
        <v>1.4846791900960388E-2</v>
      </c>
      <c r="V339" s="80">
        <f t="shared" ca="1" si="85"/>
        <v>3.4550977976198771E-3</v>
      </c>
      <c r="W339" s="80">
        <f t="shared" ca="1" si="85"/>
        <v>6.7355821227010892E-4</v>
      </c>
      <c r="X339" s="80">
        <f t="shared" ca="1" si="85"/>
        <v>1.1390934504773575E-4</v>
      </c>
      <c r="Y339" s="80">
        <f t="shared" ca="1" si="85"/>
        <v>1.7183906437789886E-5</v>
      </c>
      <c r="Z339" s="80">
        <f t="shared" ca="1" si="85"/>
        <v>2.7082865605709827E-6</v>
      </c>
      <c r="AA339" s="80">
        <f ca="1">SUMPRODUCT(F339:Z339,FailureForCPU!E$17:Y$17)</f>
        <v>2.4870501944822022E-3</v>
      </c>
      <c r="AB339" s="80">
        <f t="shared" ca="1" si="81"/>
        <v>1.0769282161514702E-2</v>
      </c>
      <c r="AC339" s="12">
        <f t="shared" ca="1" si="82"/>
        <v>4.3193733846039386</v>
      </c>
      <c r="AD339" s="12">
        <f t="shared" ca="1" si="83"/>
        <v>1</v>
      </c>
    </row>
    <row r="340" spans="1:30">
      <c r="A340" s="56">
        <v>21</v>
      </c>
      <c r="B340" s="12">
        <f t="shared" si="77"/>
        <v>3.3526749333333328</v>
      </c>
      <c r="C340" s="12">
        <f t="shared" si="78"/>
        <v>3.3908659845068443</v>
      </c>
      <c r="D340" s="23">
        <f t="array" ref="D340">MATCH(MIN(ABS(ServerTypeA!$A$106:$A$165-$C340)),ABS(ServerTypeA!$A$106:$A$165-$C340),0)</f>
        <v>34</v>
      </c>
      <c r="E340" s="23">
        <f t="array" ref="E340">INDEX(ServerTypeA!$A$106:$A$165,MATCH(MIN(ABS(ServerTypeA!$A$106:$A$165-$C340)),ABS(ServerTypeA!$A$106:$A$165-$C340),0))</f>
        <v>3.4</v>
      </c>
      <c r="F340" s="80">
        <f t="shared" ca="1" si="84"/>
        <v>0</v>
      </c>
      <c r="G340" s="80">
        <f t="shared" ca="1" si="84"/>
        <v>2.3413889379144568E-36</v>
      </c>
      <c r="H340" s="80">
        <f t="shared" ca="1" si="84"/>
        <v>1.608623308048538E-19</v>
      </c>
      <c r="I340" s="80">
        <f t="shared" ca="1" si="84"/>
        <v>1.980236814927837E-11</v>
      </c>
      <c r="J340" s="80">
        <f t="shared" ca="1" si="84"/>
        <v>1.2052742135292165E-7</v>
      </c>
      <c r="K340" s="80">
        <f t="shared" ca="1" si="84"/>
        <v>1.0735980372559706E-4</v>
      </c>
      <c r="L340" s="80">
        <f t="shared" ca="1" si="84"/>
        <v>6.2657685124898332E-3</v>
      </c>
      <c r="M340" s="80">
        <f t="shared" ca="1" si="84"/>
        <v>6.584953536887217E-2</v>
      </c>
      <c r="N340" s="80">
        <f t="shared" ca="1" si="84"/>
        <v>0.21527557821161225</v>
      </c>
      <c r="O340" s="80">
        <f t="shared" ca="1" si="84"/>
        <v>0.30565189124168957</v>
      </c>
      <c r="P340" s="80">
        <f t="shared" ca="1" si="85"/>
        <v>0.23594832879039862</v>
      </c>
      <c r="Q340" s="80">
        <f t="shared" ca="1" si="85"/>
        <v>0.11602034300290032</v>
      </c>
      <c r="R340" s="80">
        <f t="shared" ca="1" si="85"/>
        <v>4.072297112433354E-2</v>
      </c>
      <c r="S340" s="80">
        <f t="shared" ca="1" si="85"/>
        <v>1.1086765592116077E-2</v>
      </c>
      <c r="T340" s="80">
        <f t="shared" ca="1" si="85"/>
        <v>2.4893585971403898E-3</v>
      </c>
      <c r="U340" s="80">
        <f t="shared" ca="1" si="85"/>
        <v>4.8266392697660088E-4</v>
      </c>
      <c r="V340" s="80">
        <f t="shared" ca="1" si="85"/>
        <v>8.3676986869840597E-5</v>
      </c>
      <c r="W340" s="80">
        <f t="shared" ca="1" si="85"/>
        <v>1.3322107353386237E-5</v>
      </c>
      <c r="X340" s="80">
        <f t="shared" ca="1" si="85"/>
        <v>1.9885491443494274E-6</v>
      </c>
      <c r="Y340" s="80">
        <f t="shared" ca="1" si="85"/>
        <v>2.8283206821022588E-7</v>
      </c>
      <c r="Z340" s="80">
        <f t="shared" ca="1" si="85"/>
        <v>4.4805085530619237E-8</v>
      </c>
      <c r="AA340" s="80">
        <f ca="1">SUMPRODUCT(F340:Z340,FailureForCPU!E$17:Y$17)</f>
        <v>1.4944005530324509E-4</v>
      </c>
      <c r="AB340" s="80">
        <f t="shared" ca="1" si="81"/>
        <v>5.0673120025059547E-4</v>
      </c>
      <c r="AC340" s="12">
        <f t="shared" ca="1" si="82"/>
        <v>3.3903592533065936</v>
      </c>
      <c r="AD340" s="12">
        <f t="shared" ca="1" si="83"/>
        <v>1</v>
      </c>
    </row>
    <row r="341" spans="1:30">
      <c r="A341" s="56">
        <v>22</v>
      </c>
      <c r="B341" s="12">
        <f t="shared" si="77"/>
        <v>2.0333673111111108</v>
      </c>
      <c r="C341" s="12">
        <f t="shared" si="78"/>
        <v>2.0565298415017268</v>
      </c>
      <c r="D341" s="23">
        <f t="array" ref="D341">MATCH(MIN(ABS(ServerTypeA!$A$106:$A$165-$C341)),ABS(ServerTypeA!$A$106:$A$165-$C341),0)</f>
        <v>21</v>
      </c>
      <c r="E341" s="23">
        <f t="array" ref="E341">INDEX(ServerTypeA!$A$106:$A$165,MATCH(MIN(ABS(ServerTypeA!$A$106:$A$165-$C341)),ABS(ServerTypeA!$A$106:$A$165-$C341),0))</f>
        <v>2.1</v>
      </c>
      <c r="F341" s="80">
        <f t="shared" ca="1" si="84"/>
        <v>0</v>
      </c>
      <c r="G341" s="80">
        <f t="shared" ca="1" si="84"/>
        <v>2.5357922694985603E-15</v>
      </c>
      <c r="H341" s="80">
        <f t="shared" ca="1" si="84"/>
        <v>1.702973368267634E-7</v>
      </c>
      <c r="I341" s="80">
        <f t="shared" ca="1" si="84"/>
        <v>4.7617402327868697E-4</v>
      </c>
      <c r="J341" s="80">
        <f t="shared" ca="1" si="84"/>
        <v>1.3224086946461266E-2</v>
      </c>
      <c r="K341" s="80">
        <f t="shared" ca="1" si="84"/>
        <v>0.12413549219269859</v>
      </c>
      <c r="L341" s="80">
        <f t="shared" ca="1" si="84"/>
        <v>0.29551688970197165</v>
      </c>
      <c r="M341" s="80">
        <f t="shared" ca="1" si="84"/>
        <v>0.29844063028975598</v>
      </c>
      <c r="N341" s="80">
        <f t="shared" ca="1" si="84"/>
        <v>0.17196326563138287</v>
      </c>
      <c r="O341" s="80">
        <f t="shared" ca="1" si="84"/>
        <v>6.8192738245804185E-2</v>
      </c>
      <c r="P341" s="80">
        <f t="shared" ca="1" si="85"/>
        <v>2.1010021948516533E-2</v>
      </c>
      <c r="Q341" s="80">
        <f t="shared" ca="1" si="85"/>
        <v>5.4495764603040842E-3</v>
      </c>
      <c r="R341" s="80">
        <f t="shared" ca="1" si="85"/>
        <v>1.2565417597770745E-3</v>
      </c>
      <c r="S341" s="80">
        <f t="shared" ca="1" si="85"/>
        <v>2.6744785902110824E-4</v>
      </c>
      <c r="T341" s="80">
        <f t="shared" ca="1" si="85"/>
        <v>5.3964566450792617E-5</v>
      </c>
      <c r="U341" s="80">
        <f t="shared" ca="1" si="85"/>
        <v>1.0521585664613475E-5</v>
      </c>
      <c r="V341" s="80">
        <f t="shared" ca="1" si="85"/>
        <v>2.0099721521615876E-6</v>
      </c>
      <c r="W341" s="80">
        <f t="shared" ca="1" si="85"/>
        <v>3.8007576763643414E-7</v>
      </c>
      <c r="X341" s="80">
        <f t="shared" ca="1" si="85"/>
        <v>7.1681720892335932E-8</v>
      </c>
      <c r="Y341" s="80">
        <f t="shared" ca="1" si="85"/>
        <v>1.3559813938357479E-8</v>
      </c>
      <c r="Z341" s="80">
        <f t="shared" ca="1" si="85"/>
        <v>3.202118570300172E-9</v>
      </c>
      <c r="AA341" s="80">
        <f ca="1">SUMPRODUCT(F341:Z341,FailureForCPU!E$17:Y$17)</f>
        <v>3.4805579297516227E-6</v>
      </c>
      <c r="AB341" s="80">
        <f t="shared" ca="1" si="81"/>
        <v>7.1578712476096826E-6</v>
      </c>
      <c r="AC341" s="12">
        <f t="shared" ca="1" si="82"/>
        <v>2.0565226836304791</v>
      </c>
      <c r="AD341" s="12">
        <f t="shared" ca="1" si="83"/>
        <v>1</v>
      </c>
    </row>
    <row r="342" spans="1:30">
      <c r="A342" s="56">
        <v>23</v>
      </c>
      <c r="B342" s="12">
        <f t="shared" si="77"/>
        <v>1.0004340733333335</v>
      </c>
      <c r="C342" s="12">
        <f t="shared" si="78"/>
        <v>1.0118302359945344</v>
      </c>
      <c r="D342" s="23">
        <f t="array" ref="D342">MATCH(MIN(ABS(ServerTypeA!$A$106:$A$165-$C342)),ABS(ServerTypeA!$A$106:$A$165-$C342),0)</f>
        <v>10</v>
      </c>
      <c r="E342" s="23">
        <f t="array" ref="E342">INDEX(ServerTypeA!$A$106:$A$165,MATCH(MIN(ABS(ServerTypeA!$A$106:$A$165-$C342)),ABS(ServerTypeA!$A$106:$A$165-$C342),0))</f>
        <v>1</v>
      </c>
      <c r="F342" s="80">
        <f t="shared" ca="1" si="84"/>
        <v>0</v>
      </c>
      <c r="G342" s="80">
        <f t="shared" ca="1" si="84"/>
        <v>6.3362385179783882E-5</v>
      </c>
      <c r="H342" s="80">
        <f t="shared" ca="1" si="84"/>
        <v>3.2995538185137452E-2</v>
      </c>
      <c r="I342" s="80">
        <f t="shared" ca="1" si="84"/>
        <v>0.26726256706287965</v>
      </c>
      <c r="J342" s="80">
        <f t="shared" ca="1" si="84"/>
        <v>0.31013660162702217</v>
      </c>
      <c r="K342" s="80">
        <f t="shared" ca="1" si="84"/>
        <v>0.2532552756998514</v>
      </c>
      <c r="L342" s="80">
        <f t="shared" ca="1" si="84"/>
        <v>9.8107796915847922E-2</v>
      </c>
      <c r="M342" s="80">
        <f t="shared" ca="1" si="84"/>
        <v>2.8732042413077363E-2</v>
      </c>
      <c r="N342" s="80">
        <f t="shared" ca="1" si="84"/>
        <v>7.2542263535837481E-3</v>
      </c>
      <c r="O342" s="80">
        <f t="shared" ca="1" si="84"/>
        <v>1.6975679546920031E-3</v>
      </c>
      <c r="P342" s="80">
        <f t="shared" ca="1" si="85"/>
        <v>3.8387097105896384E-4</v>
      </c>
      <c r="Q342" s="80">
        <f t="shared" ca="1" si="85"/>
        <v>8.5988652237634078E-5</v>
      </c>
      <c r="R342" s="80">
        <f t="shared" ca="1" si="85"/>
        <v>1.9370639502747089E-5</v>
      </c>
      <c r="S342" s="80">
        <f t="shared" ca="1" si="85"/>
        <v>4.4290582862371863E-6</v>
      </c>
      <c r="T342" s="80">
        <f t="shared" ca="1" si="85"/>
        <v>1.033706087172348E-6</v>
      </c>
      <c r="U342" s="80">
        <f t="shared" ca="1" si="85"/>
        <v>2.4709440304970798E-7</v>
      </c>
      <c r="V342" s="80">
        <f t="shared" ca="1" si="85"/>
        <v>6.0608630669811703E-8</v>
      </c>
      <c r="W342" s="80">
        <f t="shared" ca="1" si="85"/>
        <v>1.5269196684819519E-8</v>
      </c>
      <c r="X342" s="80">
        <f t="shared" ca="1" si="85"/>
        <v>3.9522030093053218E-9</v>
      </c>
      <c r="Y342" s="80">
        <f t="shared" ca="1" si="85"/>
        <v>1.0508791614682877E-9</v>
      </c>
      <c r="Z342" s="80">
        <f t="shared" ca="1" si="85"/>
        <v>4.0024294989393638E-10</v>
      </c>
      <c r="AA342" s="80">
        <f ca="1">SUMPRODUCT(F342:Z342,FailureForCPU!E$17:Y$17)</f>
        <v>6.3473937673511974E-8</v>
      </c>
      <c r="AB342" s="80">
        <f t="shared" ca="1" si="81"/>
        <v>6.4224849335691984E-8</v>
      </c>
      <c r="AC342" s="12">
        <f t="shared" ca="1" si="82"/>
        <v>1.0118301717696849</v>
      </c>
      <c r="AD342" s="12">
        <f t="shared" ca="1" si="83"/>
        <v>0.99999999999999978</v>
      </c>
    </row>
    <row r="343" spans="1:30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>
      <c r="A344" s="54" t="s">
        <v>55</v>
      </c>
      <c r="B344" s="12">
        <f>SUM(B319:B342)</f>
        <v>48.744819081532569</v>
      </c>
      <c r="C344" s="12">
        <f>SUM(C319:C342)</f>
        <v>49.300081943875</v>
      </c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25">
        <f ca="1">SUM(AB319:AB342)</f>
        <v>2.8392053158417557E-2</v>
      </c>
      <c r="AC344" s="25">
        <f ca="1">SUM(AC319:AC342)</f>
        <v>49.271689890716566</v>
      </c>
      <c r="AD344" s="54"/>
    </row>
    <row r="345" spans="1:30">
      <c r="A345" s="54" t="s">
        <v>66</v>
      </c>
      <c r="B345" s="69">
        <f ca="1">AC344/C344</f>
        <v>0.99942409724205417</v>
      </c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</sheetData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AD346"/>
  <sheetViews>
    <sheetView topLeftCell="A46" workbookViewId="0">
      <selection activeCell="D82" sqref="D82"/>
    </sheetView>
  </sheetViews>
  <sheetFormatPr defaultRowHeight="15"/>
  <cols>
    <col min="1" max="1" width="15.28515625" style="44" customWidth="1"/>
    <col min="2" max="2" width="20" style="25" customWidth="1"/>
    <col min="3" max="3" width="14.5703125" style="44" customWidth="1"/>
    <col min="4" max="4" width="18.140625" style="44" customWidth="1"/>
    <col min="5" max="5" width="13.140625" style="44" customWidth="1"/>
    <col min="6" max="6" width="17.85546875" style="44" customWidth="1"/>
    <col min="7" max="27" width="9.140625" style="44"/>
    <col min="28" max="28" width="10.28515625" style="44" customWidth="1"/>
    <col min="29" max="29" width="10.5703125" style="44" customWidth="1"/>
    <col min="30" max="16384" width="9.140625" style="44"/>
  </cols>
  <sheetData>
    <row r="1" spans="1:5">
      <c r="A1" s="54" t="s">
        <v>102</v>
      </c>
    </row>
    <row r="2" spans="1:5" ht="30">
      <c r="A2" s="10" t="s">
        <v>3</v>
      </c>
      <c r="B2" s="24" t="s">
        <v>0</v>
      </c>
      <c r="C2" s="1" t="s">
        <v>4</v>
      </c>
      <c r="D2" s="1" t="s">
        <v>1</v>
      </c>
      <c r="E2" s="1" t="s">
        <v>2</v>
      </c>
    </row>
    <row r="3" spans="1:5">
      <c r="A3" s="45">
        <v>0</v>
      </c>
      <c r="B3" s="76">
        <v>0.43929673333333336</v>
      </c>
      <c r="C3" s="12">
        <f t="shared" ref="C3:C26" si="0">LN(B3)</f>
        <v>-0.82258016410059054</v>
      </c>
      <c r="D3" s="76">
        <v>1.4578535474648624</v>
      </c>
      <c r="E3" s="76">
        <v>0.38068830855339275</v>
      </c>
    </row>
    <row r="4" spans="1:5">
      <c r="A4" s="45">
        <v>1</v>
      </c>
      <c r="B4" s="76">
        <v>0.24725845000000002</v>
      </c>
      <c r="C4" s="12">
        <f t="shared" si="0"/>
        <v>-1.3973211331280113</v>
      </c>
      <c r="D4" s="76">
        <v>1.2009059292645192</v>
      </c>
      <c r="E4" s="76">
        <v>0.44643345497676579</v>
      </c>
    </row>
    <row r="5" spans="1:5">
      <c r="A5" s="45">
        <v>2</v>
      </c>
      <c r="B5" s="76">
        <v>0.15990046666666669</v>
      </c>
      <c r="C5" s="12">
        <f t="shared" si="0"/>
        <v>-1.8332037406557637</v>
      </c>
      <c r="D5" s="76">
        <v>1.1239121830226895</v>
      </c>
      <c r="E5" s="76">
        <v>0.47421591541210195</v>
      </c>
    </row>
    <row r="6" spans="1:5">
      <c r="A6" s="45">
        <v>3</v>
      </c>
      <c r="B6" s="76">
        <v>0.15634300000000001</v>
      </c>
      <c r="C6" s="12">
        <f t="shared" si="0"/>
        <v>-1.8557029674268917</v>
      </c>
      <c r="D6" s="76">
        <v>1.0781775282874471</v>
      </c>
      <c r="E6" s="76">
        <v>0.47328222878650017</v>
      </c>
    </row>
    <row r="7" spans="1:5">
      <c r="A7" s="45">
        <v>4</v>
      </c>
      <c r="B7" s="76">
        <v>0.33371846666666666</v>
      </c>
      <c r="C7" s="12">
        <f t="shared" si="0"/>
        <v>-1.0974575556290014</v>
      </c>
      <c r="D7" s="76">
        <v>1.3586159920097485</v>
      </c>
      <c r="E7" s="76">
        <v>0.42022276911019618</v>
      </c>
    </row>
    <row r="8" spans="1:5">
      <c r="A8" s="45">
        <v>5</v>
      </c>
      <c r="B8" s="76">
        <v>0.89391525000000005</v>
      </c>
      <c r="C8" s="12">
        <f t="shared" si="0"/>
        <v>-0.11214430696001773</v>
      </c>
      <c r="D8" s="76">
        <v>1.8935671239763232</v>
      </c>
      <c r="E8" s="76">
        <v>0.29032631288578015</v>
      </c>
    </row>
    <row r="9" spans="1:5">
      <c r="A9" s="45">
        <v>6</v>
      </c>
      <c r="B9" s="76">
        <v>1.2472558666666667</v>
      </c>
      <c r="C9" s="12">
        <f t="shared" si="0"/>
        <v>0.2209458314293799</v>
      </c>
      <c r="D9" s="76">
        <v>2.1777566981165304</v>
      </c>
      <c r="E9" s="76">
        <v>0.26108807775308907</v>
      </c>
    </row>
    <row r="10" spans="1:5">
      <c r="A10" s="45">
        <v>7</v>
      </c>
      <c r="B10" s="76">
        <v>1.427451456896552</v>
      </c>
      <c r="C10" s="12">
        <f t="shared" si="0"/>
        <v>0.35589065629315098</v>
      </c>
      <c r="D10" s="76">
        <v>2.2830566907158301</v>
      </c>
      <c r="E10" s="76">
        <v>0.27475598174255794</v>
      </c>
    </row>
    <row r="11" spans="1:5">
      <c r="A11" s="45">
        <v>8</v>
      </c>
      <c r="B11" s="76">
        <v>1.6331402586206896</v>
      </c>
      <c r="C11" s="12">
        <f t="shared" si="0"/>
        <v>0.49050470045349476</v>
      </c>
      <c r="D11" s="76">
        <v>2.4016785827932323</v>
      </c>
      <c r="E11" s="76">
        <v>0.26257045253475403</v>
      </c>
    </row>
    <row r="12" spans="1:5">
      <c r="A12" s="45">
        <v>9</v>
      </c>
      <c r="B12" s="76">
        <v>1.8079739655172413</v>
      </c>
      <c r="C12" s="12">
        <f t="shared" si="0"/>
        <v>0.59220686226301378</v>
      </c>
      <c r="D12" s="76">
        <v>2.4780891524421174</v>
      </c>
      <c r="E12" s="76">
        <v>0.2474704511325046</v>
      </c>
    </row>
    <row r="13" spans="1:5">
      <c r="A13" s="45">
        <v>10</v>
      </c>
      <c r="B13" s="76">
        <v>1.9315643166666667</v>
      </c>
      <c r="C13" s="12">
        <f t="shared" si="0"/>
        <v>0.65833020138765019</v>
      </c>
      <c r="D13" s="76">
        <v>2.5417076069979592</v>
      </c>
      <c r="E13" s="76">
        <v>0.23582719223119322</v>
      </c>
    </row>
    <row r="14" spans="1:5">
      <c r="A14" s="45">
        <v>11</v>
      </c>
      <c r="B14" s="76">
        <v>2.03022415</v>
      </c>
      <c r="C14" s="12">
        <f t="shared" si="0"/>
        <v>0.70814620567720976</v>
      </c>
      <c r="D14" s="76">
        <v>2.5496839139592584</v>
      </c>
      <c r="E14" s="76">
        <v>0.21494477894520697</v>
      </c>
    </row>
    <row r="15" spans="1:5">
      <c r="A15" s="45">
        <v>12</v>
      </c>
      <c r="B15" s="76">
        <v>2.2896160166666668</v>
      </c>
      <c r="C15" s="12">
        <f t="shared" si="0"/>
        <v>0.82838412519506932</v>
      </c>
      <c r="D15" s="76">
        <v>2.637817464390511</v>
      </c>
      <c r="E15" s="76">
        <v>0.17237730796284112</v>
      </c>
    </row>
    <row r="16" spans="1:5">
      <c r="A16" s="45">
        <v>13</v>
      </c>
      <c r="B16" s="76">
        <v>2.2934009304597702</v>
      </c>
      <c r="C16" s="12">
        <f t="shared" si="0"/>
        <v>0.83003583833392769</v>
      </c>
      <c r="D16" s="76">
        <v>2.6328556719779206</v>
      </c>
      <c r="E16" s="76">
        <v>0.16646873656193936</v>
      </c>
    </row>
    <row r="17" spans="1:6">
      <c r="A17" s="45">
        <v>14</v>
      </c>
      <c r="B17" s="76">
        <v>2.3540504500000003</v>
      </c>
      <c r="C17" s="12">
        <f t="shared" si="0"/>
        <v>0.8561374402142089</v>
      </c>
      <c r="D17" s="76">
        <v>2.6651734949945665</v>
      </c>
      <c r="E17" s="76">
        <v>0.15372434855297296</v>
      </c>
    </row>
    <row r="18" spans="1:6">
      <c r="A18" s="45">
        <v>15</v>
      </c>
      <c r="B18" s="76">
        <v>2.3404022586206894</v>
      </c>
      <c r="C18" s="12">
        <f t="shared" si="0"/>
        <v>0.85032281998902803</v>
      </c>
      <c r="D18" s="76">
        <v>2.6407014432707721</v>
      </c>
      <c r="E18" s="76">
        <v>0.15345736114530628</v>
      </c>
    </row>
    <row r="19" spans="1:6">
      <c r="A19" s="45">
        <v>16</v>
      </c>
      <c r="B19" s="76">
        <v>2.4359785499999997</v>
      </c>
      <c r="C19" s="12">
        <f t="shared" si="0"/>
        <v>0.89034854439016331</v>
      </c>
      <c r="D19" s="76">
        <v>2.6690912249458405</v>
      </c>
      <c r="E19" s="76">
        <v>0.14925630917062432</v>
      </c>
    </row>
    <row r="20" spans="1:6">
      <c r="A20" s="45">
        <v>17</v>
      </c>
      <c r="B20" s="76">
        <v>2.4111804999999999</v>
      </c>
      <c r="C20" s="12">
        <f t="shared" si="0"/>
        <v>0.880116461597936</v>
      </c>
      <c r="D20" s="76">
        <v>2.6925662301233491</v>
      </c>
      <c r="E20" s="76">
        <v>0.15607687281556276</v>
      </c>
    </row>
    <row r="21" spans="1:6">
      <c r="A21" s="45">
        <v>18</v>
      </c>
      <c r="B21" s="76">
        <v>3.3244928103448275</v>
      </c>
      <c r="C21" s="12">
        <f t="shared" si="0"/>
        <v>1.2013171242305194</v>
      </c>
      <c r="D21" s="76">
        <v>2.96788632245448</v>
      </c>
      <c r="E21" s="76">
        <v>0.22629715839659939</v>
      </c>
    </row>
    <row r="22" spans="1:6">
      <c r="A22" s="45">
        <v>19</v>
      </c>
      <c r="B22" s="76">
        <v>4.0252025333333332</v>
      </c>
      <c r="C22" s="12">
        <f t="shared" si="0"/>
        <v>1.392575228445156</v>
      </c>
      <c r="D22" s="76">
        <v>3.1312860438872789</v>
      </c>
      <c r="E22" s="76">
        <v>0.12745418549387766</v>
      </c>
    </row>
    <row r="23" spans="1:6">
      <c r="A23" s="45">
        <v>20</v>
      </c>
      <c r="B23" s="76">
        <v>3.8408287333333333</v>
      </c>
      <c r="C23" s="12">
        <f t="shared" si="0"/>
        <v>1.345688159286941</v>
      </c>
      <c r="D23" s="76">
        <v>3.0787900495941543</v>
      </c>
      <c r="E23" s="76">
        <v>0.13435421384212953</v>
      </c>
    </row>
    <row r="24" spans="1:6">
      <c r="A24" s="45">
        <v>21</v>
      </c>
      <c r="B24" s="76">
        <v>2.9214521000000002</v>
      </c>
      <c r="C24" s="12">
        <f t="shared" si="0"/>
        <v>1.0720807871907969</v>
      </c>
      <c r="D24" s="76">
        <v>2.8206832515799598</v>
      </c>
      <c r="E24" s="76">
        <v>0.18441804149569552</v>
      </c>
    </row>
    <row r="25" spans="1:6">
      <c r="A25" s="45">
        <v>22</v>
      </c>
      <c r="B25" s="76">
        <v>1.70428665</v>
      </c>
      <c r="C25" s="12">
        <f t="shared" si="0"/>
        <v>0.53314663609040436</v>
      </c>
      <c r="D25" s="76">
        <v>2.3890292080994184</v>
      </c>
      <c r="E25" s="76">
        <v>0.2703931449229694</v>
      </c>
    </row>
    <row r="26" spans="1:6">
      <c r="A26" s="45">
        <v>23</v>
      </c>
      <c r="B26" s="76">
        <v>0.81373062413793107</v>
      </c>
      <c r="C26" s="12">
        <f t="shared" si="0"/>
        <v>-0.20612589632602213</v>
      </c>
      <c r="D26" s="76">
        <v>1.8025717507060615</v>
      </c>
      <c r="E26" s="76">
        <v>0.37336173307400433</v>
      </c>
    </row>
    <row r="28" spans="1:6">
      <c r="A28" s="54" t="s">
        <v>55</v>
      </c>
      <c r="B28" s="67">
        <f>SUM(B3:B26)</f>
        <v>43.062664537931042</v>
      </c>
    </row>
    <row r="29" spans="1:6">
      <c r="B29" s="25" t="s">
        <v>5</v>
      </c>
    </row>
    <row r="30" spans="1:6">
      <c r="C30" s="15" t="s">
        <v>7</v>
      </c>
      <c r="D30" s="16" t="s">
        <v>8</v>
      </c>
      <c r="E30" s="16" t="s">
        <v>9</v>
      </c>
      <c r="F30" s="17" t="s">
        <v>10</v>
      </c>
    </row>
    <row r="31" spans="1:6">
      <c r="B31" s="26" t="s">
        <v>11</v>
      </c>
      <c r="C31" s="21">
        <f t="array" ref="C31:F31">LINEST(D3:D26,B3:B26^{1,2,3})</f>
        <v>4.4060711350186792E-2</v>
      </c>
      <c r="D31" s="21">
        <v>-0.39773934662946675</v>
      </c>
      <c r="E31" s="21">
        <v>1.4483878662512111</v>
      </c>
      <c r="F31" s="21">
        <v>0.88657834866869467</v>
      </c>
    </row>
    <row r="32" spans="1:6">
      <c r="B32" s="27"/>
      <c r="C32" s="45"/>
      <c r="D32" s="45"/>
      <c r="E32" s="45"/>
      <c r="F32" s="45"/>
    </row>
    <row r="34" spans="1:27">
      <c r="B34" s="25" t="s">
        <v>6</v>
      </c>
    </row>
    <row r="35" spans="1:27">
      <c r="C35" s="20" t="s">
        <v>13</v>
      </c>
      <c r="D35" s="20" t="s">
        <v>12</v>
      </c>
    </row>
    <row r="36" spans="1:27">
      <c r="B36" s="28" t="s">
        <v>11</v>
      </c>
      <c r="C36" s="44">
        <f t="array" ref="C36:D36">LINEST(E3:E26,C3:C26)</f>
        <v>-0.11017706151939388</v>
      </c>
      <c r="D36" s="44">
        <v>0.28969066187953357</v>
      </c>
    </row>
    <row r="39" spans="1:27">
      <c r="A39" s="44" t="s">
        <v>14</v>
      </c>
      <c r="K39" s="44" t="s">
        <v>41</v>
      </c>
    </row>
    <row r="41" spans="1:27" ht="30">
      <c r="A41" s="48" t="s">
        <v>18</v>
      </c>
      <c r="B41" s="30" t="s">
        <v>15</v>
      </c>
      <c r="C41" s="48" t="s">
        <v>16</v>
      </c>
      <c r="D41" s="48" t="s">
        <v>19</v>
      </c>
      <c r="E41" s="48" t="s">
        <v>17</v>
      </c>
      <c r="F41" s="90" t="s">
        <v>45</v>
      </c>
      <c r="G41" s="90" t="s">
        <v>42</v>
      </c>
      <c r="H41" s="90" t="s">
        <v>43</v>
      </c>
      <c r="I41" s="90" t="s">
        <v>44</v>
      </c>
      <c r="J41" s="90" t="s">
        <v>46</v>
      </c>
      <c r="K41" s="90" t="s">
        <v>47</v>
      </c>
      <c r="L41" s="46" t="s">
        <v>79</v>
      </c>
      <c r="M41" s="46" t="s">
        <v>80</v>
      </c>
      <c r="N41" s="46" t="s">
        <v>81</v>
      </c>
      <c r="O41" s="46" t="s">
        <v>82</v>
      </c>
      <c r="P41" s="46" t="s">
        <v>83</v>
      </c>
      <c r="Q41" s="46" t="s">
        <v>84</v>
      </c>
      <c r="R41" s="46" t="s">
        <v>85</v>
      </c>
      <c r="S41" s="46" t="s">
        <v>86</v>
      </c>
      <c r="T41" s="46" t="s">
        <v>48</v>
      </c>
      <c r="U41" s="46" t="s">
        <v>87</v>
      </c>
      <c r="V41" s="46" t="s">
        <v>88</v>
      </c>
      <c r="W41" s="46" t="s">
        <v>89</v>
      </c>
      <c r="X41" s="46" t="s">
        <v>90</v>
      </c>
      <c r="Y41" s="46" t="s">
        <v>91</v>
      </c>
      <c r="Z41" s="46" t="s">
        <v>92</v>
      </c>
      <c r="AA41" s="46" t="s">
        <v>93</v>
      </c>
    </row>
    <row r="42" spans="1:27">
      <c r="A42" s="45">
        <v>0.1</v>
      </c>
      <c r="B42" s="12">
        <f t="shared" ref="B42:B101" si="1">LN(A42)</f>
        <v>-2.3025850929940455</v>
      </c>
      <c r="C42" s="12">
        <f t="shared" ref="C42:C101" si="2">((A42*$C$31+$D$31)*A42+$E$31)*A42+$F$31</f>
        <v>1.0274838025388713</v>
      </c>
      <c r="D42" s="12">
        <f t="shared" ref="D42:D101" si="3">EXP(C42)</f>
        <v>2.794026659648448</v>
      </c>
      <c r="E42" s="12">
        <f t="shared" ref="E42:E101" si="4">$C$36*B42+$D$36</f>
        <v>0.5433827213239778</v>
      </c>
      <c r="F42" s="12">
        <v>0</v>
      </c>
      <c r="G42" s="12">
        <f t="shared" ref="G42:V57" si="5">NORMDIST(LN(G$41),$C42,$E42,TRUE)</f>
        <v>0.41893012968299448</v>
      </c>
      <c r="H42" s="12">
        <f t="shared" si="5"/>
        <v>0.96540451821898321</v>
      </c>
      <c r="I42" s="12">
        <f t="shared" si="5"/>
        <v>0.9970855581268141</v>
      </c>
      <c r="J42" s="12">
        <f t="shared" si="5"/>
        <v>0.99963289208916861</v>
      </c>
      <c r="K42" s="12">
        <f t="shared" si="5"/>
        <v>0.99991343555885193</v>
      </c>
      <c r="L42" s="31">
        <f t="shared" si="5"/>
        <v>0.9999826425733398</v>
      </c>
      <c r="M42" s="31">
        <f t="shared" si="5"/>
        <v>0.99999586728046641</v>
      </c>
      <c r="N42" s="31">
        <f t="shared" si="5"/>
        <v>0.99999887361099793</v>
      </c>
      <c r="O42" s="32">
        <f t="shared" si="5"/>
        <v>0.99999965751706377</v>
      </c>
      <c r="P42" s="31">
        <f t="shared" si="5"/>
        <v>0.99999988600286116</v>
      </c>
      <c r="Q42" s="31">
        <f t="shared" si="5"/>
        <v>0.999999959047989</v>
      </c>
      <c r="R42" s="31">
        <f t="shared" si="5"/>
        <v>0.99999998429637149</v>
      </c>
      <c r="S42" s="31">
        <f t="shared" si="5"/>
        <v>0.9999999936278523</v>
      </c>
      <c r="T42" s="31">
        <f t="shared" si="5"/>
        <v>0.99999999728302469</v>
      </c>
      <c r="U42" s="31">
        <f t="shared" si="5"/>
        <v>0.9999999987896635</v>
      </c>
      <c r="V42" s="31">
        <f t="shared" si="5"/>
        <v>0.99999999943936702</v>
      </c>
      <c r="W42" s="31">
        <f t="shared" ref="W42:Z56" si="6">NORMDIST(LN(W$41),$C42,$E42,TRUE)</f>
        <v>0.99999999973105302</v>
      </c>
      <c r="X42" s="31">
        <f t="shared" si="6"/>
        <v>0.99999999986683286</v>
      </c>
      <c r="Y42" s="31">
        <f t="shared" si="6"/>
        <v>0.99999999993214073</v>
      </c>
      <c r="Z42" s="31">
        <f t="shared" si="6"/>
        <v>0.99999999996450128</v>
      </c>
      <c r="AA42" s="31">
        <v>1</v>
      </c>
    </row>
    <row r="43" spans="1:27">
      <c r="A43" s="45">
        <v>0.2</v>
      </c>
      <c r="B43" s="12">
        <f t="shared" si="1"/>
        <v>-1.6094379124341003</v>
      </c>
      <c r="C43" s="12">
        <f t="shared" si="2"/>
        <v>1.1606988337445596</v>
      </c>
      <c r="D43" s="12">
        <f t="shared" si="3"/>
        <v>3.1921632882455362</v>
      </c>
      <c r="E43" s="12">
        <f t="shared" si="4"/>
        <v>0.4670138017694303</v>
      </c>
      <c r="F43" s="12">
        <v>0</v>
      </c>
      <c r="G43" s="12">
        <f t="shared" si="5"/>
        <v>0.3003680163662148</v>
      </c>
      <c r="H43" s="12">
        <f t="shared" si="5"/>
        <v>0.96630596033742955</v>
      </c>
      <c r="I43" s="12">
        <f t="shared" si="5"/>
        <v>0.99826600303830193</v>
      </c>
      <c r="J43" s="12">
        <f t="shared" si="5"/>
        <v>0.999865451934839</v>
      </c>
      <c r="K43" s="12">
        <f t="shared" si="5"/>
        <v>0.99997788071086124</v>
      </c>
      <c r="L43" s="31">
        <f t="shared" si="5"/>
        <v>0.99999707681043759</v>
      </c>
      <c r="M43" s="31">
        <f t="shared" si="5"/>
        <v>0.9999995256037395</v>
      </c>
      <c r="N43" s="32">
        <f t="shared" si="5"/>
        <v>0.9999999092903088</v>
      </c>
      <c r="O43" s="31">
        <f t="shared" si="5"/>
        <v>0.99999998016689795</v>
      </c>
      <c r="P43" s="31">
        <f t="shared" si="5"/>
        <v>0.99999999515075821</v>
      </c>
      <c r="Q43" s="31">
        <f t="shared" si="5"/>
        <v>0.9999999986965008</v>
      </c>
      <c r="R43" s="31">
        <f t="shared" si="5"/>
        <v>0.99999999961987618</v>
      </c>
      <c r="S43" s="31">
        <f t="shared" si="5"/>
        <v>0.99999999988100907</v>
      </c>
      <c r="T43" s="31">
        <f t="shared" si="5"/>
        <v>0.99999999996035882</v>
      </c>
      <c r="U43" s="31">
        <f t="shared" si="5"/>
        <v>0.99999999998604416</v>
      </c>
      <c r="V43" s="31">
        <f t="shared" si="5"/>
        <v>0.99999999999483846</v>
      </c>
      <c r="W43" s="31">
        <f t="shared" si="6"/>
        <v>0.99999999999800437</v>
      </c>
      <c r="X43" s="31">
        <f t="shared" si="6"/>
        <v>0.99999999999919686</v>
      </c>
      <c r="Y43" s="31">
        <f t="shared" si="6"/>
        <v>0.99999999999966471</v>
      </c>
      <c r="Z43" s="31">
        <f t="shared" si="6"/>
        <v>0.99999999999985534</v>
      </c>
      <c r="AA43" s="31">
        <v>1</v>
      </c>
    </row>
    <row r="44" spans="1:27">
      <c r="A44" s="45">
        <v>0.3</v>
      </c>
      <c r="B44" s="12">
        <f t="shared" si="1"/>
        <v>-1.2039728043259361</v>
      </c>
      <c r="C44" s="12">
        <f t="shared" si="2"/>
        <v>1.286487806553861</v>
      </c>
      <c r="D44" s="12">
        <f t="shared" si="3"/>
        <v>3.6200498865363113</v>
      </c>
      <c r="E44" s="12">
        <f t="shared" si="4"/>
        <v>0.42234084760942942</v>
      </c>
      <c r="F44" s="12">
        <v>0</v>
      </c>
      <c r="G44" s="12">
        <f t="shared" si="5"/>
        <v>0.19036928165253109</v>
      </c>
      <c r="H44" s="12">
        <f t="shared" si="5"/>
        <v>0.95771006852523421</v>
      </c>
      <c r="I44" s="12">
        <f t="shared" si="5"/>
        <v>0.99832806290288389</v>
      </c>
      <c r="J44" s="12">
        <f t="shared" si="5"/>
        <v>0.99990460296456685</v>
      </c>
      <c r="K44" s="12">
        <f t="shared" si="5"/>
        <v>0.99998769305269852</v>
      </c>
      <c r="L44" s="31">
        <f t="shared" si="5"/>
        <v>0.99999878185073698</v>
      </c>
      <c r="M44" s="31">
        <f t="shared" si="5"/>
        <v>0.99999984935566</v>
      </c>
      <c r="N44" s="32">
        <f t="shared" si="5"/>
        <v>0.99999997768385929</v>
      </c>
      <c r="O44" s="31">
        <f t="shared" si="5"/>
        <v>0.99999999616246293</v>
      </c>
      <c r="P44" s="31">
        <f t="shared" si="5"/>
        <v>0.99999999925200678</v>
      </c>
      <c r="Q44" s="31">
        <f t="shared" si="5"/>
        <v>0.99999999983776788</v>
      </c>
      <c r="R44" s="31">
        <f t="shared" si="5"/>
        <v>0.99999999996141287</v>
      </c>
      <c r="S44" s="31">
        <f t="shared" si="5"/>
        <v>0.99999999999005207</v>
      </c>
      <c r="T44" s="31">
        <f t="shared" si="5"/>
        <v>0.99999999999724665</v>
      </c>
      <c r="U44" s="31">
        <f t="shared" si="5"/>
        <v>0.99999999999918832</v>
      </c>
      <c r="V44" s="31">
        <f t="shared" si="5"/>
        <v>0.99999999999974676</v>
      </c>
      <c r="W44" s="31">
        <f t="shared" si="6"/>
        <v>0.99999999999991684</v>
      </c>
      <c r="X44" s="31">
        <f t="shared" si="6"/>
        <v>0.99999999999997147</v>
      </c>
      <c r="Y44" s="31">
        <f t="shared" si="6"/>
        <v>0.99999999999998979</v>
      </c>
      <c r="Z44" s="31">
        <f t="shared" si="6"/>
        <v>0.99999999999999623</v>
      </c>
      <c r="AA44" s="31">
        <v>1</v>
      </c>
    </row>
    <row r="45" spans="1:27">
      <c r="A45" s="45">
        <v>0.4</v>
      </c>
      <c r="B45" s="12">
        <f t="shared" si="1"/>
        <v>-0.916290731874155</v>
      </c>
      <c r="C45" s="12">
        <f t="shared" si="2"/>
        <v>1.4051150852348764</v>
      </c>
      <c r="D45" s="12">
        <f t="shared" si="3"/>
        <v>4.0759958012102091</v>
      </c>
      <c r="E45" s="12">
        <f t="shared" si="4"/>
        <v>0.3906448822148828</v>
      </c>
      <c r="F45" s="12">
        <v>0</v>
      </c>
      <c r="G45" s="12">
        <f t="shared" si="5"/>
        <v>0.10540766240394583</v>
      </c>
      <c r="H45" s="12">
        <f t="shared" si="5"/>
        <v>0.94073548935717111</v>
      </c>
      <c r="I45" s="12">
        <f t="shared" si="5"/>
        <v>0.99793869675731361</v>
      </c>
      <c r="J45" s="12">
        <f t="shared" si="5"/>
        <v>0.99990424103341535</v>
      </c>
      <c r="K45" s="12">
        <f t="shared" si="5"/>
        <v>0.99998963614517189</v>
      </c>
      <c r="L45" s="31">
        <f t="shared" si="5"/>
        <v>0.99999917499087243</v>
      </c>
      <c r="M45" s="31">
        <f t="shared" si="5"/>
        <v>0.99999991733189397</v>
      </c>
      <c r="N45" s="32">
        <f t="shared" si="5"/>
        <v>0.9999999899848383</v>
      </c>
      <c r="O45" s="31">
        <f t="shared" si="5"/>
        <v>0.99999999857817368</v>
      </c>
      <c r="P45" s="31">
        <f t="shared" si="5"/>
        <v>0.99999999976913201</v>
      </c>
      <c r="Q45" s="31">
        <f t="shared" si="5"/>
        <v>0.99999999995793498</v>
      </c>
      <c r="R45" s="31">
        <f t="shared" si="5"/>
        <v>0.99999999999152955</v>
      </c>
      <c r="S45" s="31">
        <f t="shared" si="5"/>
        <v>0.99999999999813816</v>
      </c>
      <c r="T45" s="31">
        <f t="shared" si="5"/>
        <v>0.9999999999995578</v>
      </c>
      <c r="U45" s="31">
        <f t="shared" si="5"/>
        <v>0.99999999999988742</v>
      </c>
      <c r="V45" s="31">
        <f t="shared" si="5"/>
        <v>0.99999999999996947</v>
      </c>
      <c r="W45" s="31">
        <f t="shared" si="6"/>
        <v>0.99999999999999123</v>
      </c>
      <c r="X45" s="31">
        <f t="shared" si="6"/>
        <v>0.99999999999999734</v>
      </c>
      <c r="Y45" s="31">
        <f t="shared" si="6"/>
        <v>0.99999999999999922</v>
      </c>
      <c r="Z45" s="31">
        <f t="shared" si="6"/>
        <v>0.99999999999999978</v>
      </c>
      <c r="AA45" s="31">
        <v>1</v>
      </c>
    </row>
    <row r="46" spans="1:27">
      <c r="A46" s="45">
        <v>0.5</v>
      </c>
      <c r="B46" s="12">
        <f t="shared" si="1"/>
        <v>-0.69314718055994529</v>
      </c>
      <c r="C46" s="12">
        <f t="shared" si="2"/>
        <v>1.5168450340557069</v>
      </c>
      <c r="D46" s="12">
        <f t="shared" si="3"/>
        <v>4.5578227119804211</v>
      </c>
      <c r="E46" s="12">
        <f t="shared" si="4"/>
        <v>0.36605958143408107</v>
      </c>
      <c r="F46" s="12">
        <v>0</v>
      </c>
      <c r="G46" s="12">
        <f t="shared" si="5"/>
        <v>5.0441102037830809E-2</v>
      </c>
      <c r="H46" s="12">
        <f t="shared" si="5"/>
        <v>0.9131787767350743</v>
      </c>
      <c r="I46" s="12">
        <f t="shared" si="5"/>
        <v>0.99707492196785252</v>
      </c>
      <c r="J46" s="12">
        <f t="shared" si="5"/>
        <v>0.99988118580354535</v>
      </c>
      <c r="K46" s="12">
        <f t="shared" si="5"/>
        <v>0.99998870306045062</v>
      </c>
      <c r="L46" s="31">
        <f t="shared" si="5"/>
        <v>0.99999924072581847</v>
      </c>
      <c r="M46" s="31">
        <f t="shared" si="5"/>
        <v>0.99999993574227719</v>
      </c>
      <c r="N46" s="32">
        <f t="shared" si="5"/>
        <v>0.99999999339829604</v>
      </c>
      <c r="O46" s="31">
        <f t="shared" si="5"/>
        <v>0.99999999920085658</v>
      </c>
      <c r="P46" s="31">
        <f t="shared" si="5"/>
        <v>0.9999999998887068</v>
      </c>
      <c r="Q46" s="31">
        <f t="shared" si="5"/>
        <v>0.9999999999825061</v>
      </c>
      <c r="R46" s="31">
        <f t="shared" si="5"/>
        <v>0.99999999999694389</v>
      </c>
      <c r="S46" s="31">
        <f t="shared" si="5"/>
        <v>0.99999999999941414</v>
      </c>
      <c r="T46" s="31">
        <f t="shared" si="5"/>
        <v>0.99999999999987799</v>
      </c>
      <c r="U46" s="31">
        <f t="shared" si="5"/>
        <v>0.99999999999997269</v>
      </c>
      <c r="V46" s="31">
        <f t="shared" si="5"/>
        <v>0.99999999999999345</v>
      </c>
      <c r="W46" s="31">
        <f t="shared" si="6"/>
        <v>0.99999999999999833</v>
      </c>
      <c r="X46" s="31">
        <f t="shared" si="6"/>
        <v>0.99999999999999956</v>
      </c>
      <c r="Y46" s="31">
        <f t="shared" si="6"/>
        <v>0.99999999999999989</v>
      </c>
      <c r="Z46" s="31">
        <f t="shared" si="6"/>
        <v>1</v>
      </c>
      <c r="AA46" s="31">
        <v>1</v>
      </c>
    </row>
    <row r="47" spans="1:27">
      <c r="A47" s="45">
        <v>0.6</v>
      </c>
      <c r="B47" s="12">
        <f t="shared" si="1"/>
        <v>-0.51082562376599072</v>
      </c>
      <c r="C47" s="12">
        <f t="shared" si="2"/>
        <v>1.6219420172844536</v>
      </c>
      <c r="D47" s="12">
        <f t="shared" si="3"/>
        <v>5.0629130401608986</v>
      </c>
      <c r="E47" s="12">
        <f t="shared" si="4"/>
        <v>0.34597192805488186</v>
      </c>
      <c r="F47" s="12">
        <v>0</v>
      </c>
      <c r="G47" s="12">
        <f t="shared" si="5"/>
        <v>2.0694091137055226E-2</v>
      </c>
      <c r="H47" s="12">
        <f t="shared" si="5"/>
        <v>0.8719835441558641</v>
      </c>
      <c r="I47" s="12">
        <f t="shared" si="5"/>
        <v>0.99550339332284465</v>
      </c>
      <c r="J47" s="12">
        <f t="shared" si="5"/>
        <v>0.99983136661393313</v>
      </c>
      <c r="K47" s="12">
        <f t="shared" si="5"/>
        <v>0.99998541495649174</v>
      </c>
      <c r="L47" s="31">
        <f t="shared" si="5"/>
        <v>0.99999914169863913</v>
      </c>
      <c r="M47" s="31">
        <f t="shared" si="5"/>
        <v>0.99999993673336318</v>
      </c>
      <c r="N47" s="32">
        <f t="shared" si="5"/>
        <v>0.99999999433875764</v>
      </c>
      <c r="O47" s="31">
        <f t="shared" si="5"/>
        <v>0.99999999940170403</v>
      </c>
      <c r="P47" s="31">
        <f t="shared" si="5"/>
        <v>0.99999999992700561</v>
      </c>
      <c r="Q47" s="31">
        <f t="shared" si="5"/>
        <v>0.99999999998990929</v>
      </c>
      <c r="R47" s="31">
        <f t="shared" si="5"/>
        <v>0.99999999999844347</v>
      </c>
      <c r="S47" s="31">
        <f t="shared" si="5"/>
        <v>0.99999999999973543</v>
      </c>
      <c r="T47" s="31">
        <f t="shared" si="5"/>
        <v>0.99999999999995104</v>
      </c>
      <c r="U47" s="31">
        <f t="shared" si="5"/>
        <v>0.99999999999999023</v>
      </c>
      <c r="V47" s="31">
        <f t="shared" si="5"/>
        <v>0.99999999999999789</v>
      </c>
      <c r="W47" s="31">
        <f t="shared" si="6"/>
        <v>0.99999999999999956</v>
      </c>
      <c r="X47" s="31">
        <f t="shared" si="6"/>
        <v>0.99999999999999989</v>
      </c>
      <c r="Y47" s="31">
        <f t="shared" si="6"/>
        <v>1</v>
      </c>
      <c r="Z47" s="31">
        <f t="shared" si="6"/>
        <v>1</v>
      </c>
      <c r="AA47" s="31">
        <v>1</v>
      </c>
    </row>
    <row r="48" spans="1:27">
      <c r="A48" s="45">
        <v>0.7</v>
      </c>
      <c r="B48" s="12">
        <f t="shared" si="1"/>
        <v>-0.35667494393873245</v>
      </c>
      <c r="C48" s="12">
        <f t="shared" si="2"/>
        <v>1.7206703991892178</v>
      </c>
      <c r="D48" s="12">
        <f t="shared" si="3"/>
        <v>5.5882735828526311</v>
      </c>
      <c r="E48" s="12">
        <f t="shared" si="4"/>
        <v>0.32898805912029766</v>
      </c>
      <c r="F48" s="12">
        <v>0</v>
      </c>
      <c r="G48" s="12">
        <f t="shared" si="5"/>
        <v>7.2423713155391756E-3</v>
      </c>
      <c r="H48" s="12">
        <f t="shared" si="5"/>
        <v>0.81443442048726855</v>
      </c>
      <c r="I48" s="12">
        <f t="shared" si="5"/>
        <v>0.99279894394806611</v>
      </c>
      <c r="J48" s="12">
        <f t="shared" si="5"/>
        <v>0.99973959971094273</v>
      </c>
      <c r="K48" s="12">
        <f t="shared" si="5"/>
        <v>0.99997894038821444</v>
      </c>
      <c r="L48" s="31">
        <f t="shared" si="5"/>
        <v>0.99999888344972887</v>
      </c>
      <c r="M48" s="31">
        <f t="shared" si="5"/>
        <v>0.99999992657819792</v>
      </c>
      <c r="N48" s="31">
        <f t="shared" si="5"/>
        <v>0.99999999415839913</v>
      </c>
      <c r="O48" s="32">
        <f t="shared" si="5"/>
        <v>0.99999999945115514</v>
      </c>
      <c r="P48" s="31">
        <f t="shared" si="5"/>
        <v>0.99999999994038136</v>
      </c>
      <c r="Q48" s="31">
        <f t="shared" si="5"/>
        <v>0.99999999999264511</v>
      </c>
      <c r="R48" s="31">
        <f t="shared" si="5"/>
        <v>0.99999999999898481</v>
      </c>
      <c r="S48" s="31">
        <f t="shared" si="5"/>
        <v>0.99999999999984512</v>
      </c>
      <c r="T48" s="31">
        <f t="shared" si="5"/>
        <v>0.99999999999997413</v>
      </c>
      <c r="U48" s="31">
        <f t="shared" si="5"/>
        <v>0.99999999999999534</v>
      </c>
      <c r="V48" s="31">
        <f t="shared" si="5"/>
        <v>0.99999999999999911</v>
      </c>
      <c r="W48" s="31">
        <f t="shared" si="6"/>
        <v>0.99999999999999978</v>
      </c>
      <c r="X48" s="31">
        <f t="shared" si="6"/>
        <v>1</v>
      </c>
      <c r="Y48" s="31">
        <f t="shared" si="6"/>
        <v>1</v>
      </c>
      <c r="Z48" s="31">
        <f t="shared" si="6"/>
        <v>1</v>
      </c>
      <c r="AA48" s="31">
        <v>1</v>
      </c>
    </row>
    <row r="49" spans="1:27">
      <c r="A49" s="45">
        <v>0.8</v>
      </c>
      <c r="B49" s="12">
        <f t="shared" si="1"/>
        <v>-0.22314355131420971</v>
      </c>
      <c r="C49" s="12">
        <f t="shared" si="2"/>
        <v>1.8132945440381003</v>
      </c>
      <c r="D49" s="12">
        <f t="shared" si="3"/>
        <v>6.130611768296502</v>
      </c>
      <c r="E49" s="12">
        <f t="shared" si="4"/>
        <v>0.31427596266033531</v>
      </c>
      <c r="F49" s="12">
        <v>0</v>
      </c>
      <c r="G49" s="12">
        <f t="shared" si="5"/>
        <v>2.1573250486309759E-3</v>
      </c>
      <c r="H49" s="12">
        <f t="shared" si="5"/>
        <v>0.73940152088724953</v>
      </c>
      <c r="I49" s="12">
        <f t="shared" si="5"/>
        <v>0.98830201907626114</v>
      </c>
      <c r="J49" s="12">
        <f t="shared" si="5"/>
        <v>0.99957737129227575</v>
      </c>
      <c r="K49" s="12">
        <f t="shared" si="5"/>
        <v>0.9999673149275865</v>
      </c>
      <c r="L49" s="31">
        <f t="shared" si="5"/>
        <v>0.99999840235300175</v>
      </c>
      <c r="M49" s="31">
        <f t="shared" si="5"/>
        <v>0.99999990446451648</v>
      </c>
      <c r="N49" s="31">
        <f t="shared" si="5"/>
        <v>0.99999999312993271</v>
      </c>
      <c r="O49" s="32">
        <f t="shared" si="5"/>
        <v>0.99999999941788631</v>
      </c>
      <c r="P49" s="31">
        <f t="shared" si="5"/>
        <v>0.99999999994298183</v>
      </c>
      <c r="Q49" s="31">
        <f t="shared" si="5"/>
        <v>0.99999999999365075</v>
      </c>
      <c r="R49" s="31">
        <f t="shared" si="5"/>
        <v>0.99999999999920763</v>
      </c>
      <c r="S49" s="31">
        <f t="shared" si="5"/>
        <v>0.99999999999989053</v>
      </c>
      <c r="T49" s="31">
        <f t="shared" si="5"/>
        <v>0.99999999999998346</v>
      </c>
      <c r="U49" s="31">
        <f t="shared" si="5"/>
        <v>0.99999999999999722</v>
      </c>
      <c r="V49" s="31">
        <f t="shared" si="5"/>
        <v>0.99999999999999956</v>
      </c>
      <c r="W49" s="31">
        <f t="shared" si="6"/>
        <v>0.99999999999999989</v>
      </c>
      <c r="X49" s="31">
        <f t="shared" si="6"/>
        <v>1</v>
      </c>
      <c r="Y49" s="31">
        <f t="shared" si="6"/>
        <v>1</v>
      </c>
      <c r="Z49" s="31">
        <f t="shared" si="6"/>
        <v>1</v>
      </c>
      <c r="AA49" s="31">
        <v>1</v>
      </c>
    </row>
    <row r="50" spans="1:27">
      <c r="A50" s="45">
        <v>0.9</v>
      </c>
      <c r="B50" s="12">
        <f t="shared" si="1"/>
        <v>-0.10536051565782628</v>
      </c>
      <c r="C50" s="12">
        <f t="shared" si="2"/>
        <v>1.9000788160992028</v>
      </c>
      <c r="D50" s="12">
        <f t="shared" si="3"/>
        <v>6.6864214191657503</v>
      </c>
      <c r="E50" s="12">
        <f t="shared" si="4"/>
        <v>0.30129897389488097</v>
      </c>
      <c r="F50" s="12">
        <v>0</v>
      </c>
      <c r="G50" s="12">
        <f t="shared" si="5"/>
        <v>5.4701945973922861E-4</v>
      </c>
      <c r="H50" s="12">
        <f t="shared" si="5"/>
        <v>0.64843444873692113</v>
      </c>
      <c r="I50" s="12">
        <f t="shared" si="5"/>
        <v>0.9810765191068328</v>
      </c>
      <c r="J50" s="12">
        <f t="shared" si="5"/>
        <v>0.99929658738887905</v>
      </c>
      <c r="K50" s="12">
        <f t="shared" si="5"/>
        <v>0.99994700689266913</v>
      </c>
      <c r="L50" s="31">
        <f t="shared" si="5"/>
        <v>0.99999756637934589</v>
      </c>
      <c r="M50" s="31">
        <f t="shared" si="5"/>
        <v>0.99999986558894283</v>
      </c>
      <c r="N50" s="31">
        <f t="shared" si="5"/>
        <v>0.99999999114770977</v>
      </c>
      <c r="O50" s="32">
        <f t="shared" si="5"/>
        <v>0.99999999931577122</v>
      </c>
      <c r="P50" s="31">
        <f t="shared" si="5"/>
        <v>0.99999999993895372</v>
      </c>
      <c r="Q50" s="31">
        <f t="shared" si="5"/>
        <v>0.99999999999380851</v>
      </c>
      <c r="R50" s="31">
        <f t="shared" si="5"/>
        <v>0.99999999999929567</v>
      </c>
      <c r="S50" s="31">
        <f t="shared" si="5"/>
        <v>0.99999999999991118</v>
      </c>
      <c r="T50" s="31">
        <f t="shared" si="5"/>
        <v>0.99999999999998768</v>
      </c>
      <c r="U50" s="31">
        <f t="shared" si="5"/>
        <v>0.99999999999999811</v>
      </c>
      <c r="V50" s="31">
        <f t="shared" si="5"/>
        <v>0.99999999999999967</v>
      </c>
      <c r="W50" s="31">
        <f t="shared" si="6"/>
        <v>1</v>
      </c>
      <c r="X50" s="31">
        <f t="shared" si="6"/>
        <v>1</v>
      </c>
      <c r="Y50" s="31">
        <f t="shared" si="6"/>
        <v>1</v>
      </c>
      <c r="Z50" s="31">
        <f t="shared" si="6"/>
        <v>1</v>
      </c>
      <c r="AA50" s="31">
        <v>1</v>
      </c>
    </row>
    <row r="51" spans="1:27">
      <c r="A51" s="45">
        <v>1</v>
      </c>
      <c r="B51" s="12">
        <f t="shared" si="1"/>
        <v>0</v>
      </c>
      <c r="C51" s="12">
        <f t="shared" si="2"/>
        <v>1.9812875796406257</v>
      </c>
      <c r="D51" s="12">
        <f t="shared" si="3"/>
        <v>7.252074599880344</v>
      </c>
      <c r="E51" s="12">
        <f t="shared" si="4"/>
        <v>0.28969066187953357</v>
      </c>
      <c r="F51" s="12">
        <v>0</v>
      </c>
      <c r="G51" s="12">
        <f t="shared" si="5"/>
        <v>1.1830930042155963E-4</v>
      </c>
      <c r="H51" s="12">
        <f t="shared" si="5"/>
        <v>0.54618921931006126</v>
      </c>
      <c r="I51" s="12">
        <f t="shared" si="5"/>
        <v>0.96990421222340595</v>
      </c>
      <c r="J51" s="12">
        <f t="shared" si="5"/>
        <v>0.99882054413671939</v>
      </c>
      <c r="K51" s="12">
        <f t="shared" si="5"/>
        <v>0.99991209903314826</v>
      </c>
      <c r="L51" s="31">
        <f t="shared" si="5"/>
        <v>0.9999961479196251</v>
      </c>
      <c r="M51" s="31">
        <f t="shared" si="5"/>
        <v>0.99999980097779162</v>
      </c>
      <c r="N51" s="31">
        <f t="shared" si="5"/>
        <v>0.99999998786639355</v>
      </c>
      <c r="O51" s="32">
        <f t="shared" si="5"/>
        <v>0.99999999913657756</v>
      </c>
      <c r="P51" s="31">
        <f t="shared" si="5"/>
        <v>0.99999999992926736</v>
      </c>
      <c r="Q51" s="31">
        <f t="shared" si="5"/>
        <v>0.99999999999341938</v>
      </c>
      <c r="R51" s="31">
        <f t="shared" si="5"/>
        <v>0.99999999999931333</v>
      </c>
      <c r="S51" s="31">
        <f t="shared" si="5"/>
        <v>0.99999999999992051</v>
      </c>
      <c r="T51" s="31">
        <f t="shared" si="5"/>
        <v>0.9999999999999899</v>
      </c>
      <c r="U51" s="31">
        <f t="shared" si="5"/>
        <v>0.99999999999999856</v>
      </c>
      <c r="V51" s="31">
        <f t="shared" si="5"/>
        <v>0.99999999999999978</v>
      </c>
      <c r="W51" s="31">
        <f t="shared" si="6"/>
        <v>1</v>
      </c>
      <c r="X51" s="31">
        <f t="shared" si="6"/>
        <v>1</v>
      </c>
      <c r="Y51" s="31">
        <f t="shared" si="6"/>
        <v>1</v>
      </c>
      <c r="Z51" s="31">
        <f t="shared" si="6"/>
        <v>1</v>
      </c>
      <c r="AA51" s="31">
        <v>1</v>
      </c>
    </row>
    <row r="52" spans="1:27">
      <c r="A52" s="45">
        <v>1.1000000000000001</v>
      </c>
      <c r="B52" s="12">
        <f t="shared" si="1"/>
        <v>9.5310179804324935E-2</v>
      </c>
      <c r="C52" s="12">
        <f t="shared" si="2"/>
        <v>2.0571851989304708</v>
      </c>
      <c r="D52" s="12">
        <f t="shared" si="3"/>
        <v>7.823916019183514</v>
      </c>
      <c r="E52" s="12">
        <f t="shared" si="4"/>
        <v>0.279189666335808</v>
      </c>
      <c r="F52" s="12">
        <v>0</v>
      </c>
      <c r="G52" s="12">
        <f t="shared" si="5"/>
        <v>2.1901240414234913E-5</v>
      </c>
      <c r="H52" s="12">
        <f t="shared" si="5"/>
        <v>0.4398119240658418</v>
      </c>
      <c r="I52" s="12">
        <f t="shared" si="5"/>
        <v>0.95334853695061539</v>
      </c>
      <c r="J52" s="12">
        <f t="shared" si="5"/>
        <v>0.99803296676240216</v>
      </c>
      <c r="K52" s="12">
        <f t="shared" si="5"/>
        <v>0.99985310809912564</v>
      </c>
      <c r="L52" s="31">
        <f t="shared" si="5"/>
        <v>0.99999377754588381</v>
      </c>
      <c r="M52" s="31">
        <f t="shared" si="5"/>
        <v>0.99999969611513362</v>
      </c>
      <c r="N52" s="31">
        <f t="shared" si="5"/>
        <v>0.99999998270111645</v>
      </c>
      <c r="O52" s="31">
        <f t="shared" si="5"/>
        <v>0.9999999988583621</v>
      </c>
      <c r="P52" s="32">
        <f t="shared" si="5"/>
        <v>0.99999999991357835</v>
      </c>
      <c r="Q52" s="31">
        <f t="shared" si="5"/>
        <v>0.99999999999258327</v>
      </c>
      <c r="R52" s="31">
        <f t="shared" si="5"/>
        <v>0.99999999999928646</v>
      </c>
      <c r="S52" s="31">
        <f t="shared" si="5"/>
        <v>0.99999999999992384</v>
      </c>
      <c r="T52" s="31">
        <f t="shared" si="5"/>
        <v>0.99999999999999112</v>
      </c>
      <c r="U52" s="31">
        <f t="shared" si="5"/>
        <v>0.99999999999999889</v>
      </c>
      <c r="V52" s="31">
        <f t="shared" si="5"/>
        <v>0.99999999999999989</v>
      </c>
      <c r="W52" s="31">
        <f t="shared" si="6"/>
        <v>1</v>
      </c>
      <c r="X52" s="31">
        <f t="shared" si="6"/>
        <v>1</v>
      </c>
      <c r="Y52" s="31">
        <f t="shared" si="6"/>
        <v>1</v>
      </c>
      <c r="Z52" s="31">
        <f t="shared" si="6"/>
        <v>1</v>
      </c>
      <c r="AA52" s="31">
        <v>1</v>
      </c>
    </row>
    <row r="53" spans="1:27">
      <c r="A53" s="45">
        <v>1.2</v>
      </c>
      <c r="B53" s="12">
        <f t="shared" si="1"/>
        <v>0.18232155679395459</v>
      </c>
      <c r="C53" s="12">
        <f t="shared" si="2"/>
        <v>2.1280360382368384</v>
      </c>
      <c r="D53" s="12">
        <f t="shared" si="3"/>
        <v>8.3983565528455255</v>
      </c>
      <c r="E53" s="12">
        <f t="shared" si="4"/>
        <v>0.26960300850033436</v>
      </c>
      <c r="F53" s="12">
        <v>0</v>
      </c>
      <c r="G53" s="12">
        <f t="shared" si="5"/>
        <v>3.4857939457122455E-6</v>
      </c>
      <c r="H53" s="12">
        <f t="shared" si="5"/>
        <v>0.33737855224226421</v>
      </c>
      <c r="I53" s="12">
        <f t="shared" si="5"/>
        <v>0.92990777210497455</v>
      </c>
      <c r="J53" s="12">
        <f t="shared" si="5"/>
        <v>0.99676669881727897</v>
      </c>
      <c r="K53" s="12">
        <f t="shared" si="5"/>
        <v>0.99975546337630306</v>
      </c>
      <c r="L53" s="31">
        <f t="shared" si="5"/>
        <v>0.99998987992705435</v>
      </c>
      <c r="M53" s="31">
        <f t="shared" si="5"/>
        <v>0.99999952886315269</v>
      </c>
      <c r="N53" s="31">
        <f t="shared" si="5"/>
        <v>0.99999997478346414</v>
      </c>
      <c r="O53" s="31">
        <f t="shared" si="5"/>
        <v>0.99999999844763532</v>
      </c>
      <c r="P53" s="32">
        <f t="shared" si="5"/>
        <v>0.99999999989087185</v>
      </c>
      <c r="Q53" s="31">
        <f t="shared" si="5"/>
        <v>0.99999999999132394</v>
      </c>
      <c r="R53" s="31">
        <f t="shared" si="5"/>
        <v>0.99999999999922762</v>
      </c>
      <c r="S53" s="31">
        <f t="shared" si="5"/>
        <v>0.99999999999992373</v>
      </c>
      <c r="T53" s="31">
        <f t="shared" si="5"/>
        <v>0.99999999999999167</v>
      </c>
      <c r="U53" s="31">
        <f t="shared" si="5"/>
        <v>0.999999999999999</v>
      </c>
      <c r="V53" s="31">
        <f t="shared" si="5"/>
        <v>0.99999999999999989</v>
      </c>
      <c r="W53" s="31">
        <f t="shared" si="6"/>
        <v>1</v>
      </c>
      <c r="X53" s="31">
        <f t="shared" si="6"/>
        <v>1</v>
      </c>
      <c r="Y53" s="31">
        <f t="shared" si="6"/>
        <v>1</v>
      </c>
      <c r="Z53" s="31">
        <f t="shared" si="6"/>
        <v>1</v>
      </c>
      <c r="AA53" s="31">
        <v>1</v>
      </c>
    </row>
    <row r="54" spans="1:27">
      <c r="A54" s="45">
        <v>1.3</v>
      </c>
      <c r="B54" s="12">
        <f t="shared" si="1"/>
        <v>0.26236426446749106</v>
      </c>
      <c r="C54" s="12">
        <f t="shared" si="2"/>
        <v>2.1941044618278305</v>
      </c>
      <c r="D54" s="12">
        <f t="shared" si="3"/>
        <v>8.9719627229415018</v>
      </c>
      <c r="E54" s="12">
        <f t="shared" si="4"/>
        <v>0.26078413817280827</v>
      </c>
      <c r="F54" s="12">
        <v>0</v>
      </c>
      <c r="G54" s="12">
        <f t="shared" si="5"/>
        <v>4.7945039272079271E-7</v>
      </c>
      <c r="H54" s="12">
        <f t="shared" si="5"/>
        <v>0.24598973024009629</v>
      </c>
      <c r="I54" s="12">
        <f t="shared" si="5"/>
        <v>0.89824990799061066</v>
      </c>
      <c r="J54" s="12">
        <f t="shared" si="5"/>
        <v>0.99479456410839884</v>
      </c>
      <c r="K54" s="12">
        <f t="shared" si="5"/>
        <v>0.99959773745744018</v>
      </c>
      <c r="L54" s="31">
        <f t="shared" si="5"/>
        <v>0.99998359379315549</v>
      </c>
      <c r="M54" s="31">
        <f t="shared" si="5"/>
        <v>0.9999992669271045</v>
      </c>
      <c r="N54" s="31">
        <f t="shared" si="5"/>
        <v>0.99999996290682758</v>
      </c>
      <c r="O54" s="31">
        <f t="shared" si="5"/>
        <v>0.99999999786029192</v>
      </c>
      <c r="P54" s="32">
        <f t="shared" si="5"/>
        <v>0.99999999985978905</v>
      </c>
      <c r="Q54" s="31">
        <f t="shared" si="5"/>
        <v>0.99999999998963995</v>
      </c>
      <c r="R54" s="31">
        <f t="shared" si="5"/>
        <v>0.99999999999914424</v>
      </c>
      <c r="S54" s="31">
        <f t="shared" si="5"/>
        <v>0.99999999999992162</v>
      </c>
      <c r="T54" s="31">
        <f t="shared" si="5"/>
        <v>0.99999999999999212</v>
      </c>
      <c r="U54" s="31">
        <f t="shared" si="5"/>
        <v>0.99999999999999911</v>
      </c>
      <c r="V54" s="31">
        <f t="shared" si="5"/>
        <v>0.99999999999999989</v>
      </c>
      <c r="W54" s="31">
        <f t="shared" si="6"/>
        <v>1</v>
      </c>
      <c r="X54" s="31">
        <f t="shared" si="6"/>
        <v>1</v>
      </c>
      <c r="Y54" s="31">
        <f t="shared" si="6"/>
        <v>1</v>
      </c>
      <c r="Z54" s="31">
        <f t="shared" si="6"/>
        <v>1</v>
      </c>
      <c r="AA54" s="31">
        <v>1</v>
      </c>
    </row>
    <row r="55" spans="1:27">
      <c r="A55" s="45">
        <v>1.4</v>
      </c>
      <c r="B55" s="12">
        <f t="shared" si="1"/>
        <v>0.33647223662121289</v>
      </c>
      <c r="C55" s="12">
        <f t="shared" si="2"/>
        <v>2.2556548339715476</v>
      </c>
      <c r="D55" s="12">
        <f t="shared" si="3"/>
        <v>9.5415393889840239</v>
      </c>
      <c r="E55" s="12">
        <f t="shared" si="4"/>
        <v>0.25261913956575016</v>
      </c>
      <c r="F55" s="12">
        <v>0</v>
      </c>
      <c r="G55" s="12">
        <f t="shared" si="5"/>
        <v>5.729846999385187E-8</v>
      </c>
      <c r="H55" s="12">
        <f t="shared" si="5"/>
        <v>0.17028924563353609</v>
      </c>
      <c r="I55" s="12">
        <f t="shared" si="5"/>
        <v>0.85748652437327566</v>
      </c>
      <c r="J55" s="12">
        <f t="shared" si="5"/>
        <v>0.99182549437128631</v>
      </c>
      <c r="K55" s="12">
        <f t="shared" si="5"/>
        <v>0.99934982120782445</v>
      </c>
      <c r="L55" s="31">
        <f t="shared" si="5"/>
        <v>0.9999736812751514</v>
      </c>
      <c r="M55" s="31">
        <f t="shared" si="5"/>
        <v>0.99999886517089331</v>
      </c>
      <c r="N55" s="31">
        <f t="shared" si="5"/>
        <v>0.99999994548399085</v>
      </c>
      <c r="O55" s="31">
        <f t="shared" si="5"/>
        <v>0.99999999704331333</v>
      </c>
      <c r="P55" s="32">
        <f t="shared" si="5"/>
        <v>0.99999999981890353</v>
      </c>
      <c r="Q55" s="31">
        <f t="shared" si="5"/>
        <v>0.99999999998753597</v>
      </c>
      <c r="R55" s="31">
        <f t="shared" si="5"/>
        <v>0.99999999999904277</v>
      </c>
      <c r="S55" s="31">
        <f t="shared" si="5"/>
        <v>0.99999999999991862</v>
      </c>
      <c r="T55" s="31">
        <f t="shared" si="5"/>
        <v>0.99999999999999234</v>
      </c>
      <c r="U55" s="31">
        <f t="shared" si="5"/>
        <v>0.99999999999999922</v>
      </c>
      <c r="V55" s="31">
        <f t="shared" si="5"/>
        <v>0.99999999999999989</v>
      </c>
      <c r="W55" s="31">
        <f t="shared" si="6"/>
        <v>1</v>
      </c>
      <c r="X55" s="31">
        <f t="shared" si="6"/>
        <v>1</v>
      </c>
      <c r="Y55" s="31">
        <f t="shared" si="6"/>
        <v>1</v>
      </c>
      <c r="Z55" s="31">
        <f t="shared" si="6"/>
        <v>1</v>
      </c>
      <c r="AA55" s="31">
        <v>1</v>
      </c>
    </row>
    <row r="56" spans="1:27">
      <c r="A56" s="45">
        <v>1.5</v>
      </c>
      <c r="B56" s="12">
        <f t="shared" si="1"/>
        <v>0.40546510810816438</v>
      </c>
      <c r="C56" s="12">
        <f t="shared" si="2"/>
        <v>2.3129515189360914</v>
      </c>
      <c r="D56" s="12">
        <f t="shared" si="3"/>
        <v>10.104203434851316</v>
      </c>
      <c r="E56" s="12">
        <f t="shared" si="4"/>
        <v>0.24501770771953266</v>
      </c>
      <c r="F56" s="12">
        <v>0</v>
      </c>
      <c r="G56" s="12">
        <f t="shared" si="5"/>
        <v>5.9817934656256169E-9</v>
      </c>
      <c r="H56" s="12">
        <f t="shared" si="5"/>
        <v>0.11190933130567327</v>
      </c>
      <c r="I56" s="12">
        <f t="shared" si="5"/>
        <v>0.80741648812378297</v>
      </c>
      <c r="J56" s="12">
        <f t="shared" si="5"/>
        <v>0.98750871417097708</v>
      </c>
      <c r="K56" s="12">
        <f t="shared" si="5"/>
        <v>0.99897131728542266</v>
      </c>
      <c r="L56" s="31">
        <f t="shared" si="5"/>
        <v>0.99995843594720779</v>
      </c>
      <c r="M56" s="31">
        <f t="shared" si="5"/>
        <v>0.99999826324003593</v>
      </c>
      <c r="N56" s="31">
        <f t="shared" si="5"/>
        <v>0.99999992053850306</v>
      </c>
      <c r="O56" s="31">
        <f t="shared" si="5"/>
        <v>0.99999999593827982</v>
      </c>
      <c r="P56" s="31">
        <f t="shared" si="5"/>
        <v>0.99999999976702825</v>
      </c>
      <c r="Q56" s="32">
        <f t="shared" si="5"/>
        <v>0.99999999998504263</v>
      </c>
      <c r="R56" s="31">
        <f t="shared" si="5"/>
        <v>0.99999999999893097</v>
      </c>
      <c r="S56" s="31">
        <f t="shared" si="5"/>
        <v>0.99999999999991551</v>
      </c>
      <c r="T56" s="31">
        <f t="shared" si="5"/>
        <v>0.99999999999999267</v>
      </c>
      <c r="U56" s="31">
        <f t="shared" si="5"/>
        <v>0.99999999999999933</v>
      </c>
      <c r="V56" s="31">
        <f t="shared" si="5"/>
        <v>0.99999999999999989</v>
      </c>
      <c r="W56" s="31">
        <f t="shared" si="6"/>
        <v>1</v>
      </c>
      <c r="X56" s="31">
        <f t="shared" si="6"/>
        <v>1</v>
      </c>
      <c r="Y56" s="31">
        <f t="shared" si="6"/>
        <v>1</v>
      </c>
      <c r="Z56" s="31">
        <f t="shared" si="6"/>
        <v>1</v>
      </c>
      <c r="AA56" s="31">
        <v>1</v>
      </c>
    </row>
    <row r="57" spans="1:27">
      <c r="A57" s="45">
        <v>1.6</v>
      </c>
      <c r="B57" s="12">
        <f t="shared" si="1"/>
        <v>0.47000362924573563</v>
      </c>
      <c r="C57" s="12">
        <f t="shared" si="2"/>
        <v>2.3662588809895628</v>
      </c>
      <c r="D57" s="12">
        <f t="shared" si="3"/>
        <v>10.65744683340697</v>
      </c>
      <c r="E57" s="12">
        <f t="shared" si="4"/>
        <v>0.23790704310578775</v>
      </c>
      <c r="F57" s="12">
        <v>0</v>
      </c>
      <c r="G57" s="12">
        <f t="shared" si="5"/>
        <v>5.4827064755600008E-10</v>
      </c>
      <c r="H57" s="12">
        <f t="shared" si="5"/>
        <v>6.9856322677889882E-2</v>
      </c>
      <c r="I57" s="12">
        <f t="shared" si="5"/>
        <v>0.74866761700418116</v>
      </c>
      <c r="J57" s="12">
        <f t="shared" si="5"/>
        <v>0.98144737445851515</v>
      </c>
      <c r="K57" s="12">
        <f t="shared" si="5"/>
        <v>0.99841044448735516</v>
      </c>
      <c r="L57" s="31">
        <f t="shared" si="5"/>
        <v>0.99993560130880077</v>
      </c>
      <c r="M57" s="31">
        <f t="shared" si="5"/>
        <v>0.99999738397078008</v>
      </c>
      <c r="N57" s="31">
        <f t="shared" si="5"/>
        <v>0.9999998857476512</v>
      </c>
      <c r="O57" s="31">
        <f t="shared" si="5"/>
        <v>0.99999999448704391</v>
      </c>
      <c r="P57" s="31">
        <f t="shared" si="5"/>
        <v>0.99999999970355025</v>
      </c>
      <c r="Q57" s="32">
        <f t="shared" si="5"/>
        <v>0.99999999998223221</v>
      </c>
      <c r="R57" s="31">
        <f t="shared" si="5"/>
        <v>0.9999999999988175</v>
      </c>
      <c r="S57" s="31">
        <f t="shared" si="5"/>
        <v>0.99999999999991307</v>
      </c>
      <c r="T57" s="31">
        <f t="shared" si="5"/>
        <v>0.99999999999999301</v>
      </c>
      <c r="U57" s="31">
        <f t="shared" si="5"/>
        <v>0.99999999999999933</v>
      </c>
      <c r="V57" s="31">
        <f t="shared" ref="V57:Z57" si="7">NORMDIST(LN(V$41),$C57,$E57,TRUE)</f>
        <v>0.99999999999999989</v>
      </c>
      <c r="W57" s="31">
        <f t="shared" si="7"/>
        <v>1</v>
      </c>
      <c r="X57" s="31">
        <f t="shared" si="7"/>
        <v>1</v>
      </c>
      <c r="Y57" s="31">
        <f t="shared" si="7"/>
        <v>1</v>
      </c>
      <c r="Z57" s="31">
        <f t="shared" si="7"/>
        <v>1</v>
      </c>
      <c r="AA57" s="31">
        <v>1</v>
      </c>
    </row>
    <row r="58" spans="1:27">
      <c r="A58" s="45">
        <v>1.7</v>
      </c>
      <c r="B58" s="12">
        <f t="shared" si="1"/>
        <v>0.53062825106217038</v>
      </c>
      <c r="C58" s="12">
        <f t="shared" si="2"/>
        <v>2.4158412844000621</v>
      </c>
      <c r="D58" s="12">
        <f t="shared" si="3"/>
        <v>11.199188097738284</v>
      </c>
      <c r="E58" s="12">
        <f t="shared" si="4"/>
        <v>0.23122760041832846</v>
      </c>
      <c r="F58" s="12">
        <v>0</v>
      </c>
      <c r="G58" s="12">
        <f t="shared" ref="G58:Z70" si="8">NORMDIST(LN(G$41),$C58,$E58,TRUE)</f>
        <v>4.4315571325015978E-11</v>
      </c>
      <c r="H58" s="12">
        <f t="shared" si="8"/>
        <v>4.146303012665431E-2</v>
      </c>
      <c r="I58" s="12">
        <f t="shared" si="8"/>
        <v>0.68269012172956045</v>
      </c>
      <c r="J58" s="12">
        <f t="shared" si="8"/>
        <v>0.97322077335703505</v>
      </c>
      <c r="K58" s="12">
        <f t="shared" si="8"/>
        <v>0.99760366142000034</v>
      </c>
      <c r="L58" s="31">
        <f t="shared" si="8"/>
        <v>0.99990230996577156</v>
      </c>
      <c r="M58" s="31">
        <f t="shared" si="8"/>
        <v>0.99999613297969336</v>
      </c>
      <c r="N58" s="31">
        <f t="shared" si="8"/>
        <v>0.99999983854384356</v>
      </c>
      <c r="O58" s="31">
        <f t="shared" si="8"/>
        <v>0.99999999263908612</v>
      </c>
      <c r="P58" s="31">
        <f t="shared" si="8"/>
        <v>0.99999999962874042</v>
      </c>
      <c r="Q58" s="32">
        <f t="shared" si="8"/>
        <v>0.99999999997922406</v>
      </c>
      <c r="R58" s="31">
        <f t="shared" si="8"/>
        <v>0.99999999999871247</v>
      </c>
      <c r="S58" s="31">
        <f t="shared" si="8"/>
        <v>0.99999999999991196</v>
      </c>
      <c r="T58" s="31">
        <f t="shared" si="8"/>
        <v>0.99999999999999345</v>
      </c>
      <c r="U58" s="31">
        <f t="shared" si="8"/>
        <v>0.99999999999999944</v>
      </c>
      <c r="V58" s="31">
        <f t="shared" si="8"/>
        <v>1</v>
      </c>
      <c r="W58" s="31">
        <f t="shared" si="8"/>
        <v>1</v>
      </c>
      <c r="X58" s="31">
        <f t="shared" si="8"/>
        <v>1</v>
      </c>
      <c r="Y58" s="31">
        <f t="shared" si="8"/>
        <v>1</v>
      </c>
      <c r="Z58" s="31">
        <f t="shared" si="8"/>
        <v>1</v>
      </c>
      <c r="AA58" s="31">
        <v>1</v>
      </c>
    </row>
    <row r="59" spans="1:27">
      <c r="A59" s="45">
        <v>1.8</v>
      </c>
      <c r="B59" s="12">
        <f t="shared" si="1"/>
        <v>0.58778666490211906</v>
      </c>
      <c r="C59" s="12">
        <f t="shared" si="2"/>
        <v>2.461963093435692</v>
      </c>
      <c r="D59" s="12">
        <f t="shared" si="3"/>
        <v>11.727811747072391</v>
      </c>
      <c r="E59" s="12">
        <f t="shared" si="4"/>
        <v>0.22493005434033345</v>
      </c>
      <c r="F59" s="12">
        <v>0</v>
      </c>
      <c r="G59" s="12">
        <f t="shared" si="8"/>
        <v>3.1700361302747453E-12</v>
      </c>
      <c r="H59" s="12">
        <f t="shared" si="8"/>
        <v>2.3430655922103361E-2</v>
      </c>
      <c r="I59" s="12">
        <f t="shared" si="8"/>
        <v>0.61159959797613239</v>
      </c>
      <c r="J59" s="12">
        <f t="shared" si="8"/>
        <v>0.96241189481706169</v>
      </c>
      <c r="K59" s="12">
        <f t="shared" si="8"/>
        <v>0.99647602703022065</v>
      </c>
      <c r="L59" s="31">
        <f t="shared" si="8"/>
        <v>0.99985504678732062</v>
      </c>
      <c r="M59" s="31">
        <f t="shared" si="8"/>
        <v>0.9999943994672158</v>
      </c>
      <c r="N59" s="31">
        <f t="shared" si="8"/>
        <v>0.99999977626223047</v>
      </c>
      <c r="O59" s="31">
        <f t="shared" si="8"/>
        <v>0.99999999035916853</v>
      </c>
      <c r="P59" s="31">
        <f t="shared" si="8"/>
        <v>0.99999999954394925</v>
      </c>
      <c r="Q59" s="31">
        <f t="shared" si="8"/>
        <v>0.99999999997617961</v>
      </c>
      <c r="R59" s="32">
        <f t="shared" si="8"/>
        <v>0.99999999999862632</v>
      </c>
      <c r="S59" s="31">
        <f t="shared" si="8"/>
        <v>0.99999999999991274</v>
      </c>
      <c r="T59" s="31">
        <f t="shared" si="8"/>
        <v>0.99999999999999389</v>
      </c>
      <c r="U59" s="31">
        <f t="shared" si="8"/>
        <v>0.99999999999999956</v>
      </c>
      <c r="V59" s="31">
        <f t="shared" si="8"/>
        <v>1</v>
      </c>
      <c r="W59" s="31">
        <f t="shared" si="8"/>
        <v>1</v>
      </c>
      <c r="X59" s="31">
        <f t="shared" si="8"/>
        <v>1</v>
      </c>
      <c r="Y59" s="31">
        <f t="shared" si="8"/>
        <v>1</v>
      </c>
      <c r="Z59" s="31">
        <f t="shared" si="8"/>
        <v>1</v>
      </c>
      <c r="AA59" s="31">
        <v>1</v>
      </c>
    </row>
    <row r="60" spans="1:27">
      <c r="A60" s="45">
        <v>1.9</v>
      </c>
      <c r="B60" s="12">
        <f t="shared" si="1"/>
        <v>0.64185388617239469</v>
      </c>
      <c r="C60" s="12">
        <f t="shared" si="2"/>
        <v>2.5048886723645518</v>
      </c>
      <c r="D60" s="12">
        <f t="shared" si="3"/>
        <v>12.242195995201449</v>
      </c>
      <c r="E60" s="12">
        <f t="shared" si="4"/>
        <v>0.2189730867762556</v>
      </c>
      <c r="F60" s="12">
        <v>0</v>
      </c>
      <c r="G60" s="12">
        <f t="shared" si="8"/>
        <v>2.0118223982617076E-13</v>
      </c>
      <c r="H60" s="12">
        <f t="shared" si="8"/>
        <v>1.2621865999717485E-2</v>
      </c>
      <c r="I60" s="12">
        <f t="shared" si="8"/>
        <v>0.53791065086606271</v>
      </c>
      <c r="J60" s="12">
        <f t="shared" si="8"/>
        <v>0.94863530197135715</v>
      </c>
      <c r="K60" s="12">
        <f t="shared" si="8"/>
        <v>0.99494205310079697</v>
      </c>
      <c r="L60" s="31">
        <f t="shared" si="8"/>
        <v>0.99978962671791338</v>
      </c>
      <c r="M60" s="31">
        <f t="shared" si="8"/>
        <v>0.99999205771281285</v>
      </c>
      <c r="N60" s="31">
        <f t="shared" si="8"/>
        <v>0.99999969629882357</v>
      </c>
      <c r="O60" s="31">
        <f t="shared" si="8"/>
        <v>0.9999999876331771</v>
      </c>
      <c r="P60" s="31">
        <f t="shared" si="8"/>
        <v>0.99999999945160356</v>
      </c>
      <c r="Q60" s="31">
        <f t="shared" si="8"/>
        <v>0.9999999999732847</v>
      </c>
      <c r="R60" s="32">
        <f t="shared" si="8"/>
        <v>0.99999999999856759</v>
      </c>
      <c r="S60" s="31">
        <f t="shared" si="8"/>
        <v>0.99999999999991562</v>
      </c>
      <c r="T60" s="31">
        <f t="shared" si="8"/>
        <v>0.99999999999999456</v>
      </c>
      <c r="U60" s="31">
        <f t="shared" si="8"/>
        <v>0.99999999999999967</v>
      </c>
      <c r="V60" s="31">
        <f t="shared" si="8"/>
        <v>1</v>
      </c>
      <c r="W60" s="31">
        <f t="shared" si="8"/>
        <v>1</v>
      </c>
      <c r="X60" s="31">
        <f t="shared" si="8"/>
        <v>1</v>
      </c>
      <c r="Y60" s="31">
        <f t="shared" si="8"/>
        <v>1</v>
      </c>
      <c r="Z60" s="31">
        <f t="shared" si="8"/>
        <v>1</v>
      </c>
      <c r="AA60" s="31">
        <v>1</v>
      </c>
    </row>
    <row r="61" spans="1:27">
      <c r="A61" s="45">
        <v>2</v>
      </c>
      <c r="B61" s="12">
        <f t="shared" si="1"/>
        <v>0.69314718055994529</v>
      </c>
      <c r="C61" s="12">
        <f t="shared" si="2"/>
        <v>2.544882385454744</v>
      </c>
      <c r="D61" s="12">
        <f t="shared" si="3"/>
        <v>12.741729385225323</v>
      </c>
      <c r="E61" s="12">
        <f t="shared" si="4"/>
        <v>0.21332174232498607</v>
      </c>
      <c r="F61" s="12">
        <v>0</v>
      </c>
      <c r="G61" s="12">
        <f t="shared" si="8"/>
        <v>1.1340364635659008E-14</v>
      </c>
      <c r="H61" s="12">
        <f t="shared" si="8"/>
        <v>6.4882558968853976E-3</v>
      </c>
      <c r="I61" s="12">
        <f t="shared" si="8"/>
        <v>0.46422782622299452</v>
      </c>
      <c r="J61" s="12">
        <f t="shared" si="8"/>
        <v>0.93156008532406709</v>
      </c>
      <c r="K61" s="12">
        <f t="shared" si="8"/>
        <v>0.99290653644382176</v>
      </c>
      <c r="L61" s="31">
        <f t="shared" si="8"/>
        <v>0.99970116134729436</v>
      </c>
      <c r="M61" s="31">
        <f t="shared" si="8"/>
        <v>0.99998896805075088</v>
      </c>
      <c r="N61" s="31">
        <f t="shared" si="8"/>
        <v>0.99999959622318046</v>
      </c>
      <c r="O61" s="31">
        <f t="shared" si="8"/>
        <v>0.99999998446984928</v>
      </c>
      <c r="P61" s="31">
        <f t="shared" si="8"/>
        <v>0.99999999935495509</v>
      </c>
      <c r="Q61" s="31">
        <f t="shared" si="8"/>
        <v>0.9999999999707232</v>
      </c>
      <c r="R61" s="32">
        <f t="shared" si="8"/>
        <v>0.99999999999854228</v>
      </c>
      <c r="S61" s="31">
        <f t="shared" si="8"/>
        <v>0.9999999999999204</v>
      </c>
      <c r="T61" s="31">
        <f t="shared" si="8"/>
        <v>0.99999999999999523</v>
      </c>
      <c r="U61" s="31">
        <f t="shared" si="8"/>
        <v>0.99999999999999967</v>
      </c>
      <c r="V61" s="31">
        <f t="shared" si="8"/>
        <v>1</v>
      </c>
      <c r="W61" s="31">
        <f t="shared" si="8"/>
        <v>1</v>
      </c>
      <c r="X61" s="31">
        <f t="shared" si="8"/>
        <v>1</v>
      </c>
      <c r="Y61" s="31">
        <f t="shared" si="8"/>
        <v>1</v>
      </c>
      <c r="Z61" s="31">
        <f t="shared" si="8"/>
        <v>1</v>
      </c>
      <c r="AA61" s="31">
        <v>1</v>
      </c>
    </row>
    <row r="62" spans="1:27">
      <c r="A62" s="45">
        <v>2.1</v>
      </c>
      <c r="B62" s="12">
        <f t="shared" si="1"/>
        <v>0.74193734472937733</v>
      </c>
      <c r="C62" s="12">
        <f t="shared" si="2"/>
        <v>2.5822085969743691</v>
      </c>
      <c r="D62" s="12">
        <f t="shared" si="3"/>
        <v>13.226317529941399</v>
      </c>
      <c r="E62" s="12">
        <f t="shared" si="4"/>
        <v>0.20794618540574922</v>
      </c>
      <c r="F62" s="12">
        <v>0</v>
      </c>
      <c r="G62" s="12">
        <f t="shared" si="8"/>
        <v>5.6754229087451723E-16</v>
      </c>
      <c r="H62" s="12">
        <f t="shared" si="8"/>
        <v>3.1846623726696777E-3</v>
      </c>
      <c r="I62" s="12">
        <f t="shared" si="8"/>
        <v>0.39296152935576012</v>
      </c>
      <c r="J62" s="12">
        <f t="shared" si="8"/>
        <v>0.91092371785689275</v>
      </c>
      <c r="K62" s="12">
        <f t="shared" si="8"/>
        <v>0.99026465661721619</v>
      </c>
      <c r="L62" s="31">
        <f t="shared" si="8"/>
        <v>0.99958397045562264</v>
      </c>
      <c r="M62" s="31">
        <f t="shared" si="8"/>
        <v>0.99998497544595444</v>
      </c>
      <c r="N62" s="31">
        <f t="shared" si="8"/>
        <v>0.99999947377480303</v>
      </c>
      <c r="O62" s="31">
        <f t="shared" si="8"/>
        <v>0.99999998089658726</v>
      </c>
      <c r="P62" s="31">
        <f t="shared" si="8"/>
        <v>0.99999999925759342</v>
      </c>
      <c r="Q62" s="31">
        <f t="shared" si="8"/>
        <v>0.99999999996864675</v>
      </c>
      <c r="R62" s="32">
        <f t="shared" si="8"/>
        <v>0.99999999999855249</v>
      </c>
      <c r="S62" s="31">
        <f t="shared" si="8"/>
        <v>0.99999999999992684</v>
      </c>
      <c r="T62" s="31">
        <f t="shared" si="8"/>
        <v>0.999999999999996</v>
      </c>
      <c r="U62" s="31">
        <f t="shared" si="8"/>
        <v>0.99999999999999978</v>
      </c>
      <c r="V62" s="31">
        <f t="shared" si="8"/>
        <v>1</v>
      </c>
      <c r="W62" s="31">
        <f t="shared" si="8"/>
        <v>1</v>
      </c>
      <c r="X62" s="31">
        <f t="shared" si="8"/>
        <v>1</v>
      </c>
      <c r="Y62" s="31">
        <f t="shared" si="8"/>
        <v>1</v>
      </c>
      <c r="Z62" s="31">
        <f t="shared" si="8"/>
        <v>1</v>
      </c>
      <c r="AA62" s="31">
        <v>1</v>
      </c>
    </row>
    <row r="63" spans="1:27">
      <c r="A63" s="45">
        <v>2.2000000000000002</v>
      </c>
      <c r="B63" s="12">
        <f t="shared" si="1"/>
        <v>0.78845736036427028</v>
      </c>
      <c r="C63" s="12">
        <f t="shared" si="2"/>
        <v>2.6171316711915291</v>
      </c>
      <c r="D63" s="12">
        <f t="shared" si="3"/>
        <v>13.696381463457383</v>
      </c>
      <c r="E63" s="12">
        <f t="shared" si="4"/>
        <v>0.20282074678126044</v>
      </c>
      <c r="F63" s="12">
        <v>0</v>
      </c>
      <c r="G63" s="12">
        <f t="shared" si="8"/>
        <v>2.5162765075104202E-17</v>
      </c>
      <c r="H63" s="12">
        <f t="shared" si="8"/>
        <v>1.4925626676658421E-3</v>
      </c>
      <c r="I63" s="12">
        <f t="shared" si="8"/>
        <v>0.3261176114682689</v>
      </c>
      <c r="J63" s="12">
        <f t="shared" si="8"/>
        <v>0.88653491020425879</v>
      </c>
      <c r="K63" s="12">
        <f t="shared" si="8"/>
        <v>0.98690053292408908</v>
      </c>
      <c r="L63" s="31">
        <f t="shared" si="8"/>
        <v>0.99943137772629265</v>
      </c>
      <c r="M63" s="31">
        <f t="shared" si="8"/>
        <v>0.99997990322992591</v>
      </c>
      <c r="N63" s="31">
        <f t="shared" si="8"/>
        <v>0.99999932667771496</v>
      </c>
      <c r="O63" s="31">
        <f t="shared" si="8"/>
        <v>0.99999997694864073</v>
      </c>
      <c r="P63" s="31">
        <f t="shared" si="8"/>
        <v>0.99999999916280524</v>
      </c>
      <c r="Q63" s="31">
        <f t="shared" si="8"/>
        <v>0.99999999996714828</v>
      </c>
      <c r="R63" s="31">
        <f t="shared" si="8"/>
        <v>0.9999999999985959</v>
      </c>
      <c r="S63" s="32">
        <f t="shared" si="8"/>
        <v>0.9999999999999345</v>
      </c>
      <c r="T63" s="31">
        <f t="shared" si="8"/>
        <v>0.99999999999999667</v>
      </c>
      <c r="U63" s="31">
        <f t="shared" si="8"/>
        <v>0.99999999999999978</v>
      </c>
      <c r="V63" s="31">
        <f t="shared" si="8"/>
        <v>1</v>
      </c>
      <c r="W63" s="31">
        <f t="shared" si="8"/>
        <v>1</v>
      </c>
      <c r="X63" s="31">
        <f t="shared" si="8"/>
        <v>1</v>
      </c>
      <c r="Y63" s="31">
        <f t="shared" si="8"/>
        <v>1</v>
      </c>
      <c r="Z63" s="31">
        <f t="shared" si="8"/>
        <v>1</v>
      </c>
      <c r="AA63" s="31">
        <v>1</v>
      </c>
    </row>
    <row r="64" spans="1:27">
      <c r="A64" s="45">
        <v>2.2999999999999998</v>
      </c>
      <c r="B64" s="12">
        <f t="shared" si="1"/>
        <v>0.83290912293510388</v>
      </c>
      <c r="C64" s="12">
        <f t="shared" si="2"/>
        <v>2.6499159723743237</v>
      </c>
      <c r="D64" s="12">
        <f t="shared" si="3"/>
        <v>14.152849365081602</v>
      </c>
      <c r="E64" s="12">
        <f t="shared" si="4"/>
        <v>0.19792318220184824</v>
      </c>
      <c r="F64" s="12">
        <v>0</v>
      </c>
      <c r="G64" s="12">
        <f t="shared" si="8"/>
        <v>9.8424069932103733E-19</v>
      </c>
      <c r="H64" s="12">
        <f t="shared" si="8"/>
        <v>6.6742298033073411E-4</v>
      </c>
      <c r="I64" s="12">
        <f t="shared" si="8"/>
        <v>0.26518144318232828</v>
      </c>
      <c r="J64" s="12">
        <f t="shared" si="8"/>
        <v>0.85826618663386478</v>
      </c>
      <c r="K64" s="12">
        <f t="shared" si="8"/>
        <v>0.98268345319301065</v>
      </c>
      <c r="L64" s="31">
        <f t="shared" si="8"/>
        <v>0.99923531357530027</v>
      </c>
      <c r="M64" s="31">
        <f t="shared" si="8"/>
        <v>0.99997353909144659</v>
      </c>
      <c r="N64" s="31">
        <f t="shared" si="8"/>
        <v>0.99999915221454083</v>
      </c>
      <c r="O64" s="31">
        <f t="shared" si="8"/>
        <v>0.99999997265216956</v>
      </c>
      <c r="P64" s="31">
        <f t="shared" si="8"/>
        <v>0.99999999907290404</v>
      </c>
      <c r="Q64" s="31">
        <f t="shared" si="8"/>
        <v>0.99999999996624711</v>
      </c>
      <c r="R64" s="31">
        <f t="shared" si="8"/>
        <v>0.99999999999866662</v>
      </c>
      <c r="S64" s="32">
        <f t="shared" si="8"/>
        <v>0.9999999999999426</v>
      </c>
      <c r="T64" s="31">
        <f t="shared" si="8"/>
        <v>0.99999999999999734</v>
      </c>
      <c r="U64" s="31">
        <f t="shared" si="8"/>
        <v>0.99999999999999989</v>
      </c>
      <c r="V64" s="31">
        <f t="shared" si="8"/>
        <v>1</v>
      </c>
      <c r="W64" s="31">
        <f t="shared" si="8"/>
        <v>1</v>
      </c>
      <c r="X64" s="31">
        <f t="shared" si="8"/>
        <v>1</v>
      </c>
      <c r="Y64" s="31">
        <f t="shared" si="8"/>
        <v>1</v>
      </c>
      <c r="Z64" s="31">
        <f t="shared" si="8"/>
        <v>1</v>
      </c>
      <c r="AA64" s="31">
        <v>1</v>
      </c>
    </row>
    <row r="65" spans="1:27">
      <c r="A65" s="45">
        <v>2.4</v>
      </c>
      <c r="B65" s="12">
        <f t="shared" si="1"/>
        <v>0.87546873735389985</v>
      </c>
      <c r="C65" s="12">
        <f t="shared" si="2"/>
        <v>2.6808258647908549</v>
      </c>
      <c r="D65" s="12">
        <f t="shared" si="3"/>
        <v>14.597143586175518</v>
      </c>
      <c r="E65" s="12">
        <f t="shared" si="4"/>
        <v>0.19323408894578686</v>
      </c>
      <c r="F65" s="12">
        <v>0</v>
      </c>
      <c r="G65" s="12">
        <f t="shared" si="8"/>
        <v>3.3749197049429017E-20</v>
      </c>
      <c r="H65" s="12">
        <f t="shared" si="8"/>
        <v>2.8426728755026609E-4</v>
      </c>
      <c r="I65" s="12">
        <f t="shared" si="8"/>
        <v>0.21109170306635661</v>
      </c>
      <c r="J65" s="12">
        <f t="shared" si="8"/>
        <v>0.82603923336087581</v>
      </c>
      <c r="K65" s="12">
        <f t="shared" si="8"/>
        <v>0.9774610768371782</v>
      </c>
      <c r="L65" s="31">
        <f t="shared" si="8"/>
        <v>0.99898562887286668</v>
      </c>
      <c r="M65" s="31">
        <f t="shared" si="8"/>
        <v>0.99996560981886318</v>
      </c>
      <c r="N65" s="31">
        <f t="shared" si="8"/>
        <v>0.99999894650244725</v>
      </c>
      <c r="O65" s="31">
        <f t="shared" si="8"/>
        <v>0.9999999680024515</v>
      </c>
      <c r="P65" s="31">
        <f t="shared" si="8"/>
        <v>0.999999998988649</v>
      </c>
      <c r="Q65" s="31">
        <f t="shared" si="8"/>
        <v>0.99999999996588573</v>
      </c>
      <c r="R65" s="31">
        <f t="shared" si="8"/>
        <v>0.99999999999875633</v>
      </c>
      <c r="S65" s="32">
        <f t="shared" si="8"/>
        <v>0.99999999999995071</v>
      </c>
      <c r="T65" s="31">
        <f t="shared" si="8"/>
        <v>0.99999999999999789</v>
      </c>
      <c r="U65" s="31">
        <f t="shared" si="8"/>
        <v>0.99999999999999989</v>
      </c>
      <c r="V65" s="31">
        <f t="shared" si="8"/>
        <v>1</v>
      </c>
      <c r="W65" s="31">
        <f t="shared" si="8"/>
        <v>1</v>
      </c>
      <c r="X65" s="31">
        <f t="shared" si="8"/>
        <v>1</v>
      </c>
      <c r="Y65" s="31">
        <f t="shared" si="8"/>
        <v>1</v>
      </c>
      <c r="Z65" s="31">
        <f t="shared" si="8"/>
        <v>1</v>
      </c>
      <c r="AA65" s="31">
        <v>1</v>
      </c>
    </row>
    <row r="66" spans="1:27">
      <c r="A66" s="45">
        <v>2.5</v>
      </c>
      <c r="B66" s="12">
        <f t="shared" si="1"/>
        <v>0.91629073187415511</v>
      </c>
      <c r="C66" s="12">
        <f t="shared" si="2"/>
        <v>2.7101257127092238</v>
      </c>
      <c r="D66" s="12">
        <f t="shared" si="3"/>
        <v>15.031165004581995</v>
      </c>
      <c r="E66" s="12">
        <f t="shared" si="4"/>
        <v>0.18873644154418434</v>
      </c>
      <c r="F66" s="12">
        <v>0</v>
      </c>
      <c r="G66" s="12">
        <f t="shared" si="8"/>
        <v>1.0055954152384371E-21</v>
      </c>
      <c r="H66" s="12">
        <f t="shared" si="8"/>
        <v>1.1499791790670066E-4</v>
      </c>
      <c r="I66" s="12">
        <f t="shared" si="8"/>
        <v>0.16428252361840401</v>
      </c>
      <c r="J66" s="12">
        <f t="shared" si="8"/>
        <v>0.7898076857818489</v>
      </c>
      <c r="K66" s="12">
        <f t="shared" si="8"/>
        <v>0.9710490164119232</v>
      </c>
      <c r="L66" s="31">
        <f t="shared" si="8"/>
        <v>0.99866899309543666</v>
      </c>
      <c r="M66" s="31">
        <f t="shared" si="8"/>
        <v>0.99995574009688004</v>
      </c>
      <c r="N66" s="31">
        <f t="shared" si="8"/>
        <v>0.9999987034139034</v>
      </c>
      <c r="O66" s="31">
        <f t="shared" si="8"/>
        <v>0.99999996293823457</v>
      </c>
      <c r="P66" s="31">
        <f t="shared" si="8"/>
        <v>0.99999999890881996</v>
      </c>
      <c r="Q66" s="31">
        <f t="shared" si="8"/>
        <v>0.99999999996594002</v>
      </c>
      <c r="R66" s="31">
        <f t="shared" si="8"/>
        <v>0.9999999999988558</v>
      </c>
      <c r="S66" s="32">
        <f t="shared" si="8"/>
        <v>0.99999999999995837</v>
      </c>
      <c r="T66" s="31">
        <f t="shared" si="8"/>
        <v>0.99999999999999833</v>
      </c>
      <c r="U66" s="31">
        <f t="shared" si="8"/>
        <v>0.99999999999999989</v>
      </c>
      <c r="V66" s="31">
        <f t="shared" si="8"/>
        <v>1</v>
      </c>
      <c r="W66" s="31">
        <f t="shared" si="8"/>
        <v>1</v>
      </c>
      <c r="X66" s="31">
        <f t="shared" si="8"/>
        <v>1</v>
      </c>
      <c r="Y66" s="31">
        <f t="shared" si="8"/>
        <v>1</v>
      </c>
      <c r="Z66" s="31">
        <f t="shared" si="8"/>
        <v>1</v>
      </c>
      <c r="AA66" s="31">
        <v>1</v>
      </c>
    </row>
    <row r="67" spans="1:27">
      <c r="A67" s="45">
        <v>2.6</v>
      </c>
      <c r="B67" s="12">
        <f t="shared" si="1"/>
        <v>0.95551144502743635</v>
      </c>
      <c r="C67" s="12">
        <f t="shared" si="2"/>
        <v>2.7380798803975313</v>
      </c>
      <c r="D67" s="12">
        <f t="shared" si="3"/>
        <v>15.457276763576894</v>
      </c>
      <c r="E67" s="12">
        <f t="shared" si="4"/>
        <v>0.18441521861826077</v>
      </c>
      <c r="F67" s="12">
        <v>0</v>
      </c>
      <c r="G67" s="12">
        <f t="shared" si="8"/>
        <v>2.573921607846838E-23</v>
      </c>
      <c r="H67" s="12">
        <f t="shared" si="8"/>
        <v>4.400707317109287E-5</v>
      </c>
      <c r="I67" s="12">
        <f t="shared" si="8"/>
        <v>0.12476651728691324</v>
      </c>
      <c r="J67" s="12">
        <f t="shared" si="8"/>
        <v>0.74954284142884631</v>
      </c>
      <c r="K67" s="12">
        <f t="shared" si="8"/>
        <v>0.96321626468212607</v>
      </c>
      <c r="L67" s="31">
        <f t="shared" si="8"/>
        <v>0.99826719597547697</v>
      </c>
      <c r="M67" s="31">
        <f t="shared" si="8"/>
        <v>0.99994338810814531</v>
      </c>
      <c r="N67" s="31">
        <f t="shared" si="8"/>
        <v>0.99999841300547399</v>
      </c>
      <c r="O67" s="31">
        <f t="shared" si="8"/>
        <v>0.99999995731156888</v>
      </c>
      <c r="P67" s="31">
        <f t="shared" si="8"/>
        <v>0.9999999988299294</v>
      </c>
      <c r="Q67" s="31">
        <f t="shared" si="8"/>
        <v>0.99999999996623534</v>
      </c>
      <c r="R67" s="31">
        <f t="shared" si="8"/>
        <v>0.99999999999895606</v>
      </c>
      <c r="S67" s="31">
        <f t="shared" si="8"/>
        <v>0.99999999999996514</v>
      </c>
      <c r="T67" s="32">
        <f t="shared" si="8"/>
        <v>0.99999999999999878</v>
      </c>
      <c r="U67" s="31">
        <f t="shared" si="8"/>
        <v>1</v>
      </c>
      <c r="V67" s="31">
        <f t="shared" si="8"/>
        <v>1</v>
      </c>
      <c r="W67" s="31">
        <f t="shared" si="8"/>
        <v>1</v>
      </c>
      <c r="X67" s="31">
        <f t="shared" si="8"/>
        <v>1</v>
      </c>
      <c r="Y67" s="31">
        <f t="shared" si="8"/>
        <v>1</v>
      </c>
      <c r="Z67" s="31">
        <f t="shared" si="8"/>
        <v>1</v>
      </c>
      <c r="AA67" s="31">
        <v>1</v>
      </c>
    </row>
    <row r="68" spans="1:27">
      <c r="A68" s="45">
        <v>2.7</v>
      </c>
      <c r="B68" s="12">
        <f t="shared" si="1"/>
        <v>0.99325177301028345</v>
      </c>
      <c r="C68" s="12">
        <f t="shared" si="2"/>
        <v>2.764952732123878</v>
      </c>
      <c r="D68" s="12">
        <f t="shared" si="3"/>
        <v>15.878289439857211</v>
      </c>
      <c r="E68" s="12">
        <f t="shared" si="4"/>
        <v>0.18025710018033253</v>
      </c>
      <c r="F68" s="12">
        <v>0</v>
      </c>
      <c r="G68" s="12">
        <f t="shared" si="8"/>
        <v>5.5784725038040745E-25</v>
      </c>
      <c r="H68" s="12">
        <f t="shared" si="8"/>
        <v>1.5842885957795261E-5</v>
      </c>
      <c r="I68" s="12">
        <f t="shared" si="8"/>
        <v>9.2233316301538082E-2</v>
      </c>
      <c r="J68" s="12">
        <f t="shared" si="8"/>
        <v>0.70522798622096217</v>
      </c>
      <c r="K68" s="12">
        <f t="shared" si="8"/>
        <v>0.95366594538682681</v>
      </c>
      <c r="L68" s="31">
        <f t="shared" si="8"/>
        <v>0.99775457343447105</v>
      </c>
      <c r="M68" s="31">
        <f t="shared" si="8"/>
        <v>0.99992774556617259</v>
      </c>
      <c r="N68" s="31">
        <f t="shared" si="8"/>
        <v>0.99999805920716178</v>
      </c>
      <c r="O68" s="31">
        <f t="shared" si="8"/>
        <v>0.99999995084912263</v>
      </c>
      <c r="P68" s="31">
        <f t="shared" si="8"/>
        <v>0.99999999874595202</v>
      </c>
      <c r="Q68" s="31">
        <f t="shared" si="8"/>
        <v>0.99999999996656286</v>
      </c>
      <c r="R68" s="31">
        <f t="shared" si="8"/>
        <v>0.99999999999904943</v>
      </c>
      <c r="S68" s="31">
        <f t="shared" si="8"/>
        <v>0.99999999999997091</v>
      </c>
      <c r="T68" s="32">
        <f t="shared" si="8"/>
        <v>0.999999999999999</v>
      </c>
      <c r="U68" s="31">
        <f t="shared" si="8"/>
        <v>1</v>
      </c>
      <c r="V68" s="31">
        <f t="shared" si="8"/>
        <v>1</v>
      </c>
      <c r="W68" s="31">
        <f t="shared" si="8"/>
        <v>1</v>
      </c>
      <c r="X68" s="31">
        <f t="shared" si="8"/>
        <v>1</v>
      </c>
      <c r="Y68" s="31">
        <f t="shared" si="8"/>
        <v>1</v>
      </c>
      <c r="Z68" s="31">
        <f t="shared" si="8"/>
        <v>1</v>
      </c>
      <c r="AA68" s="31">
        <v>1</v>
      </c>
    </row>
    <row r="69" spans="1:27">
      <c r="A69" s="45">
        <v>2.8</v>
      </c>
      <c r="B69" s="12">
        <f t="shared" si="1"/>
        <v>1.0296194171811581</v>
      </c>
      <c r="C69" s="12">
        <f t="shared" si="2"/>
        <v>2.7910086321563665</v>
      </c>
      <c r="D69" s="12">
        <f t="shared" si="3"/>
        <v>16.297449646340826</v>
      </c>
      <c r="E69" s="12">
        <f t="shared" si="4"/>
        <v>0.17625022001120264</v>
      </c>
      <c r="F69" s="12">
        <v>0</v>
      </c>
      <c r="G69" s="12">
        <f t="shared" si="8"/>
        <v>1.0058069373385013E-26</v>
      </c>
      <c r="H69" s="12">
        <f t="shared" si="8"/>
        <v>5.3276190710160876E-6</v>
      </c>
      <c r="I69" s="12">
        <f t="shared" si="8"/>
        <v>6.6144968356458334E-2</v>
      </c>
      <c r="J69" s="12">
        <f t="shared" si="8"/>
        <v>0.6568668540533481</v>
      </c>
      <c r="K69" s="12">
        <f t="shared" si="8"/>
        <v>0.94201087867155064</v>
      </c>
      <c r="L69" s="31">
        <f t="shared" si="8"/>
        <v>0.99709410710588209</v>
      </c>
      <c r="M69" s="31">
        <f t="shared" si="8"/>
        <v>0.99990758006009051</v>
      </c>
      <c r="N69" s="31">
        <f t="shared" si="8"/>
        <v>0.9999976162446067</v>
      </c>
      <c r="O69" s="31">
        <f t="shared" si="8"/>
        <v>0.99999994309542861</v>
      </c>
      <c r="P69" s="31">
        <f t="shared" si="8"/>
        <v>0.99999999864784783</v>
      </c>
      <c r="Q69" s="31">
        <f t="shared" si="8"/>
        <v>0.99999999996668798</v>
      </c>
      <c r="R69" s="31">
        <f t="shared" si="8"/>
        <v>0.99999999999912947</v>
      </c>
      <c r="S69" s="31">
        <f t="shared" si="8"/>
        <v>0.99999999999997558</v>
      </c>
      <c r="T69" s="32">
        <f t="shared" si="8"/>
        <v>0.99999999999999922</v>
      </c>
      <c r="U69" s="31">
        <f t="shared" si="8"/>
        <v>1</v>
      </c>
      <c r="V69" s="31">
        <f t="shared" si="8"/>
        <v>1</v>
      </c>
      <c r="W69" s="31">
        <f t="shared" si="8"/>
        <v>1</v>
      </c>
      <c r="X69" s="31">
        <f t="shared" si="8"/>
        <v>1</v>
      </c>
      <c r="Y69" s="31">
        <f t="shared" si="8"/>
        <v>1</v>
      </c>
      <c r="Z69" s="31">
        <f t="shared" si="8"/>
        <v>1</v>
      </c>
      <c r="AA69" s="31">
        <v>1</v>
      </c>
    </row>
    <row r="70" spans="1:27">
      <c r="A70" s="45">
        <v>2.9</v>
      </c>
      <c r="B70" s="12">
        <f t="shared" si="1"/>
        <v>1.0647107369924282</v>
      </c>
      <c r="C70" s="12">
        <f t="shared" si="2"/>
        <v>2.8165119447630969</v>
      </c>
      <c r="D70" s="12">
        <f t="shared" si="3"/>
        <v>16.718434029759166</v>
      </c>
      <c r="E70" s="12">
        <f t="shared" si="4"/>
        <v>0.17238396150955959</v>
      </c>
      <c r="F70" s="12">
        <v>0</v>
      </c>
      <c r="G70" s="12">
        <f t="shared" si="8"/>
        <v>1.4770009953564635E-28</v>
      </c>
      <c r="H70" s="12">
        <f t="shared" si="8"/>
        <v>1.658578383967324E-6</v>
      </c>
      <c r="I70" s="12">
        <f t="shared" si="8"/>
        <v>4.5817541297845099E-2</v>
      </c>
      <c r="J70" s="12">
        <f t="shared" si="8"/>
        <v>0.60451132633620297</v>
      </c>
      <c r="K70" s="12">
        <f t="shared" si="8"/>
        <v>0.92774361979624664</v>
      </c>
      <c r="L70" s="31">
        <f t="shared" si="8"/>
        <v>0.99623145608158403</v>
      </c>
      <c r="M70" s="31">
        <f t="shared" si="8"/>
        <v>0.99988097944622689</v>
      </c>
      <c r="N70" s="31">
        <f t="shared" si="8"/>
        <v>0.99999704278619295</v>
      </c>
      <c r="O70" s="31">
        <f t="shared" si="8"/>
        <v>0.99999993331911385</v>
      </c>
      <c r="P70" s="31">
        <f t="shared" si="8"/>
        <v>0.9999999985225192</v>
      </c>
      <c r="Q70" s="31">
        <f t="shared" si="8"/>
        <v>0.99999999996634559</v>
      </c>
      <c r="R70" s="31">
        <f t="shared" si="8"/>
        <v>0.99999999999919142</v>
      </c>
      <c r="S70" s="31">
        <f t="shared" si="8"/>
        <v>0.99999999999997924</v>
      </c>
      <c r="T70" s="32">
        <f t="shared" si="8"/>
        <v>0.99999999999999944</v>
      </c>
      <c r="U70" s="31">
        <f t="shared" si="8"/>
        <v>1</v>
      </c>
      <c r="V70" s="31">
        <f t="shared" ref="V70:Z70" si="9">NORMDIST(LN(V$41),$C70,$E70,TRUE)</f>
        <v>1</v>
      </c>
      <c r="W70" s="31">
        <f t="shared" si="9"/>
        <v>1</v>
      </c>
      <c r="X70" s="31">
        <f t="shared" si="9"/>
        <v>1</v>
      </c>
      <c r="Y70" s="31">
        <f t="shared" si="9"/>
        <v>1</v>
      </c>
      <c r="Z70" s="31">
        <f t="shared" si="9"/>
        <v>1</v>
      </c>
      <c r="AA70" s="31">
        <v>1</v>
      </c>
    </row>
    <row r="71" spans="1:27">
      <c r="A71" s="45">
        <v>3</v>
      </c>
      <c r="B71" s="12">
        <f t="shared" si="1"/>
        <v>1.0986122886681098</v>
      </c>
      <c r="C71" s="12">
        <f t="shared" si="2"/>
        <v>2.8417270342121705</v>
      </c>
      <c r="D71" s="12">
        <f t="shared" si="3"/>
        <v>17.145350589641453</v>
      </c>
      <c r="E71" s="12">
        <f t="shared" si="4"/>
        <v>0.16864878816498513</v>
      </c>
      <c r="F71" s="12">
        <v>0</v>
      </c>
      <c r="G71" s="12">
        <f t="shared" ref="G71:Z84" si="10">NORMDIST(LN(G$41),$C71,$E71,TRUE)</f>
        <v>1.7226641034796231E-30</v>
      </c>
      <c r="H71" s="12">
        <f t="shared" si="10"/>
        <v>4.7279021586632552E-7</v>
      </c>
      <c r="I71" s="12">
        <f t="shared" si="10"/>
        <v>3.0485420525556917E-2</v>
      </c>
      <c r="J71" s="12">
        <f t="shared" si="10"/>
        <v>0.54831261878407189</v>
      </c>
      <c r="K71" s="12">
        <f t="shared" si="10"/>
        <v>0.91020125929107853</v>
      </c>
      <c r="L71" s="31">
        <f t="shared" si="10"/>
        <v>0.99508569546736969</v>
      </c>
      <c r="M71" s="31">
        <f t="shared" si="10"/>
        <v>0.99984492410800963</v>
      </c>
      <c r="N71" s="31">
        <f t="shared" si="10"/>
        <v>0.99999627185378015</v>
      </c>
      <c r="O71" s="31">
        <f t="shared" si="10"/>
        <v>0.9999999203458132</v>
      </c>
      <c r="P71" s="31">
        <f t="shared" si="10"/>
        <v>0.99999999835061737</v>
      </c>
      <c r="Q71" s="31">
        <f t="shared" si="10"/>
        <v>0.99999999996521227</v>
      </c>
      <c r="R71" s="31">
        <f t="shared" si="10"/>
        <v>0.99999999999923084</v>
      </c>
      <c r="S71" s="31">
        <f t="shared" si="10"/>
        <v>0.9999999999999819</v>
      </c>
      <c r="T71" s="31">
        <f t="shared" si="10"/>
        <v>0.99999999999999956</v>
      </c>
      <c r="U71" s="32">
        <f t="shared" si="10"/>
        <v>1</v>
      </c>
      <c r="V71" s="31">
        <f t="shared" si="10"/>
        <v>1</v>
      </c>
      <c r="W71" s="31">
        <f t="shared" si="10"/>
        <v>1</v>
      </c>
      <c r="X71" s="31">
        <f t="shared" si="10"/>
        <v>1</v>
      </c>
      <c r="Y71" s="31">
        <f t="shared" si="10"/>
        <v>1</v>
      </c>
      <c r="Z71" s="31">
        <f t="shared" si="10"/>
        <v>1</v>
      </c>
      <c r="AA71" s="31">
        <v>1</v>
      </c>
    </row>
    <row r="72" spans="1:27">
      <c r="A72" s="45">
        <v>3.1</v>
      </c>
      <c r="B72" s="12">
        <f t="shared" si="1"/>
        <v>1.1314021114911006</v>
      </c>
      <c r="C72" s="12">
        <f t="shared" si="2"/>
        <v>2.8669182647716882</v>
      </c>
      <c r="D72" s="12">
        <f t="shared" si="3"/>
        <v>17.582749243755153</v>
      </c>
      <c r="E72" s="12">
        <f t="shared" si="4"/>
        <v>0.16503610183860645</v>
      </c>
      <c r="F72" s="12">
        <v>0</v>
      </c>
      <c r="G72" s="12">
        <f t="shared" si="10"/>
        <v>1.5494681196296834E-32</v>
      </c>
      <c r="H72" s="12">
        <f t="shared" si="10"/>
        <v>1.2177212966810291E-7</v>
      </c>
      <c r="I72" s="12">
        <f t="shared" si="10"/>
        <v>1.9349955343430758E-2</v>
      </c>
      <c r="J72" s="12">
        <f t="shared" si="10"/>
        <v>0.48859820606530402</v>
      </c>
      <c r="K72" s="12">
        <f t="shared" si="10"/>
        <v>0.88852691154841779</v>
      </c>
      <c r="L72" s="31">
        <f t="shared" si="10"/>
        <v>0.99353473946304094</v>
      </c>
      <c r="M72" s="31">
        <f t="shared" si="10"/>
        <v>0.99979454838231185</v>
      </c>
      <c r="N72" s="31">
        <f t="shared" si="10"/>
        <v>0.99999519265032633</v>
      </c>
      <c r="O72" s="31">
        <f t="shared" si="10"/>
        <v>0.99999990224639967</v>
      </c>
      <c r="P72" s="31">
        <f t="shared" si="10"/>
        <v>0.9999999981021187</v>
      </c>
      <c r="Q72" s="31">
        <f t="shared" si="10"/>
        <v>0.99999999996284439</v>
      </c>
      <c r="R72" s="31">
        <f t="shared" si="10"/>
        <v>0.99999999999924261</v>
      </c>
      <c r="S72" s="31">
        <f t="shared" si="10"/>
        <v>0.99999999999998357</v>
      </c>
      <c r="T72" s="31">
        <f t="shared" si="10"/>
        <v>0.99999999999999967</v>
      </c>
      <c r="U72" s="32">
        <f t="shared" si="10"/>
        <v>1</v>
      </c>
      <c r="V72" s="31">
        <f t="shared" si="10"/>
        <v>1</v>
      </c>
      <c r="W72" s="31">
        <f t="shared" si="10"/>
        <v>1</v>
      </c>
      <c r="X72" s="31">
        <f t="shared" si="10"/>
        <v>1</v>
      </c>
      <c r="Y72" s="31">
        <f t="shared" si="10"/>
        <v>1</v>
      </c>
      <c r="Z72" s="31">
        <f t="shared" si="10"/>
        <v>1</v>
      </c>
      <c r="AA72" s="31">
        <v>1</v>
      </c>
    </row>
    <row r="73" spans="1:27">
      <c r="A73" s="45">
        <v>3.2</v>
      </c>
      <c r="B73" s="12">
        <f t="shared" si="1"/>
        <v>1.1631508098056809</v>
      </c>
      <c r="C73" s="12">
        <f t="shared" si="2"/>
        <v>2.8923500007097509</v>
      </c>
      <c r="D73" s="12">
        <f t="shared" si="3"/>
        <v>18.03564361488294</v>
      </c>
      <c r="E73" s="12">
        <f t="shared" si="4"/>
        <v>0.16153812355124025</v>
      </c>
      <c r="F73" s="12">
        <v>0</v>
      </c>
      <c r="G73" s="12">
        <f t="shared" si="10"/>
        <v>1.038615168787709E-34</v>
      </c>
      <c r="H73" s="12">
        <f t="shared" si="10"/>
        <v>2.7890149048362704E-8</v>
      </c>
      <c r="I73" s="12">
        <f t="shared" si="10"/>
        <v>1.1616978633068209E-2</v>
      </c>
      <c r="J73" s="12">
        <f t="shared" si="10"/>
        <v>0.42597231419797144</v>
      </c>
      <c r="K73" s="12">
        <f t="shared" si="10"/>
        <v>0.86163336949609493</v>
      </c>
      <c r="L73" s="31">
        <f t="shared" si="10"/>
        <v>0.99139213188375519</v>
      </c>
      <c r="M73" s="31">
        <f t="shared" si="10"/>
        <v>0.99972182683222688</v>
      </c>
      <c r="N73" s="31">
        <f t="shared" si="10"/>
        <v>0.99999361650870888</v>
      </c>
      <c r="O73" s="31">
        <f t="shared" si="10"/>
        <v>0.99999987573346671</v>
      </c>
      <c r="P73" s="31">
        <f t="shared" si="10"/>
        <v>0.99999999772747283</v>
      </c>
      <c r="Q73" s="31">
        <f t="shared" si="10"/>
        <v>0.99999999995855438</v>
      </c>
      <c r="R73" s="31">
        <f t="shared" si="10"/>
        <v>0.99999999999921896</v>
      </c>
      <c r="S73" s="31">
        <f t="shared" si="10"/>
        <v>0.99999999999998446</v>
      </c>
      <c r="T73" s="31">
        <f t="shared" si="10"/>
        <v>0.99999999999999967</v>
      </c>
      <c r="U73" s="32">
        <f t="shared" si="10"/>
        <v>1</v>
      </c>
      <c r="V73" s="31">
        <f t="shared" si="10"/>
        <v>1</v>
      </c>
      <c r="W73" s="31">
        <f t="shared" si="10"/>
        <v>1</v>
      </c>
      <c r="X73" s="31">
        <f t="shared" si="10"/>
        <v>1</v>
      </c>
      <c r="Y73" s="31">
        <f t="shared" si="10"/>
        <v>1</v>
      </c>
      <c r="Z73" s="31">
        <f t="shared" si="10"/>
        <v>1</v>
      </c>
      <c r="AA73" s="31">
        <v>1</v>
      </c>
    </row>
    <row r="74" spans="1:27">
      <c r="A74" s="45">
        <v>3.3</v>
      </c>
      <c r="B74" s="12">
        <f t="shared" si="1"/>
        <v>1.1939224684724346</v>
      </c>
      <c r="C74" s="12">
        <f t="shared" si="2"/>
        <v>2.918286606294461</v>
      </c>
      <c r="D74" s="12">
        <f t="shared" si="3"/>
        <v>18.509546134979079</v>
      </c>
      <c r="E74" s="12">
        <f t="shared" si="4"/>
        <v>0.15814779262125955</v>
      </c>
      <c r="F74" s="12">
        <v>0</v>
      </c>
      <c r="G74" s="12">
        <f t="shared" si="10"/>
        <v>4.9869086853651262E-37</v>
      </c>
      <c r="H74" s="12">
        <f t="shared" si="10"/>
        <v>5.5738076098548047E-9</v>
      </c>
      <c r="I74" s="12">
        <f t="shared" si="10"/>
        <v>6.5282914631157318E-3</v>
      </c>
      <c r="J74" s="12">
        <f t="shared" si="10"/>
        <v>0.36142919760768666</v>
      </c>
      <c r="K74" s="12">
        <f t="shared" si="10"/>
        <v>0.82818120537272599</v>
      </c>
      <c r="L74" s="31">
        <f t="shared" si="10"/>
        <v>0.98836983269144674</v>
      </c>
      <c r="M74" s="31">
        <f t="shared" si="10"/>
        <v>0.9996131707921796</v>
      </c>
      <c r="N74" s="31">
        <f t="shared" si="10"/>
        <v>0.99999121062009544</v>
      </c>
      <c r="O74" s="31">
        <f t="shared" si="10"/>
        <v>0.99999983494716715</v>
      </c>
      <c r="P74" s="31">
        <f t="shared" si="10"/>
        <v>0.99999999713948051</v>
      </c>
      <c r="Q74" s="31">
        <f t="shared" si="10"/>
        <v>0.99999999995116029</v>
      </c>
      <c r="R74" s="31">
        <f t="shared" si="10"/>
        <v>0.99999999999914568</v>
      </c>
      <c r="S74" s="31">
        <f t="shared" si="10"/>
        <v>0.99999999999998435</v>
      </c>
      <c r="T74" s="31">
        <f t="shared" si="10"/>
        <v>0.99999999999999967</v>
      </c>
      <c r="U74" s="32">
        <f t="shared" si="10"/>
        <v>1</v>
      </c>
      <c r="V74" s="31">
        <f t="shared" si="10"/>
        <v>1</v>
      </c>
      <c r="W74" s="31">
        <f t="shared" si="10"/>
        <v>1</v>
      </c>
      <c r="X74" s="31">
        <f t="shared" si="10"/>
        <v>1</v>
      </c>
      <c r="Y74" s="31">
        <f t="shared" si="10"/>
        <v>1</v>
      </c>
      <c r="Z74" s="31">
        <f t="shared" si="10"/>
        <v>1</v>
      </c>
      <c r="AA74" s="31">
        <v>1</v>
      </c>
    </row>
    <row r="75" spans="1:27">
      <c r="A75" s="45">
        <v>3.4</v>
      </c>
      <c r="B75" s="12">
        <f t="shared" si="1"/>
        <v>1.2237754316221157</v>
      </c>
      <c r="C75" s="12">
        <f t="shared" si="2"/>
        <v>2.9449924457939183</v>
      </c>
      <c r="D75" s="12">
        <f t="shared" si="3"/>
        <v>19.010518776549457</v>
      </c>
      <c r="E75" s="12">
        <f t="shared" si="4"/>
        <v>0.15485868086378093</v>
      </c>
      <c r="F75" s="12">
        <v>0</v>
      </c>
      <c r="G75" s="12">
        <f t="shared" si="10"/>
        <v>1.638882113854093E-39</v>
      </c>
      <c r="H75" s="12">
        <f t="shared" si="10"/>
        <v>9.504711108208166E-10</v>
      </c>
      <c r="I75" s="12">
        <f t="shared" si="10"/>
        <v>3.3906638398710776E-3</v>
      </c>
      <c r="J75" s="12">
        <f t="shared" si="10"/>
        <v>0.29645405460848073</v>
      </c>
      <c r="K75" s="12">
        <f t="shared" si="10"/>
        <v>0.78659526745197084</v>
      </c>
      <c r="L75" s="31">
        <f t="shared" si="10"/>
        <v>0.98401852037328408</v>
      </c>
      <c r="M75" s="31">
        <f t="shared" si="10"/>
        <v>0.99944491170362326</v>
      </c>
      <c r="N75" s="31">
        <f t="shared" si="10"/>
        <v>0.99998736393030496</v>
      </c>
      <c r="O75" s="31">
        <f t="shared" si="10"/>
        <v>0.99999976890297204</v>
      </c>
      <c r="P75" s="31">
        <f t="shared" si="10"/>
        <v>0.99999999617456292</v>
      </c>
      <c r="Q75" s="31">
        <f t="shared" si="10"/>
        <v>0.99999999993845656</v>
      </c>
      <c r="R75" s="31">
        <f t="shared" si="10"/>
        <v>0.99999999999899525</v>
      </c>
      <c r="S75" s="31">
        <f t="shared" si="10"/>
        <v>0.9999999999999829</v>
      </c>
      <c r="T75" s="31">
        <f t="shared" si="10"/>
        <v>0.99999999999999967</v>
      </c>
      <c r="U75" s="32">
        <f t="shared" si="10"/>
        <v>1</v>
      </c>
      <c r="V75" s="31">
        <f t="shared" si="10"/>
        <v>1</v>
      </c>
      <c r="W75" s="31">
        <f t="shared" si="10"/>
        <v>1</v>
      </c>
      <c r="X75" s="31">
        <f t="shared" si="10"/>
        <v>1</v>
      </c>
      <c r="Y75" s="31">
        <f t="shared" si="10"/>
        <v>1</v>
      </c>
      <c r="Z75" s="31">
        <f t="shared" si="10"/>
        <v>1</v>
      </c>
      <c r="AA75" s="31">
        <v>1</v>
      </c>
    </row>
    <row r="76" spans="1:27">
      <c r="A76" s="45">
        <v>3.5</v>
      </c>
      <c r="B76" s="12">
        <f t="shared" si="1"/>
        <v>1.2527629684953681</v>
      </c>
      <c r="C76" s="12">
        <f t="shared" si="2"/>
        <v>2.9727318834762242</v>
      </c>
      <c r="D76" s="12">
        <f t="shared" si="3"/>
        <v>19.545242051299685</v>
      </c>
      <c r="E76" s="12">
        <f t="shared" si="4"/>
        <v>0.1516649192304009</v>
      </c>
      <c r="F76" s="12">
        <v>0</v>
      </c>
      <c r="G76" s="12">
        <f t="shared" si="10"/>
        <v>3.4990550777261619E-42</v>
      </c>
      <c r="H76" s="12">
        <f t="shared" si="10"/>
        <v>1.3470748290891001E-10</v>
      </c>
      <c r="I76" s="12">
        <f t="shared" si="10"/>
        <v>1.6027684147369436E-3</v>
      </c>
      <c r="J76" s="12">
        <f t="shared" si="10"/>
        <v>0.2330668274273846</v>
      </c>
      <c r="K76" s="12">
        <f t="shared" si="10"/>
        <v>0.7351610208596191</v>
      </c>
      <c r="L76" s="31">
        <f t="shared" si="10"/>
        <v>0.97763266428057871</v>
      </c>
      <c r="M76" s="31">
        <f t="shared" si="10"/>
        <v>0.99917459561710253</v>
      </c>
      <c r="N76" s="31">
        <f t="shared" si="10"/>
        <v>0.99998090450992372</v>
      </c>
      <c r="O76" s="31">
        <f t="shared" si="10"/>
        <v>0.99999965585461437</v>
      </c>
      <c r="P76" s="31">
        <f t="shared" si="10"/>
        <v>0.99999999450530852</v>
      </c>
      <c r="Q76" s="31">
        <f t="shared" si="10"/>
        <v>0.99999999991601751</v>
      </c>
      <c r="R76" s="31">
        <f t="shared" si="10"/>
        <v>0.99999999999871136</v>
      </c>
      <c r="S76" s="31">
        <f t="shared" si="10"/>
        <v>0.99999999999997957</v>
      </c>
      <c r="T76" s="31">
        <f t="shared" si="10"/>
        <v>0.99999999999999967</v>
      </c>
      <c r="U76" s="31">
        <f t="shared" si="10"/>
        <v>1</v>
      </c>
      <c r="V76" s="32">
        <f t="shared" si="10"/>
        <v>1</v>
      </c>
      <c r="W76" s="31">
        <f t="shared" si="10"/>
        <v>1</v>
      </c>
      <c r="X76" s="31">
        <f t="shared" si="10"/>
        <v>1</v>
      </c>
      <c r="Y76" s="31">
        <f t="shared" si="10"/>
        <v>1</v>
      </c>
      <c r="Z76" s="31">
        <f t="shared" si="10"/>
        <v>1</v>
      </c>
      <c r="AA76" s="31">
        <v>1</v>
      </c>
    </row>
    <row r="77" spans="1:27">
      <c r="A77" s="45">
        <v>3.6</v>
      </c>
      <c r="B77" s="12">
        <f t="shared" si="1"/>
        <v>1.2809338454620642</v>
      </c>
      <c r="C77" s="12">
        <f t="shared" si="2"/>
        <v>3.0017692836094803</v>
      </c>
      <c r="D77" s="12">
        <f t="shared" si="3"/>
        <v>20.121105390528093</v>
      </c>
      <c r="E77" s="12">
        <f t="shared" si="4"/>
        <v>0.14856113478578595</v>
      </c>
      <c r="F77" s="12">
        <v>0</v>
      </c>
      <c r="G77" s="12">
        <f t="shared" si="10"/>
        <v>4.5724121251608439E-45</v>
      </c>
      <c r="H77" s="12">
        <f t="shared" si="10"/>
        <v>1.5385904778452465E-11</v>
      </c>
      <c r="I77" s="12">
        <f t="shared" si="10"/>
        <v>6.7685854626642339E-4</v>
      </c>
      <c r="J77" s="12">
        <f t="shared" si="10"/>
        <v>0.17374530812722433</v>
      </c>
      <c r="K77" s="12">
        <f t="shared" si="10"/>
        <v>0.67226309028753772</v>
      </c>
      <c r="L77" s="31">
        <f t="shared" si="10"/>
        <v>0.96810301526141085</v>
      </c>
      <c r="M77" s="31">
        <f t="shared" si="10"/>
        <v>0.99872381504537855</v>
      </c>
      <c r="N77" s="31">
        <f t="shared" si="10"/>
        <v>0.99996947822184212</v>
      </c>
      <c r="O77" s="31">
        <f t="shared" si="10"/>
        <v>0.99999945015151837</v>
      </c>
      <c r="P77" s="31">
        <f t="shared" si="10"/>
        <v>0.99999999143016904</v>
      </c>
      <c r="Q77" s="31">
        <f t="shared" si="10"/>
        <v>0.99999999987428212</v>
      </c>
      <c r="R77" s="31">
        <f t="shared" si="10"/>
        <v>0.99999999999817113</v>
      </c>
      <c r="S77" s="31">
        <f t="shared" si="10"/>
        <v>0.99999999999997269</v>
      </c>
      <c r="T77" s="31">
        <f t="shared" si="10"/>
        <v>0.99999999999999956</v>
      </c>
      <c r="U77" s="31">
        <f t="shared" si="10"/>
        <v>1</v>
      </c>
      <c r="V77" s="32">
        <f t="shared" si="10"/>
        <v>1</v>
      </c>
      <c r="W77" s="31">
        <f t="shared" si="10"/>
        <v>1</v>
      </c>
      <c r="X77" s="31">
        <f t="shared" si="10"/>
        <v>1</v>
      </c>
      <c r="Y77" s="31">
        <f t="shared" si="10"/>
        <v>1</v>
      </c>
      <c r="Z77" s="31">
        <f t="shared" si="10"/>
        <v>1</v>
      </c>
      <c r="AA77" s="31">
        <v>1</v>
      </c>
    </row>
    <row r="78" spans="1:27">
      <c r="A78" s="45">
        <v>3.7</v>
      </c>
      <c r="B78" s="12">
        <f t="shared" si="1"/>
        <v>1.3083328196501789</v>
      </c>
      <c r="C78" s="12">
        <f t="shared" si="2"/>
        <v>3.0323690104617871</v>
      </c>
      <c r="D78" s="12">
        <f t="shared" si="3"/>
        <v>20.746322674427663</v>
      </c>
      <c r="E78" s="12">
        <f t="shared" si="4"/>
        <v>0.14554239632109375</v>
      </c>
      <c r="F78" s="12">
        <v>0</v>
      </c>
      <c r="G78" s="12">
        <f t="shared" si="10"/>
        <v>3.4165224139957817E-48</v>
      </c>
      <c r="H78" s="12">
        <f t="shared" si="10"/>
        <v>1.3660666898118866E-12</v>
      </c>
      <c r="I78" s="12">
        <f t="shared" si="10"/>
        <v>2.4972607598838792E-4</v>
      </c>
      <c r="J78" s="12">
        <f t="shared" si="10"/>
        <v>0.12116158628882179</v>
      </c>
      <c r="K78" s="12">
        <f t="shared" si="10"/>
        <v>0.59684104348767097</v>
      </c>
      <c r="L78" s="31">
        <f t="shared" si="10"/>
        <v>0.9536978651798067</v>
      </c>
      <c r="M78" s="31">
        <f t="shared" si="10"/>
        <v>0.99794370676240907</v>
      </c>
      <c r="N78" s="31">
        <f t="shared" si="10"/>
        <v>0.99994812289546209</v>
      </c>
      <c r="O78" s="31">
        <f t="shared" si="10"/>
        <v>0.99999904975760279</v>
      </c>
      <c r="P78" s="31">
        <f t="shared" si="10"/>
        <v>0.99999998533153311</v>
      </c>
      <c r="Q78" s="31">
        <f t="shared" si="10"/>
        <v>0.99999999979088139</v>
      </c>
      <c r="R78" s="31">
        <f t="shared" si="10"/>
        <v>0.99999999999708433</v>
      </c>
      <c r="S78" s="31">
        <f t="shared" si="10"/>
        <v>0.99999999999995881</v>
      </c>
      <c r="T78" s="31">
        <f t="shared" si="10"/>
        <v>0.99999999999999944</v>
      </c>
      <c r="U78" s="31">
        <f t="shared" si="10"/>
        <v>1</v>
      </c>
      <c r="V78" s="32">
        <f t="shared" si="10"/>
        <v>1</v>
      </c>
      <c r="W78" s="31">
        <f t="shared" si="10"/>
        <v>1</v>
      </c>
      <c r="X78" s="31">
        <f t="shared" si="10"/>
        <v>1</v>
      </c>
      <c r="Y78" s="31">
        <f t="shared" si="10"/>
        <v>1</v>
      </c>
      <c r="Z78" s="31">
        <f t="shared" si="10"/>
        <v>1</v>
      </c>
      <c r="AA78" s="31">
        <v>1</v>
      </c>
    </row>
    <row r="79" spans="1:27">
      <c r="A79" s="45">
        <v>3.8</v>
      </c>
      <c r="B79" s="12">
        <f t="shared" si="1"/>
        <v>1.33500106673234</v>
      </c>
      <c r="C79" s="12">
        <f t="shared" si="2"/>
        <v>3.0647954283012462</v>
      </c>
      <c r="D79" s="12">
        <f t="shared" si="3"/>
        <v>21.430077551362071</v>
      </c>
      <c r="E79" s="12">
        <f t="shared" si="4"/>
        <v>0.1426041672217081</v>
      </c>
      <c r="F79" s="12">
        <v>0</v>
      </c>
      <c r="G79" s="12">
        <f t="shared" si="10"/>
        <v>1.3508148635372881E-51</v>
      </c>
      <c r="H79" s="12">
        <f t="shared" si="10"/>
        <v>9.039477209785839E-14</v>
      </c>
      <c r="I79" s="12">
        <f t="shared" si="10"/>
        <v>7.8363329692576755E-5</v>
      </c>
      <c r="J79" s="12">
        <f t="shared" si="10"/>
        <v>7.7705252357298082E-2</v>
      </c>
      <c r="K79" s="12">
        <f t="shared" si="10"/>
        <v>0.50911224559261015</v>
      </c>
      <c r="L79" s="31">
        <f t="shared" si="10"/>
        <v>0.93176711713737204</v>
      </c>
      <c r="M79" s="31">
        <f t="shared" si="10"/>
        <v>0.99654476374839218</v>
      </c>
      <c r="N79" s="31">
        <f t="shared" si="10"/>
        <v>0.99990585500848561</v>
      </c>
      <c r="O79" s="31">
        <f t="shared" si="10"/>
        <v>0.99999821093238617</v>
      </c>
      <c r="P79" s="31">
        <f t="shared" si="10"/>
        <v>0.99999997217102243</v>
      </c>
      <c r="Q79" s="31">
        <f t="shared" si="10"/>
        <v>0.99999999960863906</v>
      </c>
      <c r="R79" s="31">
        <f t="shared" si="10"/>
        <v>0.99999999999470157</v>
      </c>
      <c r="S79" s="31">
        <f t="shared" si="10"/>
        <v>0.99999999999992806</v>
      </c>
      <c r="T79" s="31">
        <f t="shared" si="10"/>
        <v>0.999999999999999</v>
      </c>
      <c r="U79" s="31">
        <f t="shared" si="10"/>
        <v>1</v>
      </c>
      <c r="V79" s="32">
        <f t="shared" si="10"/>
        <v>1</v>
      </c>
      <c r="W79" s="31">
        <f t="shared" si="10"/>
        <v>1</v>
      </c>
      <c r="X79" s="31">
        <f t="shared" si="10"/>
        <v>1</v>
      </c>
      <c r="Y79" s="31">
        <f t="shared" si="10"/>
        <v>1</v>
      </c>
      <c r="Z79" s="31">
        <f t="shared" si="10"/>
        <v>1</v>
      </c>
      <c r="AA79" s="31">
        <v>1</v>
      </c>
    </row>
    <row r="80" spans="1:27">
      <c r="A80" s="45">
        <v>3.9</v>
      </c>
      <c r="B80" s="12">
        <f t="shared" si="1"/>
        <v>1.3609765531356006</v>
      </c>
      <c r="C80" s="12">
        <f t="shared" si="2"/>
        <v>3.0993129013959591</v>
      </c>
      <c r="D80" s="12">
        <f t="shared" si="3"/>
        <v>22.182704338779942</v>
      </c>
      <c r="E80" s="12">
        <f t="shared" si="4"/>
        <v>0.13974226445825988</v>
      </c>
      <c r="F80" s="12">
        <v>0</v>
      </c>
      <c r="G80" s="12">
        <f t="shared" si="10"/>
        <v>2.5872540834408152E-55</v>
      </c>
      <c r="H80" s="12">
        <f t="shared" si="10"/>
        <v>4.2440957614369272E-15</v>
      </c>
      <c r="I80" s="12">
        <f t="shared" si="10"/>
        <v>2.0251906862944757E-5</v>
      </c>
      <c r="J80" s="12">
        <f t="shared" si="10"/>
        <v>4.4869035242730559E-2</v>
      </c>
      <c r="K80" s="12">
        <f t="shared" si="10"/>
        <v>0.41149642626574412</v>
      </c>
      <c r="L80" s="31">
        <f t="shared" si="10"/>
        <v>0.89841468812564229</v>
      </c>
      <c r="M80" s="31">
        <f t="shared" si="10"/>
        <v>0.99395383967155382</v>
      </c>
      <c r="N80" s="31">
        <f t="shared" si="10"/>
        <v>0.99981716733408588</v>
      </c>
      <c r="O80" s="31">
        <f t="shared" si="10"/>
        <v>0.99999630956361885</v>
      </c>
      <c r="P80" s="31">
        <f t="shared" si="10"/>
        <v>0.99999994096563127</v>
      </c>
      <c r="Q80" s="31">
        <f t="shared" si="10"/>
        <v>0.99999999916640625</v>
      </c>
      <c r="R80" s="31">
        <f t="shared" si="10"/>
        <v>0.99999999998886979</v>
      </c>
      <c r="S80" s="31">
        <f t="shared" si="10"/>
        <v>0.99999999999985312</v>
      </c>
      <c r="T80" s="31">
        <f t="shared" si="10"/>
        <v>0.999999999999998</v>
      </c>
      <c r="U80" s="31">
        <f t="shared" si="10"/>
        <v>1</v>
      </c>
      <c r="V80" s="31">
        <f t="shared" si="10"/>
        <v>1</v>
      </c>
      <c r="W80" s="32">
        <f t="shared" si="10"/>
        <v>1</v>
      </c>
      <c r="X80" s="31">
        <f t="shared" si="10"/>
        <v>1</v>
      </c>
      <c r="Y80" s="31">
        <f t="shared" si="10"/>
        <v>1</v>
      </c>
      <c r="Z80" s="31">
        <f t="shared" si="10"/>
        <v>1</v>
      </c>
      <c r="AA80" s="31">
        <v>1</v>
      </c>
    </row>
    <row r="81" spans="1:27">
      <c r="A81" s="45">
        <v>4</v>
      </c>
      <c r="B81" s="12">
        <f t="shared" si="1"/>
        <v>1.3862943611198906</v>
      </c>
      <c r="C81" s="12">
        <f t="shared" si="2"/>
        <v>3.1361857940140254</v>
      </c>
      <c r="D81" s="12">
        <f t="shared" si="3"/>
        <v>23.015911797443152</v>
      </c>
      <c r="E81" s="12">
        <f t="shared" si="4"/>
        <v>0.13695282277043855</v>
      </c>
      <c r="F81" s="12">
        <v>0</v>
      </c>
      <c r="G81" s="12">
        <f t="shared" si="10"/>
        <v>2.1710812209115048E-59</v>
      </c>
      <c r="H81" s="12">
        <f t="shared" si="10"/>
        <v>1.3350352585166262E-16</v>
      </c>
      <c r="I81" s="12">
        <f t="shared" si="10"/>
        <v>4.1474720380296759E-6</v>
      </c>
      <c r="J81" s="12">
        <f t="shared" si="10"/>
        <v>2.2718900354396498E-2</v>
      </c>
      <c r="K81" s="12">
        <f t="shared" si="10"/>
        <v>0.30942126409339765</v>
      </c>
      <c r="L81" s="31">
        <f t="shared" si="10"/>
        <v>0.8483193160644078</v>
      </c>
      <c r="M81" s="31">
        <f t="shared" si="10"/>
        <v>0.98902733474530202</v>
      </c>
      <c r="N81" s="31">
        <f t="shared" si="10"/>
        <v>0.99962011005665774</v>
      </c>
      <c r="O81" s="31">
        <f t="shared" si="10"/>
        <v>0.9999916302366525</v>
      </c>
      <c r="P81" s="31">
        <f t="shared" si="10"/>
        <v>0.99999985900340838</v>
      </c>
      <c r="Q81" s="31">
        <f t="shared" si="10"/>
        <v>0.99999999795890571</v>
      </c>
      <c r="R81" s="31">
        <f t="shared" si="10"/>
        <v>0.99999999997262357</v>
      </c>
      <c r="S81" s="31">
        <f t="shared" si="10"/>
        <v>0.99999999999964262</v>
      </c>
      <c r="T81" s="31">
        <f t="shared" si="10"/>
        <v>0.99999999999999534</v>
      </c>
      <c r="U81" s="31">
        <f t="shared" si="10"/>
        <v>0.99999999999999989</v>
      </c>
      <c r="V81" s="31">
        <f t="shared" si="10"/>
        <v>1</v>
      </c>
      <c r="W81" s="32">
        <f t="shared" si="10"/>
        <v>1</v>
      </c>
      <c r="X81" s="31">
        <f t="shared" si="10"/>
        <v>1</v>
      </c>
      <c r="Y81" s="31">
        <f t="shared" si="10"/>
        <v>1</v>
      </c>
      <c r="Z81" s="31">
        <f t="shared" si="10"/>
        <v>1</v>
      </c>
      <c r="AA81" s="31">
        <v>1</v>
      </c>
    </row>
    <row r="82" spans="1:27">
      <c r="A82" s="45">
        <v>4.0999999999999996</v>
      </c>
      <c r="B82" s="12">
        <f t="shared" si="1"/>
        <v>1.410986973710262</v>
      </c>
      <c r="C82" s="12">
        <f t="shared" si="2"/>
        <v>3.1756784704235477</v>
      </c>
      <c r="D82" s="12">
        <f t="shared" si="3"/>
        <v>23.943059016253212</v>
      </c>
      <c r="E82" s="12">
        <f t="shared" si="4"/>
        <v>0.13423226327399462</v>
      </c>
      <c r="F82" s="12">
        <v>0</v>
      </c>
      <c r="G82" s="12">
        <f t="shared" si="10"/>
        <v>7.11949848712894E-64</v>
      </c>
      <c r="H82" s="12">
        <f t="shared" si="10"/>
        <v>2.631659633988922E-18</v>
      </c>
      <c r="I82" s="12">
        <f t="shared" si="10"/>
        <v>6.4276096300996954E-7</v>
      </c>
      <c r="J82" s="12">
        <f t="shared" si="10"/>
        <v>9.7629077727954261E-3</v>
      </c>
      <c r="K82" s="12">
        <f t="shared" si="10"/>
        <v>0.21133840968889406</v>
      </c>
      <c r="L82" s="31">
        <f t="shared" si="10"/>
        <v>0.77514563466055286</v>
      </c>
      <c r="M82" s="31">
        <f t="shared" si="10"/>
        <v>0.97950052208758487</v>
      </c>
      <c r="N82" s="31">
        <f t="shared" si="10"/>
        <v>0.9991583593346145</v>
      </c>
      <c r="O82" s="31">
        <f t="shared" si="10"/>
        <v>0.99997911702126085</v>
      </c>
      <c r="P82" s="31">
        <f t="shared" si="10"/>
        <v>0.99999961921215508</v>
      </c>
      <c r="Q82" s="31">
        <f t="shared" si="10"/>
        <v>0.99999999421033003</v>
      </c>
      <c r="R82" s="31">
        <f t="shared" si="10"/>
        <v>0.99999999992029898</v>
      </c>
      <c r="S82" s="31">
        <f t="shared" si="10"/>
        <v>0.99999999999895095</v>
      </c>
      <c r="T82" s="31">
        <f t="shared" si="10"/>
        <v>0.99999999999998634</v>
      </c>
      <c r="U82" s="31">
        <f t="shared" si="10"/>
        <v>0.99999999999999978</v>
      </c>
      <c r="V82" s="31">
        <f t="shared" ref="V82:Z89" si="11">NORMDIST(LN(V$41),$C82,$E82,TRUE)</f>
        <v>1</v>
      </c>
      <c r="W82" s="32">
        <f t="shared" si="11"/>
        <v>1</v>
      </c>
      <c r="X82" s="31">
        <f t="shared" si="11"/>
        <v>1</v>
      </c>
      <c r="Y82" s="31">
        <f t="shared" si="11"/>
        <v>1</v>
      </c>
      <c r="Z82" s="31">
        <f t="shared" si="11"/>
        <v>1</v>
      </c>
      <c r="AA82" s="31">
        <v>1</v>
      </c>
    </row>
    <row r="83" spans="1:27">
      <c r="A83" s="45">
        <v>4.2</v>
      </c>
      <c r="B83" s="12">
        <f t="shared" si="1"/>
        <v>1.4350845252893227</v>
      </c>
      <c r="C83" s="12">
        <f t="shared" si="2"/>
        <v>3.2180552948926273</v>
      </c>
      <c r="D83" s="12">
        <f t="shared" si="3"/>
        <v>24.979495164177322</v>
      </c>
      <c r="E83" s="12">
        <f t="shared" si="4"/>
        <v>0.13157726585120169</v>
      </c>
      <c r="F83" s="12">
        <v>0</v>
      </c>
      <c r="G83" s="12">
        <f t="shared" si="10"/>
        <v>8.0103540942925956E-69</v>
      </c>
      <c r="H83" s="12">
        <f t="shared" si="10"/>
        <v>3.0071408552579131E-20</v>
      </c>
      <c r="I83" s="12">
        <f t="shared" si="10"/>
        <v>7.1345432819705401E-8</v>
      </c>
      <c r="J83" s="12">
        <f t="shared" si="10"/>
        <v>3.420074117455929E-3</v>
      </c>
      <c r="K83" s="12">
        <f t="shared" si="10"/>
        <v>0.12713638000825966</v>
      </c>
      <c r="L83" s="31">
        <f t="shared" si="10"/>
        <v>0.67331499869706646</v>
      </c>
      <c r="M83" s="31">
        <f t="shared" si="10"/>
        <v>0.96102509369776845</v>
      </c>
      <c r="N83" s="31">
        <f t="shared" si="10"/>
        <v>0.99802664404019226</v>
      </c>
      <c r="O83" s="31">
        <f t="shared" si="10"/>
        <v>0.99994286384414055</v>
      </c>
      <c r="P83" s="31">
        <f t="shared" si="10"/>
        <v>0.99999883620211194</v>
      </c>
      <c r="Q83" s="31">
        <f t="shared" si="10"/>
        <v>0.99999998088855213</v>
      </c>
      <c r="R83" s="31">
        <f t="shared" si="10"/>
        <v>0.99999999972317044</v>
      </c>
      <c r="S83" s="31">
        <f t="shared" si="10"/>
        <v>0.99999999999624367</v>
      </c>
      <c r="T83" s="31">
        <f t="shared" si="10"/>
        <v>0.99999999999995026</v>
      </c>
      <c r="U83" s="31">
        <f t="shared" si="10"/>
        <v>0.99999999999999933</v>
      </c>
      <c r="V83" s="31">
        <f t="shared" si="11"/>
        <v>1</v>
      </c>
      <c r="W83" s="32">
        <f t="shared" si="11"/>
        <v>1</v>
      </c>
      <c r="X83" s="31">
        <f t="shared" si="11"/>
        <v>1</v>
      </c>
      <c r="Y83" s="31">
        <f t="shared" si="11"/>
        <v>1</v>
      </c>
      <c r="Z83" s="31">
        <f t="shared" si="11"/>
        <v>1</v>
      </c>
      <c r="AA83" s="31">
        <v>1</v>
      </c>
    </row>
    <row r="84" spans="1:27">
      <c r="A84" s="45">
        <v>4.3</v>
      </c>
      <c r="B84" s="12">
        <f t="shared" si="1"/>
        <v>1.4586150226995167</v>
      </c>
      <c r="C84" s="12">
        <f t="shared" si="2"/>
        <v>3.2635806316893632</v>
      </c>
      <c r="D84" s="12">
        <f t="shared" si="3"/>
        <v>26.14297812975078</v>
      </c>
      <c r="E84" s="12">
        <f t="shared" si="4"/>
        <v>0.12898474479045682</v>
      </c>
      <c r="F84" s="12">
        <v>0</v>
      </c>
      <c r="G84" s="12">
        <f t="shared" si="10"/>
        <v>2.6666872443116882E-74</v>
      </c>
      <c r="H84" s="12">
        <f t="shared" si="10"/>
        <v>1.8189987975813942E-22</v>
      </c>
      <c r="I84" s="12">
        <f t="shared" si="10"/>
        <v>5.3118226659910783E-9</v>
      </c>
      <c r="J84" s="12">
        <f t="shared" si="10"/>
        <v>9.2962954475339643E-4</v>
      </c>
      <c r="K84" s="12">
        <f t="shared" si="10"/>
        <v>6.4772592767103343E-2</v>
      </c>
      <c r="L84" s="31">
        <f t="shared" ref="L84:U84" si="12">NORMDIST(LN(L$41),$C84,$E84,TRUE)</f>
        <v>0.54187577656765307</v>
      </c>
      <c r="M84" s="31">
        <f t="shared" si="12"/>
        <v>0.92579713994921808</v>
      </c>
      <c r="N84" s="31">
        <f t="shared" si="12"/>
        <v>0.99516445617164018</v>
      </c>
      <c r="O84" s="31">
        <f t="shared" si="12"/>
        <v>0.99982996517443512</v>
      </c>
      <c r="P84" s="31">
        <f t="shared" si="12"/>
        <v>0.99999599000400718</v>
      </c>
      <c r="Q84" s="31">
        <f t="shared" si="12"/>
        <v>0.9999999265665378</v>
      </c>
      <c r="R84" s="31">
        <f t="shared" si="12"/>
        <v>0.99999999884824387</v>
      </c>
      <c r="S84" s="31">
        <f t="shared" si="12"/>
        <v>0.99999999998346745</v>
      </c>
      <c r="T84" s="31">
        <f t="shared" si="12"/>
        <v>0.99999999999977274</v>
      </c>
      <c r="U84" s="31">
        <f t="shared" si="12"/>
        <v>0.99999999999999689</v>
      </c>
      <c r="V84" s="31">
        <f t="shared" si="11"/>
        <v>1</v>
      </c>
      <c r="W84" s="31">
        <f t="shared" si="11"/>
        <v>1</v>
      </c>
      <c r="X84" s="32">
        <f t="shared" si="11"/>
        <v>1</v>
      </c>
      <c r="Y84" s="31">
        <f t="shared" si="11"/>
        <v>1</v>
      </c>
      <c r="Z84" s="31">
        <f t="shared" si="11"/>
        <v>1</v>
      </c>
      <c r="AA84" s="31">
        <v>1</v>
      </c>
    </row>
    <row r="85" spans="1:27">
      <c r="A85" s="45">
        <v>4.4000000000000004</v>
      </c>
      <c r="B85" s="12">
        <f t="shared" si="1"/>
        <v>1.4816045409242156</v>
      </c>
      <c r="C85" s="12">
        <f t="shared" si="2"/>
        <v>3.3125188450818586</v>
      </c>
      <c r="D85" s="12">
        <f t="shared" si="3"/>
        <v>27.454191307067671</v>
      </c>
      <c r="E85" s="12">
        <f t="shared" si="4"/>
        <v>0.12645182722671294</v>
      </c>
      <c r="F85" s="12">
        <v>0</v>
      </c>
      <c r="G85" s="12">
        <f t="shared" ref="G85:V101" si="13">NORMDIST(LN(G$41),$C85,$E85,TRUE)</f>
        <v>2.2192306683413299E-80</v>
      </c>
      <c r="H85" s="12">
        <f t="shared" si="13"/>
        <v>5.240031223377446E-25</v>
      </c>
      <c r="I85" s="12">
        <f t="shared" si="13"/>
        <v>2.45342761002896E-10</v>
      </c>
      <c r="J85" s="12">
        <f t="shared" si="13"/>
        <v>1.845945658351944E-4</v>
      </c>
      <c r="K85" s="12">
        <f t="shared" si="13"/>
        <v>2.6601284845329642E-2</v>
      </c>
      <c r="L85" s="31">
        <f t="shared" si="13"/>
        <v>0.38983704371449646</v>
      </c>
      <c r="M85" s="31">
        <f t="shared" si="13"/>
        <v>0.86150879197393804</v>
      </c>
      <c r="N85" s="31">
        <f t="shared" si="13"/>
        <v>0.98784483486848984</v>
      </c>
      <c r="O85" s="31">
        <f t="shared" si="13"/>
        <v>0.99945738815046492</v>
      </c>
      <c r="P85" s="31">
        <f t="shared" si="13"/>
        <v>0.99998457293196585</v>
      </c>
      <c r="Q85" s="31">
        <f t="shared" si="13"/>
        <v>0.99999967329705108</v>
      </c>
      <c r="R85" s="31">
        <f t="shared" si="13"/>
        <v>0.99999999426708353</v>
      </c>
      <c r="S85" s="31">
        <f t="shared" si="13"/>
        <v>0.99999999991033195</v>
      </c>
      <c r="T85" s="31">
        <f t="shared" si="13"/>
        <v>0.99999999999868505</v>
      </c>
      <c r="U85" s="31">
        <f t="shared" si="13"/>
        <v>0.99999999999998124</v>
      </c>
      <c r="V85" s="31">
        <f t="shared" si="11"/>
        <v>0.99999999999999978</v>
      </c>
      <c r="W85" s="31">
        <f t="shared" si="11"/>
        <v>1</v>
      </c>
      <c r="X85" s="32">
        <f t="shared" si="11"/>
        <v>1</v>
      </c>
      <c r="Y85" s="31">
        <f t="shared" si="11"/>
        <v>1</v>
      </c>
      <c r="Z85" s="31">
        <f t="shared" si="11"/>
        <v>1</v>
      </c>
      <c r="AA85" s="31">
        <v>1</v>
      </c>
    </row>
    <row r="86" spans="1:27">
      <c r="A86" s="45">
        <v>4.5</v>
      </c>
      <c r="B86" s="12">
        <f t="shared" si="1"/>
        <v>1.5040773967762742</v>
      </c>
      <c r="C86" s="12">
        <f t="shared" si="2"/>
        <v>3.3651342993382141</v>
      </c>
      <c r="D86" s="12">
        <f t="shared" si="3"/>
        <v>28.937383309528119</v>
      </c>
      <c r="E86" s="12">
        <f t="shared" si="4"/>
        <v>0.12397583400498421</v>
      </c>
      <c r="F86" s="12">
        <v>0</v>
      </c>
      <c r="G86" s="12">
        <f t="shared" si="13"/>
        <v>3.8105268496730259E-87</v>
      </c>
      <c r="H86" s="12">
        <f t="shared" si="13"/>
        <v>6.3558735527286431E-28</v>
      </c>
      <c r="I86" s="12">
        <f t="shared" si="13"/>
        <v>6.4071545187581541E-12</v>
      </c>
      <c r="J86" s="12">
        <f t="shared" si="13"/>
        <v>2.4884911578149094E-5</v>
      </c>
      <c r="K86" s="12">
        <f t="shared" si="13"/>
        <v>8.2811156475510739E-3</v>
      </c>
      <c r="L86" s="31">
        <f t="shared" si="13"/>
        <v>0.23893529790945289</v>
      </c>
      <c r="M86" s="31">
        <f t="shared" si="13"/>
        <v>0.75314934871362471</v>
      </c>
      <c r="N86" s="31">
        <f t="shared" si="13"/>
        <v>0.96944977819029443</v>
      </c>
      <c r="O86" s="31">
        <f t="shared" si="13"/>
        <v>0.99818301213848737</v>
      </c>
      <c r="P86" s="31">
        <f t="shared" si="13"/>
        <v>0.99993485000020732</v>
      </c>
      <c r="Q86" s="31">
        <f t="shared" si="13"/>
        <v>0.99999833771873714</v>
      </c>
      <c r="R86" s="31">
        <f t="shared" si="13"/>
        <v>0.99999996613114572</v>
      </c>
      <c r="S86" s="31">
        <f t="shared" si="13"/>
        <v>0.99999999940299866</v>
      </c>
      <c r="T86" s="31">
        <f t="shared" si="13"/>
        <v>0.99999999999037037</v>
      </c>
      <c r="U86" s="31">
        <f t="shared" si="13"/>
        <v>0.99999999999985212</v>
      </c>
      <c r="V86" s="31">
        <f t="shared" si="11"/>
        <v>0.99999999999999778</v>
      </c>
      <c r="W86" s="31">
        <f t="shared" si="11"/>
        <v>1</v>
      </c>
      <c r="X86" s="32">
        <f t="shared" si="11"/>
        <v>1</v>
      </c>
      <c r="Y86" s="31">
        <f t="shared" si="11"/>
        <v>1</v>
      </c>
      <c r="Z86" s="31">
        <f t="shared" si="11"/>
        <v>1</v>
      </c>
      <c r="AA86" s="31">
        <v>1</v>
      </c>
    </row>
    <row r="87" spans="1:27">
      <c r="A87" s="45">
        <v>4.5999999999999996</v>
      </c>
      <c r="B87" s="12">
        <f t="shared" si="1"/>
        <v>1.5260563034950492</v>
      </c>
      <c r="C87" s="12">
        <f t="shared" si="2"/>
        <v>3.4216913587265303</v>
      </c>
      <c r="D87" s="12">
        <f t="shared" si="3"/>
        <v>30.621162617449194</v>
      </c>
      <c r="E87" s="12">
        <f t="shared" si="4"/>
        <v>0.12155426264730071</v>
      </c>
      <c r="F87" s="12">
        <v>0</v>
      </c>
      <c r="G87" s="12">
        <f t="shared" si="13"/>
        <v>1.0848741568657553E-94</v>
      </c>
      <c r="H87" s="12">
        <f t="shared" si="13"/>
        <v>2.8126008379886732E-31</v>
      </c>
      <c r="I87" s="12">
        <f t="shared" si="13"/>
        <v>8.4748339592936187E-14</v>
      </c>
      <c r="J87" s="12">
        <f t="shared" si="13"/>
        <v>2.0841997980802773E-6</v>
      </c>
      <c r="K87" s="12">
        <f t="shared" si="13"/>
        <v>1.8111664293622987E-3</v>
      </c>
      <c r="L87" s="31">
        <f t="shared" si="13"/>
        <v>0.11718971717201354</v>
      </c>
      <c r="M87" s="31">
        <f t="shared" si="13"/>
        <v>0.59203638819403381</v>
      </c>
      <c r="N87" s="31">
        <f t="shared" si="13"/>
        <v>0.92574215912230828</v>
      </c>
      <c r="O87" s="31">
        <f t="shared" si="13"/>
        <v>0.99380710135513428</v>
      </c>
      <c r="P87" s="31">
        <f t="shared" si="13"/>
        <v>0.99970571413556231</v>
      </c>
      <c r="Q87" s="31">
        <f t="shared" si="13"/>
        <v>0.99999052956314616</v>
      </c>
      <c r="R87" s="31">
        <f t="shared" si="13"/>
        <v>0.9999997663900716</v>
      </c>
      <c r="S87" s="31">
        <f t="shared" si="13"/>
        <v>0.99999999517901561</v>
      </c>
      <c r="T87" s="31">
        <f t="shared" si="13"/>
        <v>0.99999999991142929</v>
      </c>
      <c r="U87" s="31">
        <f t="shared" si="13"/>
        <v>0.99999999999848532</v>
      </c>
      <c r="V87" s="31">
        <f t="shared" si="11"/>
        <v>0.99999999999997513</v>
      </c>
      <c r="W87" s="31">
        <f t="shared" si="11"/>
        <v>0.99999999999999956</v>
      </c>
      <c r="X87" s="31">
        <f t="shared" si="11"/>
        <v>1</v>
      </c>
      <c r="Y87" s="32">
        <f t="shared" si="11"/>
        <v>1</v>
      </c>
      <c r="Z87" s="31">
        <f t="shared" si="11"/>
        <v>1</v>
      </c>
      <c r="AA87" s="31">
        <v>1</v>
      </c>
    </row>
    <row r="88" spans="1:27">
      <c r="A88" s="45">
        <v>4.7</v>
      </c>
      <c r="B88" s="12">
        <f t="shared" si="1"/>
        <v>1.547562508716013</v>
      </c>
      <c r="C88" s="12">
        <f t="shared" si="2"/>
        <v>3.4824543875149097</v>
      </c>
      <c r="D88" s="12">
        <f t="shared" si="3"/>
        <v>32.539488661477208</v>
      </c>
      <c r="E88" s="12">
        <f t="shared" si="4"/>
        <v>0.11918477215162188</v>
      </c>
      <c r="F88" s="12">
        <v>0</v>
      </c>
      <c r="G88" s="12">
        <f t="shared" si="13"/>
        <v>3.9923149615615223E-103</v>
      </c>
      <c r="H88" s="12">
        <f t="shared" si="13"/>
        <v>3.8434322041843354E-35</v>
      </c>
      <c r="I88" s="12">
        <f t="shared" si="13"/>
        <v>4.9841658062635491E-16</v>
      </c>
      <c r="J88" s="12">
        <f t="shared" si="13"/>
        <v>9.7451749981567661E-8</v>
      </c>
      <c r="K88" s="12">
        <f t="shared" si="13"/>
        <v>2.5356064898796049E-4</v>
      </c>
      <c r="L88" s="31">
        <f t="shared" si="13"/>
        <v>4.247894999320001E-2</v>
      </c>
      <c r="M88" s="31">
        <f t="shared" si="13"/>
        <v>0.39265430209492969</v>
      </c>
      <c r="N88" s="31">
        <f t="shared" si="13"/>
        <v>0.83240078803436801</v>
      </c>
      <c r="O88" s="31">
        <f t="shared" si="13"/>
        <v>0.97936746316165157</v>
      </c>
      <c r="P88" s="31">
        <f t="shared" si="13"/>
        <v>0.99862926725094592</v>
      </c>
      <c r="Q88" s="31">
        <f t="shared" si="13"/>
        <v>0.99994147702993952</v>
      </c>
      <c r="R88" s="31">
        <f t="shared" si="13"/>
        <v>0.99999816876169734</v>
      </c>
      <c r="S88" s="31">
        <f t="shared" si="13"/>
        <v>0.99999995381855455</v>
      </c>
      <c r="T88" s="31">
        <f t="shared" si="13"/>
        <v>0.99999999899483705</v>
      </c>
      <c r="U88" s="31">
        <f t="shared" si="13"/>
        <v>0.99999999998015521</v>
      </c>
      <c r="V88" s="31">
        <f t="shared" si="11"/>
        <v>0.99999999999963141</v>
      </c>
      <c r="W88" s="31">
        <f t="shared" si="11"/>
        <v>0.99999999999999334</v>
      </c>
      <c r="X88" s="31">
        <f t="shared" si="11"/>
        <v>0.99999999999999989</v>
      </c>
      <c r="Y88" s="32">
        <f t="shared" si="11"/>
        <v>1</v>
      </c>
      <c r="Z88" s="31">
        <f t="shared" si="11"/>
        <v>1</v>
      </c>
      <c r="AA88" s="31">
        <v>1</v>
      </c>
    </row>
    <row r="89" spans="1:27">
      <c r="A89" s="45">
        <v>4.8</v>
      </c>
      <c r="B89" s="12">
        <f t="shared" si="1"/>
        <v>1.5686159179138452</v>
      </c>
      <c r="C89" s="12">
        <f t="shared" si="2"/>
        <v>3.5476877499714519</v>
      </c>
      <c r="D89" s="12">
        <f t="shared" si="3"/>
        <v>34.73291338626364</v>
      </c>
      <c r="E89" s="12">
        <f t="shared" si="4"/>
        <v>0.11686516939123934</v>
      </c>
      <c r="F89" s="12">
        <v>0</v>
      </c>
      <c r="G89" s="12">
        <f t="shared" si="13"/>
        <v>1.429786599317142E-112</v>
      </c>
      <c r="H89" s="12">
        <f t="shared" si="13"/>
        <v>1.3360455192930887E-39</v>
      </c>
      <c r="I89" s="12">
        <f t="shared" si="13"/>
        <v>1.1173453036378356E-18</v>
      </c>
      <c r="J89" s="12">
        <f t="shared" si="13"/>
        <v>2.2372651613079773E-9</v>
      </c>
      <c r="K89" s="12">
        <f t="shared" si="13"/>
        <v>2.028823107025346E-5</v>
      </c>
      <c r="L89" s="31">
        <f t="shared" si="13"/>
        <v>1.0306430950896339E-2</v>
      </c>
      <c r="M89" s="31">
        <f t="shared" si="13"/>
        <v>0.20157523108253916</v>
      </c>
      <c r="N89" s="31">
        <f t="shared" si="13"/>
        <v>0.66444695766855288</v>
      </c>
      <c r="O89" s="31">
        <f t="shared" si="13"/>
        <v>0.93614207845982922</v>
      </c>
      <c r="P89" s="31">
        <f t="shared" si="13"/>
        <v>0.99373033038001335</v>
      </c>
      <c r="Q89" s="31">
        <f t="shared" si="13"/>
        <v>0.99962484051965206</v>
      </c>
      <c r="R89" s="31">
        <f t="shared" si="13"/>
        <v>0.99998432073953558</v>
      </c>
      <c r="S89" s="31">
        <f t="shared" si="13"/>
        <v>0.99999949315574632</v>
      </c>
      <c r="T89" s="31">
        <f t="shared" si="13"/>
        <v>0.99999998634083398</v>
      </c>
      <c r="U89" s="31">
        <f t="shared" si="13"/>
        <v>0.99999999967569975</v>
      </c>
      <c r="V89" s="31">
        <f t="shared" si="11"/>
        <v>0.99999999999293321</v>
      </c>
      <c r="W89" s="31">
        <f t="shared" si="11"/>
        <v>0.99999999999985423</v>
      </c>
      <c r="X89" s="31">
        <f t="shared" si="11"/>
        <v>0.99999999999999711</v>
      </c>
      <c r="Y89" s="32">
        <f t="shared" si="11"/>
        <v>0.99999999999999989</v>
      </c>
      <c r="Z89" s="31">
        <f t="shared" si="11"/>
        <v>1</v>
      </c>
      <c r="AA89" s="31">
        <v>1</v>
      </c>
    </row>
    <row r="90" spans="1:27">
      <c r="A90" s="45">
        <v>4.9000000000000004</v>
      </c>
      <c r="B90" s="12">
        <f t="shared" si="1"/>
        <v>1.589235205116581</v>
      </c>
      <c r="C90" s="12">
        <f t="shared" si="2"/>
        <v>3.6176558103642584</v>
      </c>
      <c r="D90" s="12">
        <f t="shared" si="3"/>
        <v>37.250143991594499</v>
      </c>
      <c r="E90" s="12">
        <f t="shared" si="4"/>
        <v>0.11459339691661746</v>
      </c>
      <c r="F90" s="12">
        <v>0</v>
      </c>
      <c r="G90" s="12">
        <f t="shared" si="13"/>
        <v>3.6061806775579968E-123</v>
      </c>
      <c r="H90" s="12">
        <f t="shared" si="13"/>
        <v>9.4320196295955693E-45</v>
      </c>
      <c r="I90" s="12">
        <f t="shared" si="13"/>
        <v>7.9625407711570187E-22</v>
      </c>
      <c r="J90" s="12">
        <f t="shared" si="13"/>
        <v>2.1626652833528927E-11</v>
      </c>
      <c r="K90" s="12">
        <f t="shared" si="13"/>
        <v>8.0887037245958027E-7</v>
      </c>
      <c r="L90" s="31">
        <f t="shared" si="13"/>
        <v>1.4818791919628538E-3</v>
      </c>
      <c r="M90" s="31">
        <f t="shared" si="13"/>
        <v>7.1712052363508416E-2</v>
      </c>
      <c r="N90" s="31">
        <f t="shared" si="13"/>
        <v>0.42954679158651921</v>
      </c>
      <c r="O90" s="31">
        <f t="shared" si="13"/>
        <v>0.82710607767104538</v>
      </c>
      <c r="P90" s="31">
        <f t="shared" si="13"/>
        <v>0.97353604121220405</v>
      </c>
      <c r="Q90" s="31">
        <f t="shared" si="13"/>
        <v>0.99764879199464662</v>
      </c>
      <c r="R90" s="31">
        <f t="shared" si="13"/>
        <v>0.99986118755548947</v>
      </c>
      <c r="S90" s="31">
        <f t="shared" si="13"/>
        <v>0.99999393693304284</v>
      </c>
      <c r="T90" s="31">
        <f t="shared" si="13"/>
        <v>0.99999978750891794</v>
      </c>
      <c r="U90" s="31">
        <f t="shared" si="13"/>
        <v>0.9999999936497227</v>
      </c>
      <c r="V90" s="31">
        <f t="shared" si="13"/>
        <v>0.99999999983060317</v>
      </c>
      <c r="W90" s="31">
        <f t="shared" ref="V90:Z100" si="14">NORMDIST(LN(W$41),$C90,$E90,TRUE)</f>
        <v>0.99999999999582456</v>
      </c>
      <c r="X90" s="31">
        <f t="shared" si="14"/>
        <v>0.9999999999999023</v>
      </c>
      <c r="Y90" s="31">
        <f t="shared" si="14"/>
        <v>0.99999999999999778</v>
      </c>
      <c r="Z90" s="32">
        <f t="shared" si="14"/>
        <v>1</v>
      </c>
      <c r="AA90" s="31">
        <v>1</v>
      </c>
    </row>
    <row r="91" spans="1:27">
      <c r="A91" s="45">
        <v>5</v>
      </c>
      <c r="B91" s="12">
        <f t="shared" si="1"/>
        <v>1.6094379124341003</v>
      </c>
      <c r="C91" s="12">
        <f t="shared" si="2"/>
        <v>3.69262293296143</v>
      </c>
      <c r="D91" s="12">
        <f t="shared" si="3"/>
        <v>40.15001977663654</v>
      </c>
      <c r="E91" s="12">
        <f t="shared" si="4"/>
        <v>0.11236752198963684</v>
      </c>
      <c r="F91" s="12">
        <v>0</v>
      </c>
      <c r="G91" s="12">
        <f t="shared" si="13"/>
        <v>4.4302962801668417E-135</v>
      </c>
      <c r="H91" s="12">
        <f t="shared" si="13"/>
        <v>1.0411640073045589E-50</v>
      </c>
      <c r="I91" s="12">
        <f t="shared" si="13"/>
        <v>1.4565986338683534E-25</v>
      </c>
      <c r="J91" s="12">
        <f t="shared" si="13"/>
        <v>7.3286445150464273E-14</v>
      </c>
      <c r="K91" s="12">
        <f t="shared" si="13"/>
        <v>1.3622409718795522E-8</v>
      </c>
      <c r="L91" s="31">
        <f t="shared" si="13"/>
        <v>1.0886932857501197E-4</v>
      </c>
      <c r="M91" s="31">
        <f t="shared" si="13"/>
        <v>1.5413382147876131E-2</v>
      </c>
      <c r="N91" s="31">
        <f t="shared" si="13"/>
        <v>0.19816196013802556</v>
      </c>
      <c r="O91" s="31">
        <f t="shared" si="13"/>
        <v>0.61573815425495582</v>
      </c>
      <c r="P91" s="31">
        <f t="shared" si="13"/>
        <v>0.90434078371247084</v>
      </c>
      <c r="Q91" s="31">
        <f t="shared" si="13"/>
        <v>0.98663975037229878</v>
      </c>
      <c r="R91" s="31">
        <f t="shared" si="13"/>
        <v>0.99881782343564884</v>
      </c>
      <c r="S91" s="31">
        <f t="shared" si="13"/>
        <v>0.9999261239593239</v>
      </c>
      <c r="T91" s="31">
        <f t="shared" si="13"/>
        <v>0.99999644610101956</v>
      </c>
      <c r="U91" s="31">
        <f t="shared" si="13"/>
        <v>0.99999985937649927</v>
      </c>
      <c r="V91" s="31">
        <f t="shared" si="14"/>
        <v>0.99999999518546645</v>
      </c>
      <c r="W91" s="31">
        <f t="shared" si="14"/>
        <v>0.99999999985172905</v>
      </c>
      <c r="X91" s="31">
        <f t="shared" si="14"/>
        <v>0.99999999999576772</v>
      </c>
      <c r="Y91" s="31">
        <f t="shared" si="14"/>
        <v>0.99999999999988542</v>
      </c>
      <c r="Z91" s="32">
        <f t="shared" si="14"/>
        <v>0.999999999999997</v>
      </c>
      <c r="AA91" s="31">
        <v>1</v>
      </c>
    </row>
    <row r="92" spans="1:27">
      <c r="A92" s="45">
        <v>5.0999999999999996</v>
      </c>
      <c r="B92" s="12">
        <f t="shared" si="1"/>
        <v>1.62924053973028</v>
      </c>
      <c r="C92" s="12">
        <f t="shared" si="2"/>
        <v>3.7728534820310689</v>
      </c>
      <c r="D92" s="12">
        <f t="shared" si="3"/>
        <v>43.504025847515742</v>
      </c>
      <c r="E92" s="12">
        <f t="shared" si="4"/>
        <v>0.11018572670378002</v>
      </c>
      <c r="F92" s="12">
        <v>0</v>
      </c>
      <c r="G92" s="12">
        <f t="shared" si="13"/>
        <v>1.7413739909773058E-148</v>
      </c>
      <c r="H92" s="12">
        <f t="shared" si="13"/>
        <v>1.3269280087892585E-57</v>
      </c>
      <c r="I92" s="12">
        <f t="shared" si="13"/>
        <v>5.3205127508596318E-30</v>
      </c>
      <c r="J92" s="12">
        <f t="shared" si="13"/>
        <v>7.0019909701564804E-17</v>
      </c>
      <c r="K92" s="12">
        <f t="shared" si="13"/>
        <v>7.9501005820579067E-11</v>
      </c>
      <c r="L92" s="31">
        <f t="shared" si="13"/>
        <v>3.4161469150140178E-6</v>
      </c>
      <c r="M92" s="31">
        <f t="shared" si="13"/>
        <v>1.6937333807645061E-3</v>
      </c>
      <c r="N92" s="31">
        <f t="shared" si="13"/>
        <v>5.5564462232012057E-2</v>
      </c>
      <c r="O92" s="31">
        <f t="shared" si="13"/>
        <v>0.33432369765859316</v>
      </c>
      <c r="P92" s="31">
        <f t="shared" si="13"/>
        <v>0.72721890585512305</v>
      </c>
      <c r="Q92" s="31">
        <f t="shared" si="13"/>
        <v>0.93715340113774348</v>
      </c>
      <c r="R92" s="31">
        <f t="shared" si="13"/>
        <v>0.99115973547372671</v>
      </c>
      <c r="S92" s="31">
        <f t="shared" si="13"/>
        <v>0.99916049318404065</v>
      </c>
      <c r="T92" s="31">
        <f t="shared" si="13"/>
        <v>0.99994123237490573</v>
      </c>
      <c r="U92" s="31">
        <f t="shared" si="13"/>
        <v>0.9999967456057528</v>
      </c>
      <c r="V92" s="31">
        <f t="shared" si="14"/>
        <v>0.99999984932335795</v>
      </c>
      <c r="W92" s="31">
        <f t="shared" si="14"/>
        <v>0.9999999939102594</v>
      </c>
      <c r="X92" s="31">
        <f t="shared" si="14"/>
        <v>0.99999999977778664</v>
      </c>
      <c r="Y92" s="31">
        <f t="shared" si="14"/>
        <v>0.99999999999248268</v>
      </c>
      <c r="Z92" s="31">
        <f t="shared" si="14"/>
        <v>0.9999999999997593</v>
      </c>
      <c r="AA92" s="32">
        <v>1</v>
      </c>
    </row>
    <row r="93" spans="1:27">
      <c r="A93" s="45">
        <v>5.2</v>
      </c>
      <c r="B93" s="12">
        <f t="shared" si="1"/>
        <v>1.6486586255873816</v>
      </c>
      <c r="C93" s="12">
        <f t="shared" si="2"/>
        <v>3.8586118218412757</v>
      </c>
      <c r="D93" s="12">
        <f t="shared" si="3"/>
        <v>47.399506717414376</v>
      </c>
      <c r="E93" s="12">
        <f t="shared" si="4"/>
        <v>0.10804629906371327</v>
      </c>
      <c r="F93" s="12">
        <v>0</v>
      </c>
      <c r="G93" s="12">
        <f t="shared" si="13"/>
        <v>1.3562238879090437E-163</v>
      </c>
      <c r="H93" s="12">
        <f t="shared" si="13"/>
        <v>1.3738237366227517E-65</v>
      </c>
      <c r="I93" s="12">
        <f t="shared" si="13"/>
        <v>2.8902457852329137E-35</v>
      </c>
      <c r="J93" s="12">
        <f t="shared" si="13"/>
        <v>1.4570442750583989E-20</v>
      </c>
      <c r="K93" s="12">
        <f t="shared" si="13"/>
        <v>1.269268402089135E-13</v>
      </c>
      <c r="L93" s="31">
        <f t="shared" si="13"/>
        <v>3.6903606831859719E-8</v>
      </c>
      <c r="M93" s="31">
        <f t="shared" si="13"/>
        <v>7.780643325316916E-5</v>
      </c>
      <c r="N93" s="31">
        <f t="shared" si="13"/>
        <v>7.7943872244287116E-3</v>
      </c>
      <c r="O93" s="31">
        <f t="shared" si="13"/>
        <v>0.10931139148431068</v>
      </c>
      <c r="P93" s="31">
        <f t="shared" si="13"/>
        <v>0.42962583311725733</v>
      </c>
      <c r="Q93" s="31">
        <f t="shared" si="13"/>
        <v>0.7787300908007817</v>
      </c>
      <c r="R93" s="31">
        <f t="shared" si="13"/>
        <v>0.94797153179869365</v>
      </c>
      <c r="S93" s="31">
        <f t="shared" si="13"/>
        <v>0.9920305707255741</v>
      </c>
      <c r="T93" s="31">
        <f t="shared" si="13"/>
        <v>0.99913706183496309</v>
      </c>
      <c r="U93" s="31">
        <f t="shared" si="13"/>
        <v>0.99992901689425429</v>
      </c>
      <c r="V93" s="31">
        <f t="shared" si="14"/>
        <v>0.99999529517845309</v>
      </c>
      <c r="W93" s="31">
        <f t="shared" si="14"/>
        <v>0.99999973660131136</v>
      </c>
      <c r="X93" s="31">
        <f t="shared" si="14"/>
        <v>0.99999998706857873</v>
      </c>
      <c r="Y93" s="31">
        <f t="shared" si="14"/>
        <v>0.99999999942640749</v>
      </c>
      <c r="Z93" s="31">
        <f t="shared" si="14"/>
        <v>0.99999999997645783</v>
      </c>
      <c r="AA93" s="32">
        <v>1</v>
      </c>
    </row>
    <row r="94" spans="1:27">
      <c r="A94" s="45">
        <v>5.3</v>
      </c>
      <c r="B94" s="12">
        <f t="shared" si="1"/>
        <v>1.6677068205580761</v>
      </c>
      <c r="C94" s="12">
        <f t="shared" si="2"/>
        <v>3.9501623166601512</v>
      </c>
      <c r="D94" s="12">
        <f t="shared" si="3"/>
        <v>51.943797494319526</v>
      </c>
      <c r="E94" s="12">
        <f t="shared" si="4"/>
        <v>0.10594762491459364</v>
      </c>
      <c r="F94" s="12">
        <v>0</v>
      </c>
      <c r="G94" s="12">
        <f t="shared" si="13"/>
        <v>1.2120578659072473E-180</v>
      </c>
      <c r="H94" s="12">
        <f t="shared" si="13"/>
        <v>7.6913331577888647E-75</v>
      </c>
      <c r="I94" s="12">
        <f t="shared" si="13"/>
        <v>1.6537981305785596E-41</v>
      </c>
      <c r="J94" s="12">
        <f t="shared" si="13"/>
        <v>4.867357103257711E-25</v>
      </c>
      <c r="K94" s="12">
        <f t="shared" si="13"/>
        <v>4.1845045389300931E-17</v>
      </c>
      <c r="L94" s="31">
        <f t="shared" si="13"/>
        <v>1.0601734854160009E-10</v>
      </c>
      <c r="M94" s="31">
        <f t="shared" si="13"/>
        <v>1.1736557652408663E-6</v>
      </c>
      <c r="N94" s="31">
        <f t="shared" si="13"/>
        <v>4.3357587079140281E-4</v>
      </c>
      <c r="O94" s="31">
        <f t="shared" si="13"/>
        <v>1.70588494552395E-2</v>
      </c>
      <c r="P94" s="31">
        <f t="shared" si="13"/>
        <v>0.14802296664694037</v>
      </c>
      <c r="Q94" s="31">
        <f t="shared" si="13"/>
        <v>0.4677256625227969</v>
      </c>
      <c r="R94" s="31">
        <f t="shared" si="13"/>
        <v>0.78628112419271912</v>
      </c>
      <c r="S94" s="31">
        <f t="shared" si="13"/>
        <v>0.94452600382693452</v>
      </c>
      <c r="T94" s="31">
        <f t="shared" si="13"/>
        <v>0.99014214665935596</v>
      </c>
      <c r="U94" s="31">
        <f t="shared" si="13"/>
        <v>0.9987192179393618</v>
      </c>
      <c r="V94" s="31">
        <f t="shared" si="14"/>
        <v>0.9998708869358206</v>
      </c>
      <c r="W94" s="31">
        <f t="shared" si="14"/>
        <v>0.9999893847828506</v>
      </c>
      <c r="X94" s="31">
        <f t="shared" si="14"/>
        <v>0.99999925856429894</v>
      </c>
      <c r="Y94" s="31">
        <f t="shared" si="14"/>
        <v>0.99999995452356372</v>
      </c>
      <c r="Z94" s="31">
        <f t="shared" si="14"/>
        <v>0.99999999748388224</v>
      </c>
      <c r="AA94" s="31">
        <v>1</v>
      </c>
    </row>
    <row r="95" spans="1:27">
      <c r="A95" s="45">
        <v>5.4</v>
      </c>
      <c r="B95" s="12">
        <f t="shared" si="1"/>
        <v>1.6863989535702288</v>
      </c>
      <c r="C95" s="12">
        <f t="shared" si="2"/>
        <v>4.0477693307557976</v>
      </c>
      <c r="D95" s="12">
        <f t="shared" si="3"/>
        <v>57.269564998778371</v>
      </c>
      <c r="E95" s="12">
        <f t="shared" si="4"/>
        <v>0.103888180625785</v>
      </c>
      <c r="F95" s="12">
        <v>0</v>
      </c>
      <c r="G95" s="12">
        <f t="shared" si="13"/>
        <v>6.6687772332157335E-200</v>
      </c>
      <c r="H95" s="12">
        <f t="shared" si="13"/>
        <v>1.4539983697082468E-85</v>
      </c>
      <c r="I95" s="12">
        <f t="shared" si="13"/>
        <v>6.6609690285612061E-49</v>
      </c>
      <c r="J95" s="12">
        <f t="shared" si="13"/>
        <v>1.8219806936131102E-30</v>
      </c>
      <c r="K95" s="12">
        <f t="shared" si="13"/>
        <v>2.0408980904900323E-21</v>
      </c>
      <c r="L95" s="31">
        <f t="shared" si="13"/>
        <v>5.9528533538766911E-14</v>
      </c>
      <c r="M95" s="31">
        <f t="shared" si="13"/>
        <v>4.3555259019039048E-9</v>
      </c>
      <c r="N95" s="31">
        <f t="shared" si="13"/>
        <v>7.2556079979690935E-6</v>
      </c>
      <c r="O95" s="31">
        <f t="shared" si="13"/>
        <v>9.6689455677578806E-4</v>
      </c>
      <c r="P95" s="31">
        <f t="shared" si="13"/>
        <v>2.2470609583714163E-2</v>
      </c>
      <c r="Q95" s="31">
        <f t="shared" si="13"/>
        <v>0.15335901147771513</v>
      </c>
      <c r="R95" s="31">
        <f t="shared" si="13"/>
        <v>0.44819476277927794</v>
      </c>
      <c r="S95" s="31">
        <f t="shared" si="13"/>
        <v>0.75364512154897123</v>
      </c>
      <c r="T95" s="31">
        <f t="shared" si="13"/>
        <v>0.92483950973274986</v>
      </c>
      <c r="U95" s="31">
        <f t="shared" si="13"/>
        <v>0.98366930002151998</v>
      </c>
      <c r="V95" s="31">
        <f t="shared" si="14"/>
        <v>0.9973388946693611</v>
      </c>
      <c r="W95" s="31">
        <f t="shared" si="14"/>
        <v>0.99965846185554663</v>
      </c>
      <c r="X95" s="31">
        <f t="shared" si="14"/>
        <v>0.99996397502963175</v>
      </c>
      <c r="Y95" s="31">
        <f t="shared" si="14"/>
        <v>0.99999676360782708</v>
      </c>
      <c r="Z95" s="31">
        <f t="shared" si="14"/>
        <v>0.9999997449237954</v>
      </c>
      <c r="AA95" s="31">
        <v>1</v>
      </c>
    </row>
    <row r="96" spans="1:27">
      <c r="A96" s="45">
        <v>5.5</v>
      </c>
      <c r="B96" s="12">
        <f t="shared" si="1"/>
        <v>1.7047480922384253</v>
      </c>
      <c r="C96" s="12">
        <f t="shared" si="2"/>
        <v>4.1516972283963147</v>
      </c>
      <c r="D96" s="12">
        <f t="shared" si="3"/>
        <v>63.541753699921742</v>
      </c>
      <c r="E96" s="12">
        <f t="shared" si="4"/>
        <v>0.10186652644591124</v>
      </c>
      <c r="F96" s="12">
        <v>0</v>
      </c>
      <c r="G96" s="12">
        <f t="shared" si="13"/>
        <v>1.1108951470882263E-221</v>
      </c>
      <c r="H96" s="12">
        <f t="shared" si="13"/>
        <v>5.3860701170533831E-98</v>
      </c>
      <c r="I96" s="12">
        <f t="shared" si="13"/>
        <v>1.1799952340118854E-57</v>
      </c>
      <c r="J96" s="12">
        <f t="shared" si="13"/>
        <v>5.0081054887596617E-37</v>
      </c>
      <c r="K96" s="12">
        <f t="shared" si="13"/>
        <v>9.9293970100764931E-27</v>
      </c>
      <c r="L96" s="31">
        <f t="shared" si="13"/>
        <v>4.5308333735872898E-18</v>
      </c>
      <c r="M96" s="31">
        <f t="shared" si="13"/>
        <v>2.8187753285921808E-12</v>
      </c>
      <c r="N96" s="31">
        <f t="shared" si="13"/>
        <v>2.6303180729334829E-8</v>
      </c>
      <c r="O96" s="31">
        <f t="shared" si="13"/>
        <v>1.4449054249965343E-5</v>
      </c>
      <c r="P96" s="31">
        <f t="shared" si="13"/>
        <v>1.0874925047874573E-3</v>
      </c>
      <c r="Q96" s="31">
        <f t="shared" si="13"/>
        <v>1.9572746147957787E-2</v>
      </c>
      <c r="R96" s="31">
        <f t="shared" si="13"/>
        <v>0.12444615623738498</v>
      </c>
      <c r="S96" s="31">
        <f t="shared" si="13"/>
        <v>0.37425064842804201</v>
      </c>
      <c r="T96" s="31">
        <f t="shared" si="13"/>
        <v>0.67245749759682694</v>
      </c>
      <c r="U96" s="31">
        <f t="shared" si="13"/>
        <v>0.87664565034308506</v>
      </c>
      <c r="V96" s="31">
        <f t="shared" si="13"/>
        <v>0.9657670709790509</v>
      </c>
      <c r="W96" s="31">
        <f t="shared" si="14"/>
        <v>0.99272621287361673</v>
      </c>
      <c r="X96" s="31">
        <f t="shared" si="14"/>
        <v>0.99876892335659995</v>
      </c>
      <c r="Y96" s="31">
        <f t="shared" si="14"/>
        <v>0.99982794183286416</v>
      </c>
      <c r="Z96" s="31">
        <f t="shared" si="14"/>
        <v>0.99997951097489701</v>
      </c>
      <c r="AA96" s="31">
        <v>1</v>
      </c>
    </row>
    <row r="97" spans="1:27">
      <c r="A97" s="45">
        <v>5.6</v>
      </c>
      <c r="B97" s="12">
        <f t="shared" si="1"/>
        <v>1.7227665977411035</v>
      </c>
      <c r="C97" s="12">
        <f t="shared" si="2"/>
        <v>4.2622103738498023</v>
      </c>
      <c r="D97" s="12">
        <f t="shared" si="3"/>
        <v>70.966673097558299</v>
      </c>
      <c r="E97" s="12">
        <f t="shared" si="4"/>
        <v>9.9881300456655109E-2</v>
      </c>
      <c r="F97" s="12">
        <v>0</v>
      </c>
      <c r="G97" s="12">
        <f t="shared" si="13"/>
        <v>2.4953923294859877E-246</v>
      </c>
      <c r="H97" s="12">
        <f t="shared" si="13"/>
        <v>2.085597815804812E-112</v>
      </c>
      <c r="I97" s="12">
        <f t="shared" si="13"/>
        <v>5.3171175257494867E-68</v>
      </c>
      <c r="J97" s="12">
        <f t="shared" si="13"/>
        <v>6.15776570742137E-45</v>
      </c>
      <c r="K97" s="12">
        <f t="shared" si="13"/>
        <v>3.028628978229534E-33</v>
      </c>
      <c r="L97" s="31">
        <f t="shared" si="13"/>
        <v>3.0303000486640461E-23</v>
      </c>
      <c r="M97" s="31">
        <f t="shared" si="13"/>
        <v>2.1134020167197058E-16</v>
      </c>
      <c r="N97" s="31">
        <f t="shared" si="13"/>
        <v>1.398479988137539E-11</v>
      </c>
      <c r="O97" s="31">
        <f t="shared" si="13"/>
        <v>3.9032339695178529E-8</v>
      </c>
      <c r="P97" s="31">
        <f t="shared" si="13"/>
        <v>1.1550016022265908E-5</v>
      </c>
      <c r="Q97" s="31">
        <f t="shared" si="13"/>
        <v>6.6345317032490136E-4</v>
      </c>
      <c r="R97" s="31">
        <f t="shared" si="13"/>
        <v>1.1232674108992313E-2</v>
      </c>
      <c r="S97" s="31">
        <f t="shared" si="13"/>
        <v>7.5866999637049348E-2</v>
      </c>
      <c r="T97" s="31">
        <f t="shared" si="13"/>
        <v>0.25756945678409937</v>
      </c>
      <c r="U97" s="31">
        <f t="shared" si="13"/>
        <v>0.52987662587793338</v>
      </c>
      <c r="V97" s="31">
        <f t="shared" si="13"/>
        <v>0.7738830305629858</v>
      </c>
      <c r="W97" s="31">
        <f t="shared" si="14"/>
        <v>0.91706105067728916</v>
      </c>
      <c r="X97" s="31">
        <f t="shared" si="14"/>
        <v>0.97624317544463612</v>
      </c>
      <c r="Y97" s="31">
        <f t="shared" si="14"/>
        <v>0.99452524520612773</v>
      </c>
      <c r="Z97" s="31">
        <f t="shared" si="14"/>
        <v>0.99895444880339501</v>
      </c>
      <c r="AA97" s="31">
        <v>1</v>
      </c>
    </row>
    <row r="98" spans="1:27">
      <c r="A98" s="45">
        <v>5.7</v>
      </c>
      <c r="B98" s="12">
        <f t="shared" si="1"/>
        <v>1.7404661748405046</v>
      </c>
      <c r="C98" s="12">
        <f t="shared" si="2"/>
        <v>4.3795731313843653</v>
      </c>
      <c r="D98" s="12">
        <f t="shared" si="3"/>
        <v>79.803960327171083</v>
      </c>
      <c r="E98" s="12">
        <f t="shared" si="4"/>
        <v>9.7931213061707156E-2</v>
      </c>
      <c r="F98" s="12">
        <v>0</v>
      </c>
      <c r="G98" s="12">
        <f t="shared" si="13"/>
        <v>3.0074822565754808E-274</v>
      </c>
      <c r="H98" s="12">
        <f t="shared" si="13"/>
        <v>4.089256953534794E-129</v>
      </c>
      <c r="I98" s="12">
        <f t="shared" si="13"/>
        <v>3.2239767296249602E-80</v>
      </c>
      <c r="J98" s="12">
        <f t="shared" si="13"/>
        <v>1.8963413406137463E-54</v>
      </c>
      <c r="K98" s="12">
        <f t="shared" si="13"/>
        <v>3.355394133148843E-41</v>
      </c>
      <c r="L98" s="31">
        <f t="shared" si="13"/>
        <v>1.0675162159614616E-29</v>
      </c>
      <c r="M98" s="31">
        <f t="shared" si="13"/>
        <v>1.1307201780594211E-21</v>
      </c>
      <c r="N98" s="31">
        <f t="shared" si="13"/>
        <v>6.8650331053122496E-16</v>
      </c>
      <c r="O98" s="31">
        <f t="shared" si="13"/>
        <v>1.2200098643803993E-11</v>
      </c>
      <c r="P98" s="31">
        <f t="shared" si="13"/>
        <v>1.7408467077051675E-8</v>
      </c>
      <c r="Q98" s="31">
        <f t="shared" si="13"/>
        <v>3.8666330064440757E-6</v>
      </c>
      <c r="R98" s="31">
        <f t="shared" si="13"/>
        <v>2.1072369932884083E-4</v>
      </c>
      <c r="S98" s="31">
        <f t="shared" si="13"/>
        <v>3.9024237013212115E-3</v>
      </c>
      <c r="T98" s="31">
        <f t="shared" si="13"/>
        <v>3.1284805830288809E-2</v>
      </c>
      <c r="U98" s="31">
        <f t="shared" si="13"/>
        <v>0.13093803511335866</v>
      </c>
      <c r="V98" s="31">
        <f t="shared" si="13"/>
        <v>0.33295937450571145</v>
      </c>
      <c r="W98" s="31">
        <f t="shared" si="14"/>
        <v>0.58501554074097573</v>
      </c>
      <c r="X98" s="31">
        <f t="shared" si="14"/>
        <v>0.79467019906615632</v>
      </c>
      <c r="Y98" s="31">
        <f t="shared" si="14"/>
        <v>0.9187255406714272</v>
      </c>
      <c r="Z98" s="31">
        <f t="shared" si="14"/>
        <v>0.97379980585259185</v>
      </c>
      <c r="AA98" s="31">
        <v>1</v>
      </c>
    </row>
    <row r="99" spans="1:27">
      <c r="A99" s="45">
        <v>5.8</v>
      </c>
      <c r="B99" s="12">
        <f t="shared" si="1"/>
        <v>1.7578579175523736</v>
      </c>
      <c r="C99" s="12">
        <f t="shared" si="2"/>
        <v>4.5040498652681027</v>
      </c>
      <c r="D99" s="12">
        <f t="shared" si="3"/>
        <v>90.38242775554167</v>
      </c>
      <c r="E99" s="12">
        <f t="shared" si="4"/>
        <v>9.6015041955012093E-2</v>
      </c>
      <c r="F99" s="12">
        <v>0</v>
      </c>
      <c r="G99" s="12">
        <f t="shared" si="13"/>
        <v>6.8063762595943014E-306</v>
      </c>
      <c r="H99" s="12">
        <f t="shared" si="13"/>
        <v>1.76087712069852E-148</v>
      </c>
      <c r="I99" s="12">
        <f t="shared" si="13"/>
        <v>1.2560272244339476E-94</v>
      </c>
      <c r="J99" s="12">
        <f t="shared" si="13"/>
        <v>7.431140223303071E-66</v>
      </c>
      <c r="K99" s="12">
        <f t="shared" si="13"/>
        <v>7.1208748431672265E-51</v>
      </c>
      <c r="L99" s="31">
        <f t="shared" si="13"/>
        <v>1.084340651325328E-37</v>
      </c>
      <c r="M99" s="31">
        <f t="shared" si="13"/>
        <v>2.4354156674374977E-28</v>
      </c>
      <c r="N99" s="31">
        <f t="shared" si="13"/>
        <v>1.7991529714751703E-21</v>
      </c>
      <c r="O99" s="31">
        <f t="shared" si="13"/>
        <v>2.6025934299843317E-16</v>
      </c>
      <c r="P99" s="31">
        <f t="shared" si="13"/>
        <v>2.2295985831486371E-12</v>
      </c>
      <c r="Q99" s="31">
        <f t="shared" si="13"/>
        <v>2.34062009253718E-9</v>
      </c>
      <c r="R99" s="31">
        <f t="shared" si="13"/>
        <v>4.963515989331313E-7</v>
      </c>
      <c r="S99" s="31">
        <f t="shared" si="13"/>
        <v>3.0369590118484169E-5</v>
      </c>
      <c r="T99" s="31">
        <f t="shared" si="13"/>
        <v>6.9714200425852191E-4</v>
      </c>
      <c r="U99" s="31">
        <f t="shared" si="13"/>
        <v>7.3276163301025932E-3</v>
      </c>
      <c r="V99" s="31">
        <f t="shared" si="13"/>
        <v>4.1211056032034343E-2</v>
      </c>
      <c r="W99" s="31">
        <f t="shared" si="14"/>
        <v>0.14065024670512161</v>
      </c>
      <c r="X99" s="31">
        <f t="shared" si="14"/>
        <v>0.3237360507513638</v>
      </c>
      <c r="Y99" s="31">
        <f t="shared" si="14"/>
        <v>0.55092214094778647</v>
      </c>
      <c r="Z99" s="31">
        <f t="shared" si="14"/>
        <v>0.75241636396109746</v>
      </c>
      <c r="AA99" s="31">
        <v>1</v>
      </c>
    </row>
    <row r="100" spans="1:27">
      <c r="A100" s="45">
        <v>5.9</v>
      </c>
      <c r="B100" s="12">
        <f t="shared" si="1"/>
        <v>1.7749523509116738</v>
      </c>
      <c r="C100" s="12">
        <f t="shared" si="2"/>
        <v>4.635904939769115</v>
      </c>
      <c r="D100" s="12">
        <f t="shared" si="3"/>
        <v>103.12119425388484</v>
      </c>
      <c r="E100" s="12">
        <f t="shared" si="4"/>
        <v>9.4131627519145278E-2</v>
      </c>
      <c r="F100" s="12">
        <v>0</v>
      </c>
      <c r="G100" s="12">
        <f t="shared" si="13"/>
        <v>0</v>
      </c>
      <c r="H100" s="12">
        <f t="shared" si="13"/>
        <v>6.3647805439765991E-171</v>
      </c>
      <c r="I100" s="12">
        <f t="shared" si="13"/>
        <v>1.3346596627685074E-111</v>
      </c>
      <c r="J100" s="12">
        <f t="shared" si="13"/>
        <v>1.6831618103245475E-79</v>
      </c>
      <c r="K100" s="12">
        <f t="shared" si="13"/>
        <v>1.3697173495768546E-62</v>
      </c>
      <c r="L100" s="31">
        <f t="shared" si="13"/>
        <v>1.5654083393072389E-47</v>
      </c>
      <c r="M100" s="31">
        <f t="shared" si="13"/>
        <v>1.075978519497674E-36</v>
      </c>
      <c r="N100" s="31">
        <f t="shared" si="13"/>
        <v>1.3183946294251711E-28</v>
      </c>
      <c r="O100" s="31">
        <f t="shared" si="13"/>
        <v>2.0305823243251257E-22</v>
      </c>
      <c r="P100" s="31">
        <f t="shared" si="13"/>
        <v>1.324877197705539E-17</v>
      </c>
      <c r="Q100" s="31">
        <f t="shared" si="13"/>
        <v>8.1504380418360933E-14</v>
      </c>
      <c r="R100" s="31">
        <f t="shared" si="13"/>
        <v>8.2007648783452804E-11</v>
      </c>
      <c r="S100" s="31">
        <f t="shared" si="13"/>
        <v>1.9994041797799144E-8</v>
      </c>
      <c r="T100" s="31">
        <f t="shared" si="13"/>
        <v>1.5770039580864648E-6</v>
      </c>
      <c r="U100" s="31">
        <f t="shared" si="13"/>
        <v>5.0044362991275015E-5</v>
      </c>
      <c r="V100" s="31">
        <f t="shared" si="13"/>
        <v>7.561713562029837E-4</v>
      </c>
      <c r="W100" s="31">
        <f t="shared" si="14"/>
        <v>6.2147226298223668E-3</v>
      </c>
      <c r="X100" s="31">
        <f t="shared" si="14"/>
        <v>3.0938351205285874E-2</v>
      </c>
      <c r="Y100" s="31">
        <f t="shared" si="14"/>
        <v>0.10200674760951878</v>
      </c>
      <c r="Z100" s="31">
        <f t="shared" si="14"/>
        <v>0.24040798064136204</v>
      </c>
      <c r="AA100" s="31">
        <v>1</v>
      </c>
    </row>
    <row r="101" spans="1:27">
      <c r="A101" s="45">
        <v>6</v>
      </c>
      <c r="B101" s="12">
        <f t="shared" si="1"/>
        <v>1.791759469228055</v>
      </c>
      <c r="C101" s="12">
        <f t="shared" si="2"/>
        <v>4.7754027191555046</v>
      </c>
      <c r="D101" s="12">
        <f t="shared" si="3"/>
        <v>118.55805060599862</v>
      </c>
      <c r="E101" s="12">
        <f t="shared" si="4"/>
        <v>9.2279868610437632E-2</v>
      </c>
      <c r="F101" s="12">
        <v>0</v>
      </c>
      <c r="G101" s="12">
        <f t="shared" si="13"/>
        <v>0</v>
      </c>
      <c r="H101" s="12">
        <f t="shared" si="13"/>
        <v>6.3872194274019384E-197</v>
      </c>
      <c r="I101" s="12">
        <f t="shared" si="13"/>
        <v>1.434687950651214E-131</v>
      </c>
      <c r="J101" s="12">
        <f t="shared" si="13"/>
        <v>8.8004763623639787E-96</v>
      </c>
      <c r="K101" s="12">
        <f t="shared" si="13"/>
        <v>9.9723369552182701E-77</v>
      </c>
      <c r="L101" s="31">
        <f t="shared" si="13"/>
        <v>1.4026798556612641E-59</v>
      </c>
      <c r="M101" s="31">
        <f t="shared" si="13"/>
        <v>4.4163850193604762E-47</v>
      </c>
      <c r="N101" s="31">
        <f t="shared" si="13"/>
        <v>1.2613056259903311E-37</v>
      </c>
      <c r="O101" s="31">
        <f t="shared" si="13"/>
        <v>2.7762367958740046E-30</v>
      </c>
      <c r="P101" s="31">
        <f t="shared" ref="P101:Z101" si="15">NORMDIST(LN(P$41),$C101,$E101,TRUE)</f>
        <v>1.7887492704083937E-24</v>
      </c>
      <c r="Q101" s="31">
        <f t="shared" si="15"/>
        <v>8.1415884372770277E-20</v>
      </c>
      <c r="R101" s="31">
        <f t="shared" si="15"/>
        <v>4.8074689040721191E-16</v>
      </c>
      <c r="S101" s="31">
        <f t="shared" si="15"/>
        <v>5.686808496900653E-13</v>
      </c>
      <c r="T101" s="31">
        <f t="shared" si="15"/>
        <v>1.8554102359683616E-10</v>
      </c>
      <c r="U101" s="31">
        <f t="shared" si="15"/>
        <v>2.125120146779486E-8</v>
      </c>
      <c r="V101" s="31">
        <f t="shared" si="15"/>
        <v>1.0289985681311009E-6</v>
      </c>
      <c r="W101" s="31">
        <f t="shared" si="15"/>
        <v>2.4373536305355437E-5</v>
      </c>
      <c r="X101" s="31">
        <f t="shared" si="15"/>
        <v>3.1735865087689774E-4</v>
      </c>
      <c r="Y101" s="31">
        <f t="shared" si="15"/>
        <v>2.4973907535833506E-3</v>
      </c>
      <c r="Z101" s="31">
        <f t="shared" si="15"/>
        <v>1.2846550881527863E-2</v>
      </c>
      <c r="AA101" s="31">
        <v>1</v>
      </c>
    </row>
    <row r="103" spans="1:27">
      <c r="E103" s="25"/>
    </row>
    <row r="104" spans="1:27">
      <c r="A104" s="44" t="s">
        <v>50</v>
      </c>
    </row>
    <row r="105" spans="1:27" ht="15.75" thickBot="1">
      <c r="A105" s="33" t="s">
        <v>18</v>
      </c>
      <c r="B105" s="47" t="s">
        <v>20</v>
      </c>
      <c r="C105" s="47" t="s">
        <v>21</v>
      </c>
      <c r="D105" s="47" t="s">
        <v>22</v>
      </c>
      <c r="E105" s="47" t="s">
        <v>23</v>
      </c>
      <c r="F105" s="47" t="s">
        <v>24</v>
      </c>
      <c r="G105" s="47" t="s">
        <v>25</v>
      </c>
      <c r="H105" s="47" t="s">
        <v>26</v>
      </c>
      <c r="I105" s="47" t="s">
        <v>27</v>
      </c>
      <c r="J105" s="47" t="s">
        <v>28</v>
      </c>
      <c r="K105" s="47" t="s">
        <v>29</v>
      </c>
      <c r="L105" s="47" t="s">
        <v>30</v>
      </c>
      <c r="M105" s="47" t="s">
        <v>31</v>
      </c>
      <c r="N105" s="47" t="s">
        <v>32</v>
      </c>
      <c r="O105" s="47" t="s">
        <v>33</v>
      </c>
      <c r="P105" s="47" t="s">
        <v>34</v>
      </c>
      <c r="Q105" s="47" t="s">
        <v>35</v>
      </c>
      <c r="R105" s="47" t="s">
        <v>36</v>
      </c>
      <c r="S105" s="47" t="s">
        <v>37</v>
      </c>
      <c r="T105" s="47" t="s">
        <v>38</v>
      </c>
      <c r="U105" s="47" t="s">
        <v>39</v>
      </c>
      <c r="V105" s="47" t="s">
        <v>40</v>
      </c>
    </row>
    <row r="106" spans="1:27" ht="15.75" thickTop="1">
      <c r="A106" s="34">
        <v>0.1</v>
      </c>
      <c r="B106" s="12">
        <v>0</v>
      </c>
      <c r="C106" s="12">
        <f>H42-G42</f>
        <v>0.54647438853598873</v>
      </c>
      <c r="D106" s="12">
        <f t="shared" ref="D106:V119" si="16">I42-H42</f>
        <v>3.1681039907830888E-2</v>
      </c>
      <c r="E106" s="12">
        <f t="shared" si="16"/>
        <v>2.5473339623545144E-3</v>
      </c>
      <c r="F106" s="12">
        <f t="shared" si="16"/>
        <v>2.8054346968331423E-4</v>
      </c>
      <c r="G106" s="12">
        <f t="shared" si="16"/>
        <v>6.9207014487870921E-5</v>
      </c>
      <c r="H106" s="12">
        <f t="shared" si="16"/>
        <v>1.3224707126613389E-5</v>
      </c>
      <c r="I106" s="12">
        <f t="shared" si="16"/>
        <v>3.0063305315186639E-6</v>
      </c>
      <c r="J106" s="12">
        <f t="shared" si="16"/>
        <v>7.8390606583766953E-7</v>
      </c>
      <c r="K106" s="12">
        <f t="shared" si="16"/>
        <v>2.2848579739331853E-7</v>
      </c>
      <c r="L106" s="12">
        <f t="shared" si="16"/>
        <v>7.3045127835236201E-8</v>
      </c>
      <c r="M106" s="12">
        <f t="shared" si="16"/>
        <v>2.5248382495846045E-8</v>
      </c>
      <c r="N106" s="12">
        <f t="shared" si="16"/>
        <v>9.3314808102817892E-9</v>
      </c>
      <c r="O106" s="12">
        <f t="shared" si="16"/>
        <v>3.6551723869848729E-9</v>
      </c>
      <c r="P106" s="12">
        <f t="shared" si="16"/>
        <v>1.5066388137086051E-9</v>
      </c>
      <c r="Q106" s="12">
        <f t="shared" si="16"/>
        <v>6.4970351321136377E-10</v>
      </c>
      <c r="R106" s="12">
        <f t="shared" si="16"/>
        <v>2.9168600867990335E-10</v>
      </c>
      <c r="S106" s="12">
        <f t="shared" si="16"/>
        <v>1.3577983182244679E-10</v>
      </c>
      <c r="T106" s="12">
        <f t="shared" si="16"/>
        <v>6.5307870222852671E-11</v>
      </c>
      <c r="U106" s="12">
        <f t="shared" si="16"/>
        <v>3.2360558677169138E-11</v>
      </c>
      <c r="V106" s="12">
        <f t="shared" si="16"/>
        <v>3.5498715078574605E-11</v>
      </c>
    </row>
    <row r="107" spans="1:27">
      <c r="A107" s="35">
        <v>0.2</v>
      </c>
      <c r="B107" s="12">
        <v>0</v>
      </c>
      <c r="C107" s="12">
        <f t="shared" ref="C107:K122" si="17">H43-G43</f>
        <v>0.66593794397121475</v>
      </c>
      <c r="D107" s="12">
        <f t="shared" si="16"/>
        <v>3.1960042700872382E-2</v>
      </c>
      <c r="E107" s="12">
        <f t="shared" si="16"/>
        <v>1.5994488965370701E-3</v>
      </c>
      <c r="F107" s="12">
        <f t="shared" si="16"/>
        <v>1.1242877602224421E-4</v>
      </c>
      <c r="G107" s="12">
        <f t="shared" si="16"/>
        <v>1.9196099576346271E-5</v>
      </c>
      <c r="H107" s="12">
        <f t="shared" si="16"/>
        <v>2.4487933019123886E-6</v>
      </c>
      <c r="I107" s="12">
        <f t="shared" si="16"/>
        <v>3.8368656929410605E-7</v>
      </c>
      <c r="J107" s="12">
        <f t="shared" si="16"/>
        <v>7.0876589153279212E-8</v>
      </c>
      <c r="K107" s="12">
        <f t="shared" si="16"/>
        <v>1.4983860263662052E-8</v>
      </c>
      <c r="L107" s="12">
        <f t="shared" si="16"/>
        <v>3.5457425884288796E-9</v>
      </c>
      <c r="M107" s="12">
        <f t="shared" si="16"/>
        <v>9.2337537616060672E-10</v>
      </c>
      <c r="N107" s="12">
        <f t="shared" si="16"/>
        <v>2.6113289308682397E-10</v>
      </c>
      <c r="O107" s="12">
        <f t="shared" si="16"/>
        <v>7.9349748993706726E-11</v>
      </c>
      <c r="P107" s="12">
        <f t="shared" si="16"/>
        <v>2.5685342741610384E-11</v>
      </c>
      <c r="Q107" s="12">
        <f t="shared" si="16"/>
        <v>8.79429862266079E-12</v>
      </c>
      <c r="R107" s="12">
        <f t="shared" si="16"/>
        <v>3.1659119770210964E-12</v>
      </c>
      <c r="S107" s="12">
        <f t="shared" si="16"/>
        <v>1.1924905507498806E-12</v>
      </c>
      <c r="T107" s="12">
        <f t="shared" si="16"/>
        <v>4.6784798257704097E-13</v>
      </c>
      <c r="U107" s="12">
        <f t="shared" si="16"/>
        <v>1.9062529332813938E-13</v>
      </c>
      <c r="V107" s="12">
        <f t="shared" si="16"/>
        <v>1.446620601086579E-13</v>
      </c>
    </row>
    <row r="108" spans="1:27">
      <c r="A108" s="34">
        <v>0.3</v>
      </c>
      <c r="B108" s="12">
        <v>0</v>
      </c>
      <c r="C108" s="12">
        <f t="shared" si="17"/>
        <v>0.76734078687270313</v>
      </c>
      <c r="D108" s="12">
        <f t="shared" si="16"/>
        <v>4.061799437764968E-2</v>
      </c>
      <c r="E108" s="12">
        <f t="shared" si="16"/>
        <v>1.5765400616829517E-3</v>
      </c>
      <c r="F108" s="12">
        <f t="shared" si="16"/>
        <v>8.3090088131676509E-5</v>
      </c>
      <c r="G108" s="12">
        <f t="shared" si="16"/>
        <v>1.1088798038461078E-5</v>
      </c>
      <c r="H108" s="12">
        <f t="shared" si="16"/>
        <v>1.0675049230135514E-6</v>
      </c>
      <c r="I108" s="12">
        <f t="shared" si="16"/>
        <v>1.2832819928920713E-7</v>
      </c>
      <c r="J108" s="12">
        <f t="shared" si="16"/>
        <v>1.8478603647231751E-8</v>
      </c>
      <c r="K108" s="12">
        <f t="shared" si="16"/>
        <v>3.089543842982323E-9</v>
      </c>
      <c r="L108" s="12">
        <f t="shared" si="16"/>
        <v>5.8576110628649758E-10</v>
      </c>
      <c r="M108" s="12">
        <f t="shared" si="16"/>
        <v>1.2364498314099137E-10</v>
      </c>
      <c r="N108" s="12">
        <f t="shared" si="16"/>
        <v>2.8639202120928076E-11</v>
      </c>
      <c r="O108" s="12">
        <f t="shared" si="16"/>
        <v>7.1945782664784019E-12</v>
      </c>
      <c r="P108" s="12">
        <f t="shared" si="16"/>
        <v>1.9416690477669363E-12</v>
      </c>
      <c r="Q108" s="12">
        <f t="shared" si="16"/>
        <v>5.5844218138645374E-13</v>
      </c>
      <c r="R108" s="12">
        <f t="shared" si="16"/>
        <v>1.7008616737257398E-13</v>
      </c>
      <c r="S108" s="12">
        <f t="shared" si="16"/>
        <v>5.4622972811557702E-14</v>
      </c>
      <c r="T108" s="12">
        <f t="shared" si="16"/>
        <v>1.8318679906315083E-14</v>
      </c>
      <c r="U108" s="12">
        <f t="shared" si="16"/>
        <v>6.4392935428259079E-15</v>
      </c>
      <c r="V108" s="12">
        <f t="shared" si="16"/>
        <v>3.7747582837255322E-15</v>
      </c>
    </row>
    <row r="109" spans="1:27">
      <c r="A109" s="35">
        <v>0.4</v>
      </c>
      <c r="B109" s="12">
        <v>0</v>
      </c>
      <c r="C109" s="12">
        <f t="shared" si="17"/>
        <v>0.83532782695322527</v>
      </c>
      <c r="D109" s="12">
        <f t="shared" si="16"/>
        <v>5.7203207400142508E-2</v>
      </c>
      <c r="E109" s="12">
        <f t="shared" si="16"/>
        <v>1.9655442761017383E-3</v>
      </c>
      <c r="F109" s="12">
        <f t="shared" si="16"/>
        <v>8.5395111756536579E-5</v>
      </c>
      <c r="G109" s="12">
        <f t="shared" si="16"/>
        <v>9.5388457005407545E-6</v>
      </c>
      <c r="H109" s="12">
        <f t="shared" si="16"/>
        <v>7.423410215423587E-7</v>
      </c>
      <c r="I109" s="12">
        <f t="shared" si="16"/>
        <v>7.2652944327344926E-8</v>
      </c>
      <c r="J109" s="12">
        <f t="shared" si="16"/>
        <v>8.593335376616551E-9</v>
      </c>
      <c r="K109" s="12">
        <f t="shared" si="16"/>
        <v>1.1909583319535955E-9</v>
      </c>
      <c r="L109" s="12">
        <f t="shared" si="16"/>
        <v>1.8880297325551965E-10</v>
      </c>
      <c r="M109" s="12">
        <f t="shared" si="16"/>
        <v>3.3594571569039999E-11</v>
      </c>
      <c r="N109" s="12">
        <f t="shared" si="16"/>
        <v>6.6086025540812443E-12</v>
      </c>
      <c r="O109" s="12">
        <f t="shared" si="16"/>
        <v>1.4196421815881877E-12</v>
      </c>
      <c r="P109" s="12">
        <f t="shared" si="16"/>
        <v>3.2962521601120898E-13</v>
      </c>
      <c r="Q109" s="12">
        <f t="shared" si="16"/>
        <v>8.2045481519799068E-14</v>
      </c>
      <c r="R109" s="12">
        <f t="shared" si="16"/>
        <v>2.1760371282653068E-14</v>
      </c>
      <c r="S109" s="12">
        <f t="shared" si="16"/>
        <v>6.106226635438361E-15</v>
      </c>
      <c r="T109" s="12">
        <f t="shared" si="16"/>
        <v>1.8873791418627661E-15</v>
      </c>
      <c r="U109" s="12">
        <f t="shared" si="16"/>
        <v>0</v>
      </c>
      <c r="V109" s="12">
        <f t="shared" si="16"/>
        <v>0</v>
      </c>
    </row>
    <row r="110" spans="1:27">
      <c r="A110" s="34">
        <v>0.5</v>
      </c>
      <c r="B110" s="12">
        <v>0</v>
      </c>
      <c r="C110" s="12">
        <f t="shared" si="17"/>
        <v>0.8627376746972435</v>
      </c>
      <c r="D110" s="12">
        <f t="shared" si="16"/>
        <v>8.3896145232778219E-2</v>
      </c>
      <c r="E110" s="12">
        <f t="shared" si="16"/>
        <v>2.8062638356928238E-3</v>
      </c>
      <c r="F110" s="12">
        <f t="shared" si="16"/>
        <v>1.0751725690527625E-4</v>
      </c>
      <c r="G110" s="12">
        <f t="shared" si="16"/>
        <v>1.0537665367849058E-5</v>
      </c>
      <c r="H110" s="12">
        <f t="shared" si="16"/>
        <v>6.9501645871827833E-7</v>
      </c>
      <c r="I110" s="12">
        <f t="shared" si="16"/>
        <v>5.7656018848106783E-8</v>
      </c>
      <c r="J110" s="12">
        <f t="shared" si="16"/>
        <v>5.8025605431666349E-9</v>
      </c>
      <c r="K110" s="12">
        <f t="shared" si="16"/>
        <v>6.8785022122597184E-10</v>
      </c>
      <c r="L110" s="12">
        <f t="shared" si="16"/>
        <v>9.3799301659203138E-11</v>
      </c>
      <c r="M110" s="12">
        <f t="shared" si="16"/>
        <v>1.4437784301435386E-11</v>
      </c>
      <c r="N110" s="12">
        <f t="shared" si="16"/>
        <v>2.4702462297909733E-12</v>
      </c>
      <c r="O110" s="12">
        <f t="shared" si="16"/>
        <v>4.638511796883904E-13</v>
      </c>
      <c r="P110" s="12">
        <f t="shared" si="16"/>
        <v>9.4702024000525853E-14</v>
      </c>
      <c r="Q110" s="12">
        <f t="shared" si="16"/>
        <v>2.0761170560490427E-14</v>
      </c>
      <c r="R110" s="12">
        <f t="shared" si="16"/>
        <v>4.8849813083506888E-15</v>
      </c>
      <c r="S110" s="12">
        <f t="shared" si="16"/>
        <v>1.2212453270876722E-15</v>
      </c>
      <c r="T110" s="12">
        <f t="shared" si="16"/>
        <v>0</v>
      </c>
      <c r="U110" s="12">
        <f t="shared" si="16"/>
        <v>0</v>
      </c>
      <c r="V110" s="12">
        <f t="shared" si="16"/>
        <v>0</v>
      </c>
    </row>
    <row r="111" spans="1:27">
      <c r="A111" s="35">
        <v>0.6</v>
      </c>
      <c r="B111" s="12">
        <v>0</v>
      </c>
      <c r="C111" s="12">
        <f t="shared" si="17"/>
        <v>0.85128945301880887</v>
      </c>
      <c r="D111" s="12">
        <f t="shared" si="16"/>
        <v>0.12351984916698056</v>
      </c>
      <c r="E111" s="12">
        <f t="shared" si="16"/>
        <v>4.3279732910884716E-3</v>
      </c>
      <c r="F111" s="12">
        <f t="shared" si="16"/>
        <v>1.5404834255861033E-4</v>
      </c>
      <c r="G111" s="12">
        <f t="shared" si="16"/>
        <v>1.372674214739078E-5</v>
      </c>
      <c r="H111" s="12">
        <f t="shared" si="16"/>
        <v>7.9503472405484388E-7</v>
      </c>
      <c r="I111" s="12">
        <f t="shared" si="16"/>
        <v>5.7605394454540715E-8</v>
      </c>
      <c r="J111" s="12">
        <f t="shared" si="16"/>
        <v>5.0629463954621201E-9</v>
      </c>
      <c r="K111" s="12">
        <f t="shared" si="16"/>
        <v>5.2530158001218297E-10</v>
      </c>
      <c r="L111" s="12">
        <f t="shared" si="16"/>
        <v>6.2903682263026894E-11</v>
      </c>
      <c r="M111" s="12">
        <f t="shared" si="16"/>
        <v>8.5341733679911158E-12</v>
      </c>
      <c r="N111" s="12">
        <f t="shared" si="16"/>
        <v>1.2919665337562947E-12</v>
      </c>
      <c r="O111" s="12">
        <f t="shared" si="16"/>
        <v>2.156053113822054E-13</v>
      </c>
      <c r="P111" s="12">
        <f t="shared" si="16"/>
        <v>3.9190872769268026E-14</v>
      </c>
      <c r="Q111" s="12">
        <f t="shared" si="16"/>
        <v>7.6605388699135801E-15</v>
      </c>
      <c r="R111" s="12">
        <f t="shared" si="16"/>
        <v>1.6653345369377348E-15</v>
      </c>
      <c r="S111" s="12">
        <f t="shared" si="16"/>
        <v>0</v>
      </c>
      <c r="T111" s="12">
        <f t="shared" si="16"/>
        <v>0</v>
      </c>
      <c r="U111" s="12">
        <f t="shared" si="16"/>
        <v>0</v>
      </c>
      <c r="V111" s="12">
        <f t="shared" si="16"/>
        <v>0</v>
      </c>
    </row>
    <row r="112" spans="1:27">
      <c r="A112" s="34">
        <v>0.7</v>
      </c>
      <c r="B112" s="12">
        <v>0</v>
      </c>
      <c r="C112" s="12">
        <f t="shared" si="17"/>
        <v>0.80719204917172938</v>
      </c>
      <c r="D112" s="12">
        <f t="shared" si="16"/>
        <v>0.17836452346079756</v>
      </c>
      <c r="E112" s="12">
        <f t="shared" si="16"/>
        <v>6.940655762876613E-3</v>
      </c>
      <c r="F112" s="12">
        <f t="shared" si="16"/>
        <v>2.3934067727171549E-4</v>
      </c>
      <c r="G112" s="12">
        <f t="shared" si="16"/>
        <v>1.994306151442693E-5</v>
      </c>
      <c r="H112" s="12">
        <f t="shared" si="16"/>
        <v>1.0431284690470832E-6</v>
      </c>
      <c r="I112" s="12">
        <f t="shared" si="16"/>
        <v>6.7580201212891211E-8</v>
      </c>
      <c r="J112" s="12">
        <f t="shared" si="16"/>
        <v>5.2927560112436822E-9</v>
      </c>
      <c r="K112" s="12">
        <f t="shared" si="16"/>
        <v>4.8922621509461806E-10</v>
      </c>
      <c r="L112" s="12">
        <f t="shared" si="16"/>
        <v>5.2263748884229244E-11</v>
      </c>
      <c r="M112" s="12">
        <f t="shared" si="16"/>
        <v>6.3397065375170314E-12</v>
      </c>
      <c r="N112" s="12">
        <f t="shared" si="16"/>
        <v>8.603118217820338E-13</v>
      </c>
      <c r="O112" s="12">
        <f t="shared" si="16"/>
        <v>1.2900791546144319E-13</v>
      </c>
      <c r="P112" s="12">
        <f t="shared" si="16"/>
        <v>2.120525977034049E-14</v>
      </c>
      <c r="Q112" s="12">
        <f t="shared" si="16"/>
        <v>3.7747582837255322E-15</v>
      </c>
      <c r="R112" s="12">
        <f t="shared" si="16"/>
        <v>0</v>
      </c>
      <c r="S112" s="12">
        <f t="shared" si="16"/>
        <v>0</v>
      </c>
      <c r="T112" s="12">
        <f t="shared" si="16"/>
        <v>0</v>
      </c>
      <c r="U112" s="12">
        <f t="shared" si="16"/>
        <v>0</v>
      </c>
      <c r="V112" s="12">
        <f t="shared" si="16"/>
        <v>0</v>
      </c>
    </row>
    <row r="113" spans="1:22">
      <c r="A113" s="35">
        <v>0.8</v>
      </c>
      <c r="B113" s="12">
        <v>0</v>
      </c>
      <c r="C113" s="12">
        <f t="shared" si="17"/>
        <v>0.73724419583861855</v>
      </c>
      <c r="D113" s="12">
        <f t="shared" si="16"/>
        <v>0.24890049818901161</v>
      </c>
      <c r="E113" s="12">
        <f t="shared" si="16"/>
        <v>1.1275352216014611E-2</v>
      </c>
      <c r="F113" s="12">
        <f t="shared" si="16"/>
        <v>3.8994363531075216E-4</v>
      </c>
      <c r="G113" s="12">
        <f t="shared" si="16"/>
        <v>3.1087425415243786E-5</v>
      </c>
      <c r="H113" s="12">
        <f t="shared" si="16"/>
        <v>1.5021115147284547E-6</v>
      </c>
      <c r="I113" s="12">
        <f t="shared" si="16"/>
        <v>8.8665416231314964E-8</v>
      </c>
      <c r="J113" s="12">
        <f t="shared" si="16"/>
        <v>6.2879536022464322E-9</v>
      </c>
      <c r="K113" s="12">
        <f t="shared" si="16"/>
        <v>5.2509552261881254E-10</v>
      </c>
      <c r="L113" s="12">
        <f t="shared" si="16"/>
        <v>5.0668913509355207E-11</v>
      </c>
      <c r="M113" s="12">
        <f t="shared" si="16"/>
        <v>5.5568882828538335E-12</v>
      </c>
      <c r="N113" s="12">
        <f t="shared" si="16"/>
        <v>6.8289818244693379E-13</v>
      </c>
      <c r="O113" s="12">
        <f t="shared" si="16"/>
        <v>9.2925667161125602E-14</v>
      </c>
      <c r="P113" s="12">
        <f t="shared" si="16"/>
        <v>1.3766765505351941E-14</v>
      </c>
      <c r="Q113" s="12">
        <f t="shared" si="16"/>
        <v>2.3314683517128287E-15</v>
      </c>
      <c r="R113" s="12">
        <f t="shared" si="16"/>
        <v>0</v>
      </c>
      <c r="S113" s="12">
        <f t="shared" si="16"/>
        <v>0</v>
      </c>
      <c r="T113" s="12">
        <f t="shared" si="16"/>
        <v>0</v>
      </c>
      <c r="U113" s="12">
        <f t="shared" si="16"/>
        <v>0</v>
      </c>
      <c r="V113" s="12">
        <f t="shared" si="16"/>
        <v>0</v>
      </c>
    </row>
    <row r="114" spans="1:22">
      <c r="A114" s="34">
        <v>0.9</v>
      </c>
      <c r="B114" s="12">
        <v>0</v>
      </c>
      <c r="C114" s="12">
        <f t="shared" si="17"/>
        <v>0.6478874292771819</v>
      </c>
      <c r="D114" s="12">
        <f t="shared" si="16"/>
        <v>0.33264207036991167</v>
      </c>
      <c r="E114" s="12">
        <f t="shared" si="16"/>
        <v>1.8220068282046253E-2</v>
      </c>
      <c r="F114" s="12">
        <f t="shared" si="16"/>
        <v>6.504195037900784E-4</v>
      </c>
      <c r="G114" s="12">
        <f t="shared" si="16"/>
        <v>5.0559486676760024E-5</v>
      </c>
      <c r="H114" s="12">
        <f t="shared" si="16"/>
        <v>2.299209596934304E-6</v>
      </c>
      <c r="I114" s="12">
        <f t="shared" si="16"/>
        <v>1.255587669390934E-7</v>
      </c>
      <c r="J114" s="12">
        <f t="shared" si="16"/>
        <v>8.1680614494317183E-9</v>
      </c>
      <c r="K114" s="12">
        <f t="shared" si="16"/>
        <v>6.2318250559911803E-10</v>
      </c>
      <c r="L114" s="12">
        <f t="shared" si="16"/>
        <v>5.4854787379099434E-11</v>
      </c>
      <c r="M114" s="12">
        <f t="shared" si="16"/>
        <v>5.4871662769073737E-12</v>
      </c>
      <c r="N114" s="12">
        <f t="shared" si="16"/>
        <v>6.1550764485218679E-13</v>
      </c>
      <c r="O114" s="12">
        <f t="shared" si="16"/>
        <v>7.6494366396673286E-14</v>
      </c>
      <c r="P114" s="12">
        <f t="shared" si="16"/>
        <v>1.0436096431476471E-14</v>
      </c>
      <c r="Q114" s="12">
        <f t="shared" si="16"/>
        <v>1.5543122344752192E-15</v>
      </c>
      <c r="R114" s="12">
        <f t="shared" si="16"/>
        <v>0</v>
      </c>
      <c r="S114" s="12">
        <f t="shared" si="16"/>
        <v>0</v>
      </c>
      <c r="T114" s="12">
        <f t="shared" si="16"/>
        <v>0</v>
      </c>
      <c r="U114" s="12">
        <f t="shared" si="16"/>
        <v>0</v>
      </c>
      <c r="V114" s="12">
        <f t="shared" si="16"/>
        <v>0</v>
      </c>
    </row>
    <row r="115" spans="1:22">
      <c r="A115" s="35">
        <v>1</v>
      </c>
      <c r="B115" s="12">
        <v>0</v>
      </c>
      <c r="C115" s="12">
        <f t="shared" si="17"/>
        <v>0.5460709100096397</v>
      </c>
      <c r="D115" s="12">
        <f t="shared" si="16"/>
        <v>0.42371499291334469</v>
      </c>
      <c r="E115" s="12">
        <f t="shared" si="16"/>
        <v>2.8916331913313442E-2</v>
      </c>
      <c r="F115" s="12">
        <f t="shared" si="16"/>
        <v>1.0915548964288702E-3</v>
      </c>
      <c r="G115" s="12">
        <f t="shared" si="16"/>
        <v>8.4048886476839613E-5</v>
      </c>
      <c r="H115" s="12">
        <f t="shared" si="16"/>
        <v>3.6530581665195072E-6</v>
      </c>
      <c r="I115" s="12">
        <f t="shared" si="16"/>
        <v>1.8688860192739298E-7</v>
      </c>
      <c r="J115" s="12">
        <f t="shared" si="16"/>
        <v>1.1270184008260742E-8</v>
      </c>
      <c r="K115" s="12">
        <f t="shared" si="16"/>
        <v>7.9268980268665246E-10</v>
      </c>
      <c r="L115" s="12">
        <f t="shared" si="16"/>
        <v>6.415201703191542E-11</v>
      </c>
      <c r="M115" s="12">
        <f t="shared" si="16"/>
        <v>5.893951993130031E-12</v>
      </c>
      <c r="N115" s="12">
        <f t="shared" si="16"/>
        <v>6.0718097216749811E-13</v>
      </c>
      <c r="O115" s="12">
        <f t="shared" si="16"/>
        <v>6.9388939039072284E-14</v>
      </c>
      <c r="P115" s="12">
        <f t="shared" si="16"/>
        <v>8.659739592076221E-15</v>
      </c>
      <c r="Q115" s="12">
        <f t="shared" si="16"/>
        <v>1.2212453270876722E-15</v>
      </c>
      <c r="R115" s="12">
        <f t="shared" si="16"/>
        <v>0</v>
      </c>
      <c r="S115" s="12">
        <f t="shared" si="16"/>
        <v>0</v>
      </c>
      <c r="T115" s="12">
        <f t="shared" si="16"/>
        <v>0</v>
      </c>
      <c r="U115" s="12">
        <f t="shared" si="16"/>
        <v>0</v>
      </c>
      <c r="V115" s="12">
        <f t="shared" si="16"/>
        <v>0</v>
      </c>
    </row>
    <row r="116" spans="1:22">
      <c r="A116" s="34">
        <v>1.1000000000000001</v>
      </c>
      <c r="B116" s="12">
        <v>0</v>
      </c>
      <c r="C116" s="12">
        <f t="shared" si="17"/>
        <v>0.43979002282542756</v>
      </c>
      <c r="D116" s="12">
        <f t="shared" si="16"/>
        <v>0.51353661288477359</v>
      </c>
      <c r="E116" s="12">
        <f t="shared" si="16"/>
        <v>4.4684429811786774E-2</v>
      </c>
      <c r="F116" s="12">
        <f t="shared" si="16"/>
        <v>1.8201413367234798E-3</v>
      </c>
      <c r="G116" s="12">
        <f t="shared" si="16"/>
        <v>1.4066944675816817E-4</v>
      </c>
      <c r="H116" s="12">
        <f t="shared" si="16"/>
        <v>5.9185692498076037E-6</v>
      </c>
      <c r="I116" s="12">
        <f t="shared" si="16"/>
        <v>2.865859828338202E-7</v>
      </c>
      <c r="J116" s="12">
        <f t="shared" si="16"/>
        <v>1.6157245652514973E-8</v>
      </c>
      <c r="K116" s="12">
        <f t="shared" si="16"/>
        <v>1.0552162477139859E-9</v>
      </c>
      <c r="L116" s="12">
        <f t="shared" si="16"/>
        <v>7.9004913722258152E-11</v>
      </c>
      <c r="M116" s="12">
        <f t="shared" si="16"/>
        <v>6.7031935557793076E-12</v>
      </c>
      <c r="N116" s="12">
        <f t="shared" si="16"/>
        <v>6.3737903843730237E-13</v>
      </c>
      <c r="O116" s="12">
        <f t="shared" si="16"/>
        <v>6.7279515292284486E-14</v>
      </c>
      <c r="P116" s="12">
        <f t="shared" si="16"/>
        <v>7.7715611723760958E-15</v>
      </c>
      <c r="Q116" s="12">
        <f t="shared" si="16"/>
        <v>9.9920072216264089E-16</v>
      </c>
      <c r="R116" s="12">
        <f t="shared" si="16"/>
        <v>0</v>
      </c>
      <c r="S116" s="12">
        <f t="shared" si="16"/>
        <v>0</v>
      </c>
      <c r="T116" s="12">
        <f t="shared" si="16"/>
        <v>0</v>
      </c>
      <c r="U116" s="12">
        <f t="shared" si="16"/>
        <v>0</v>
      </c>
      <c r="V116" s="12">
        <f t="shared" si="16"/>
        <v>0</v>
      </c>
    </row>
    <row r="117" spans="1:22">
      <c r="A117" s="35">
        <v>1.2</v>
      </c>
      <c r="B117" s="12">
        <v>0</v>
      </c>
      <c r="C117" s="12">
        <f t="shared" si="17"/>
        <v>0.33737506644831849</v>
      </c>
      <c r="D117" s="12">
        <f t="shared" si="16"/>
        <v>0.59252921986271034</v>
      </c>
      <c r="E117" s="12">
        <f t="shared" si="16"/>
        <v>6.6858926712304423E-2</v>
      </c>
      <c r="F117" s="12">
        <f t="shared" si="16"/>
        <v>2.9887645590240819E-3</v>
      </c>
      <c r="G117" s="12">
        <f t="shared" si="16"/>
        <v>2.3441655075129297E-4</v>
      </c>
      <c r="H117" s="12">
        <f t="shared" si="16"/>
        <v>9.6489360983387229E-6</v>
      </c>
      <c r="I117" s="12">
        <f t="shared" si="16"/>
        <v>4.4592031145374023E-7</v>
      </c>
      <c r="J117" s="12">
        <f t="shared" si="16"/>
        <v>2.3664171178161553E-8</v>
      </c>
      <c r="K117" s="12">
        <f t="shared" si="16"/>
        <v>1.443236530285219E-9</v>
      </c>
      <c r="L117" s="12">
        <f t="shared" si="16"/>
        <v>1.0045209108966446E-10</v>
      </c>
      <c r="M117" s="12">
        <f t="shared" si="16"/>
        <v>7.9036777123064894E-12</v>
      </c>
      <c r="N117" s="12">
        <f t="shared" si="16"/>
        <v>6.9610983643997315E-13</v>
      </c>
      <c r="O117" s="12">
        <f t="shared" si="16"/>
        <v>6.794564910705958E-14</v>
      </c>
      <c r="P117" s="12">
        <f t="shared" si="16"/>
        <v>7.3274719625260332E-15</v>
      </c>
      <c r="Q117" s="12">
        <f t="shared" si="16"/>
        <v>8.8817841970012523E-16</v>
      </c>
      <c r="R117" s="12">
        <f t="shared" si="16"/>
        <v>0</v>
      </c>
      <c r="S117" s="12">
        <f t="shared" si="16"/>
        <v>0</v>
      </c>
      <c r="T117" s="12">
        <f t="shared" si="16"/>
        <v>0</v>
      </c>
      <c r="U117" s="12">
        <f t="shared" si="16"/>
        <v>0</v>
      </c>
      <c r="V117" s="12">
        <f t="shared" si="16"/>
        <v>0</v>
      </c>
    </row>
    <row r="118" spans="1:22">
      <c r="A118" s="34">
        <v>1.3</v>
      </c>
      <c r="B118" s="12">
        <v>0</v>
      </c>
      <c r="C118" s="12">
        <f t="shared" si="17"/>
        <v>0.24598925078970357</v>
      </c>
      <c r="D118" s="12">
        <f t="shared" si="16"/>
        <v>0.65226017775051437</v>
      </c>
      <c r="E118" s="12">
        <f t="shared" si="16"/>
        <v>9.6544656117788175E-2</v>
      </c>
      <c r="F118" s="12">
        <f t="shared" si="16"/>
        <v>4.8031733490413453E-3</v>
      </c>
      <c r="G118" s="12">
        <f t="shared" si="16"/>
        <v>3.8585633571530664E-4</v>
      </c>
      <c r="H118" s="12">
        <f t="shared" si="16"/>
        <v>1.5673133949012374E-5</v>
      </c>
      <c r="I118" s="12">
        <f t="shared" si="16"/>
        <v>6.9597972307544609E-7</v>
      </c>
      <c r="J118" s="12">
        <f t="shared" si="16"/>
        <v>3.4953464345122143E-8</v>
      </c>
      <c r="K118" s="12">
        <f t="shared" si="16"/>
        <v>1.9994971234282843E-9</v>
      </c>
      <c r="L118" s="12">
        <f t="shared" si="16"/>
        <v>1.2985090780404107E-10</v>
      </c>
      <c r="M118" s="12">
        <f t="shared" si="16"/>
        <v>9.5042862469085776E-12</v>
      </c>
      <c r="N118" s="12">
        <f t="shared" si="16"/>
        <v>7.7737816184253461E-13</v>
      </c>
      <c r="O118" s="12">
        <f t="shared" si="16"/>
        <v>7.049916206369744E-14</v>
      </c>
      <c r="P118" s="12">
        <f t="shared" si="16"/>
        <v>6.9944050551384862E-15</v>
      </c>
      <c r="Q118" s="12">
        <f t="shared" si="16"/>
        <v>0</v>
      </c>
      <c r="R118" s="12">
        <f t="shared" si="16"/>
        <v>0</v>
      </c>
      <c r="S118" s="12">
        <f t="shared" si="16"/>
        <v>0</v>
      </c>
      <c r="T118" s="12">
        <f t="shared" si="16"/>
        <v>0</v>
      </c>
      <c r="U118" s="12">
        <f t="shared" si="16"/>
        <v>0</v>
      </c>
      <c r="V118" s="12">
        <f t="shared" si="16"/>
        <v>0</v>
      </c>
    </row>
    <row r="119" spans="1:22">
      <c r="A119" s="35">
        <v>1.4</v>
      </c>
      <c r="B119" s="12">
        <v>0</v>
      </c>
      <c r="C119" s="12">
        <f t="shared" si="17"/>
        <v>0.17028918833506609</v>
      </c>
      <c r="D119" s="12">
        <f t="shared" si="16"/>
        <v>0.68719727873973957</v>
      </c>
      <c r="E119" s="12">
        <f t="shared" si="16"/>
        <v>0.13433896999801065</v>
      </c>
      <c r="F119" s="12">
        <f t="shared" si="16"/>
        <v>7.5243268365381422E-3</v>
      </c>
      <c r="G119" s="12">
        <f t="shared" si="16"/>
        <v>6.2386006732695343E-4</v>
      </c>
      <c r="H119" s="12">
        <f t="shared" si="16"/>
        <v>2.5183895741909268E-5</v>
      </c>
      <c r="I119" s="12">
        <f t="shared" si="16"/>
        <v>1.0803130975345354E-6</v>
      </c>
      <c r="J119" s="12">
        <f t="shared" si="16"/>
        <v>5.1559322478134106E-8</v>
      </c>
      <c r="K119" s="12">
        <f t="shared" si="16"/>
        <v>2.7755902021198153E-9</v>
      </c>
      <c r="L119" s="12">
        <f t="shared" ref="L119:V134" si="18">Q55-P55</f>
        <v>1.686324413441298E-10</v>
      </c>
      <c r="M119" s="12">
        <f t="shared" si="18"/>
        <v>1.1506795516424972E-11</v>
      </c>
      <c r="N119" s="12">
        <f t="shared" si="18"/>
        <v>8.7585494412678599E-13</v>
      </c>
      <c r="O119" s="12">
        <f t="shared" si="18"/>
        <v>7.3718808835110394E-14</v>
      </c>
      <c r="P119" s="12">
        <f t="shared" si="18"/>
        <v>6.8833827526759706E-15</v>
      </c>
      <c r="Q119" s="12">
        <f t="shared" si="18"/>
        <v>0</v>
      </c>
      <c r="R119" s="12">
        <f t="shared" si="18"/>
        <v>0</v>
      </c>
      <c r="S119" s="12">
        <f t="shared" si="18"/>
        <v>0</v>
      </c>
      <c r="T119" s="12">
        <f t="shared" si="18"/>
        <v>0</v>
      </c>
      <c r="U119" s="12">
        <f t="shared" si="18"/>
        <v>0</v>
      </c>
      <c r="V119" s="12">
        <f t="shared" si="18"/>
        <v>0</v>
      </c>
    </row>
    <row r="120" spans="1:22">
      <c r="A120" s="34">
        <v>1.5</v>
      </c>
      <c r="B120" s="12">
        <v>0</v>
      </c>
      <c r="C120" s="12">
        <f t="shared" si="17"/>
        <v>0.1119093253238798</v>
      </c>
      <c r="D120" s="12">
        <f t="shared" si="17"/>
        <v>0.69550715681810971</v>
      </c>
      <c r="E120" s="12">
        <f t="shared" si="17"/>
        <v>0.1800922260471941</v>
      </c>
      <c r="F120" s="12">
        <f t="shared" si="17"/>
        <v>1.146260311444558E-2</v>
      </c>
      <c r="G120" s="12">
        <f t="shared" si="17"/>
        <v>9.8711866178513574E-4</v>
      </c>
      <c r="H120" s="12">
        <f t="shared" si="17"/>
        <v>3.9827292828142902E-5</v>
      </c>
      <c r="I120" s="12">
        <f t="shared" si="17"/>
        <v>1.6572984671281432E-6</v>
      </c>
      <c r="J120" s="12">
        <f t="shared" si="17"/>
        <v>7.5399776755524783E-8</v>
      </c>
      <c r="K120" s="12">
        <f t="shared" si="17"/>
        <v>3.8287484294130536E-9</v>
      </c>
      <c r="L120" s="12">
        <f t="shared" si="18"/>
        <v>2.1801438432333953E-10</v>
      </c>
      <c r="M120" s="12">
        <f t="shared" si="18"/>
        <v>1.3888334926548396E-11</v>
      </c>
      <c r="N120" s="12">
        <f t="shared" si="18"/>
        <v>9.8454577823758882E-13</v>
      </c>
      <c r="O120" s="12">
        <f t="shared" si="18"/>
        <v>7.716050021144838E-14</v>
      </c>
      <c r="P120" s="12">
        <f t="shared" si="18"/>
        <v>6.6613381477509392E-15</v>
      </c>
      <c r="Q120" s="12">
        <f t="shared" si="18"/>
        <v>0</v>
      </c>
      <c r="R120" s="12">
        <f t="shared" si="18"/>
        <v>0</v>
      </c>
      <c r="S120" s="12">
        <f t="shared" si="18"/>
        <v>0</v>
      </c>
      <c r="T120" s="12">
        <f t="shared" si="18"/>
        <v>0</v>
      </c>
      <c r="U120" s="12">
        <f t="shared" si="18"/>
        <v>0</v>
      </c>
      <c r="V120" s="12">
        <f t="shared" si="18"/>
        <v>0</v>
      </c>
    </row>
    <row r="121" spans="1:22">
      <c r="A121" s="35">
        <v>1.6</v>
      </c>
      <c r="B121" s="12">
        <v>0</v>
      </c>
      <c r="C121" s="12">
        <f t="shared" si="17"/>
        <v>6.985632212961923E-2</v>
      </c>
      <c r="D121" s="12">
        <f t="shared" si="17"/>
        <v>0.67881129432629128</v>
      </c>
      <c r="E121" s="12">
        <f t="shared" si="17"/>
        <v>0.23277975745433399</v>
      </c>
      <c r="F121" s="12">
        <f t="shared" si="17"/>
        <v>1.696307002884001E-2</v>
      </c>
      <c r="G121" s="12">
        <f t="shared" si="17"/>
        <v>1.5251568214456057E-3</v>
      </c>
      <c r="H121" s="12">
        <f t="shared" si="17"/>
        <v>6.1782661979314923E-5</v>
      </c>
      <c r="I121" s="12">
        <f t="shared" si="17"/>
        <v>2.5017768711110833E-6</v>
      </c>
      <c r="J121" s="12">
        <f t="shared" si="17"/>
        <v>1.0873939271238697E-7</v>
      </c>
      <c r="K121" s="12">
        <f t="shared" si="17"/>
        <v>5.2165063380016363E-9</v>
      </c>
      <c r="L121" s="12">
        <f t="shared" si="18"/>
        <v>2.7868196639246889E-10</v>
      </c>
      <c r="M121" s="12">
        <f t="shared" si="18"/>
        <v>1.6585288697967826E-11</v>
      </c>
      <c r="N121" s="12">
        <f t="shared" si="18"/>
        <v>1.0955680807001045E-12</v>
      </c>
      <c r="O121" s="12">
        <f t="shared" si="18"/>
        <v>7.9936057773011271E-14</v>
      </c>
      <c r="P121" s="12">
        <f t="shared" si="18"/>
        <v>6.3282712403633923E-15</v>
      </c>
      <c r="Q121" s="12">
        <f t="shared" si="18"/>
        <v>0</v>
      </c>
      <c r="R121" s="12">
        <f t="shared" si="18"/>
        <v>0</v>
      </c>
      <c r="S121" s="12">
        <f t="shared" si="18"/>
        <v>0</v>
      </c>
      <c r="T121" s="12">
        <f t="shared" si="18"/>
        <v>0</v>
      </c>
      <c r="U121" s="12">
        <f t="shared" si="18"/>
        <v>0</v>
      </c>
      <c r="V121" s="12">
        <f t="shared" si="18"/>
        <v>0</v>
      </c>
    </row>
    <row r="122" spans="1:22">
      <c r="A122" s="34">
        <v>1.7</v>
      </c>
      <c r="B122" s="12">
        <v>0</v>
      </c>
      <c r="C122" s="12">
        <f t="shared" si="17"/>
        <v>4.1463030082338738E-2</v>
      </c>
      <c r="D122" s="12">
        <f t="shared" si="17"/>
        <v>0.64122709160290614</v>
      </c>
      <c r="E122" s="12">
        <f t="shared" si="17"/>
        <v>0.2905306516274746</v>
      </c>
      <c r="F122" s="12">
        <f t="shared" si="17"/>
        <v>2.4382888062965291E-2</v>
      </c>
      <c r="G122" s="12">
        <f t="shared" si="17"/>
        <v>2.2986485457712202E-3</v>
      </c>
      <c r="H122" s="12">
        <f t="shared" si="17"/>
        <v>9.3823013921801035E-5</v>
      </c>
      <c r="I122" s="12">
        <f t="shared" si="17"/>
        <v>3.7055641501915204E-6</v>
      </c>
      <c r="J122" s="12">
        <f t="shared" si="17"/>
        <v>1.5409524256604357E-7</v>
      </c>
      <c r="K122" s="12">
        <f t="shared" si="17"/>
        <v>6.9896542997938127E-9</v>
      </c>
      <c r="L122" s="12">
        <f t="shared" si="18"/>
        <v>3.5048364210865657E-10</v>
      </c>
      <c r="M122" s="12">
        <f t="shared" si="18"/>
        <v>1.9488410885060148E-11</v>
      </c>
      <c r="N122" s="12">
        <f t="shared" si="18"/>
        <v>1.1994849558050191E-12</v>
      </c>
      <c r="O122" s="12">
        <f t="shared" si="18"/>
        <v>8.149037000748649E-14</v>
      </c>
      <c r="P122" s="12">
        <f t="shared" si="18"/>
        <v>5.9952043329758453E-15</v>
      </c>
      <c r="Q122" s="12">
        <f t="shared" si="18"/>
        <v>0</v>
      </c>
      <c r="R122" s="12">
        <f t="shared" si="18"/>
        <v>0</v>
      </c>
      <c r="S122" s="12">
        <f t="shared" si="18"/>
        <v>0</v>
      </c>
      <c r="T122" s="12">
        <f t="shared" si="18"/>
        <v>0</v>
      </c>
      <c r="U122" s="12">
        <f t="shared" si="18"/>
        <v>0</v>
      </c>
      <c r="V122" s="12">
        <f t="shared" si="18"/>
        <v>0</v>
      </c>
    </row>
    <row r="123" spans="1:22">
      <c r="A123" s="35">
        <v>1.8</v>
      </c>
      <c r="B123" s="12">
        <v>0</v>
      </c>
      <c r="C123" s="12">
        <f t="shared" ref="C123:R138" si="19">H59-G59</f>
        <v>2.3430655918933323E-2</v>
      </c>
      <c r="D123" s="12">
        <f t="shared" si="19"/>
        <v>0.58816894205402903</v>
      </c>
      <c r="E123" s="12">
        <f t="shared" si="19"/>
        <v>0.35081229684092929</v>
      </c>
      <c r="F123" s="12">
        <f t="shared" si="19"/>
        <v>3.406413221315896E-2</v>
      </c>
      <c r="G123" s="12">
        <f t="shared" si="19"/>
        <v>3.3790197570999769E-3</v>
      </c>
      <c r="H123" s="12">
        <f t="shared" si="19"/>
        <v>1.3935267989517719E-4</v>
      </c>
      <c r="I123" s="12">
        <f t="shared" si="19"/>
        <v>5.376795014666591E-6</v>
      </c>
      <c r="J123" s="12">
        <f t="shared" si="19"/>
        <v>2.1409693806706542E-7</v>
      </c>
      <c r="K123" s="12">
        <f t="shared" si="19"/>
        <v>9.1847807137668269E-9</v>
      </c>
      <c r="L123" s="12">
        <f t="shared" si="18"/>
        <v>4.3223036261252901E-10</v>
      </c>
      <c r="M123" s="12">
        <f t="shared" si="18"/>
        <v>2.244671115647634E-11</v>
      </c>
      <c r="N123" s="12">
        <f t="shared" si="18"/>
        <v>1.2864154186331689E-12</v>
      </c>
      <c r="O123" s="12">
        <f t="shared" si="18"/>
        <v>8.1157303100098943E-14</v>
      </c>
      <c r="P123" s="12">
        <f t="shared" si="18"/>
        <v>5.6621374255882984E-15</v>
      </c>
      <c r="Q123" s="12">
        <f t="shared" si="18"/>
        <v>0</v>
      </c>
      <c r="R123" s="12">
        <f t="shared" si="18"/>
        <v>0</v>
      </c>
      <c r="S123" s="12">
        <f t="shared" si="18"/>
        <v>0</v>
      </c>
      <c r="T123" s="12">
        <f t="shared" si="18"/>
        <v>0</v>
      </c>
      <c r="U123" s="12">
        <f t="shared" si="18"/>
        <v>0</v>
      </c>
      <c r="V123" s="12">
        <f t="shared" si="18"/>
        <v>0</v>
      </c>
    </row>
    <row r="124" spans="1:22">
      <c r="A124" s="34">
        <v>1.9</v>
      </c>
      <c r="B124" s="12">
        <v>0</v>
      </c>
      <c r="C124" s="12">
        <f t="shared" si="19"/>
        <v>1.2621865999516303E-2</v>
      </c>
      <c r="D124" s="12">
        <f t="shared" si="19"/>
        <v>0.52528878486634523</v>
      </c>
      <c r="E124" s="12">
        <f t="shared" si="19"/>
        <v>0.41072465110529444</v>
      </c>
      <c r="F124" s="12">
        <f t="shared" si="19"/>
        <v>4.6306751129439827E-2</v>
      </c>
      <c r="G124" s="12">
        <f t="shared" si="19"/>
        <v>4.8475736171164074E-3</v>
      </c>
      <c r="H124" s="12">
        <f t="shared" si="19"/>
        <v>2.0243099489947181E-4</v>
      </c>
      <c r="I124" s="12">
        <f t="shared" si="19"/>
        <v>7.6385860107164305E-6</v>
      </c>
      <c r="J124" s="12">
        <f t="shared" si="19"/>
        <v>2.9133435353045911E-7</v>
      </c>
      <c r="K124" s="12">
        <f t="shared" si="19"/>
        <v>1.1818426459697662E-8</v>
      </c>
      <c r="L124" s="12">
        <f t="shared" si="18"/>
        <v>5.2168114272888033E-10</v>
      </c>
      <c r="M124" s="12">
        <f t="shared" si="18"/>
        <v>2.5282886895183765E-11</v>
      </c>
      <c r="N124" s="12">
        <f t="shared" si="18"/>
        <v>1.3480327964998651E-12</v>
      </c>
      <c r="O124" s="12">
        <f t="shared" si="18"/>
        <v>7.893685705084863E-14</v>
      </c>
      <c r="P124" s="12">
        <f t="shared" si="18"/>
        <v>5.1070259132757201E-15</v>
      </c>
      <c r="Q124" s="12">
        <f t="shared" si="18"/>
        <v>0</v>
      </c>
      <c r="R124" s="12">
        <f t="shared" si="18"/>
        <v>0</v>
      </c>
      <c r="S124" s="12">
        <f t="shared" si="18"/>
        <v>0</v>
      </c>
      <c r="T124" s="12">
        <f t="shared" si="18"/>
        <v>0</v>
      </c>
      <c r="U124" s="12">
        <f t="shared" si="18"/>
        <v>0</v>
      </c>
      <c r="V124" s="12">
        <f t="shared" si="18"/>
        <v>0</v>
      </c>
    </row>
    <row r="125" spans="1:22">
      <c r="A125" s="35">
        <v>2</v>
      </c>
      <c r="B125" s="12">
        <v>0</v>
      </c>
      <c r="C125" s="12">
        <f t="shared" si="19"/>
        <v>6.4882558968740569E-3</v>
      </c>
      <c r="D125" s="12">
        <f t="shared" si="19"/>
        <v>0.45773957032610912</v>
      </c>
      <c r="E125" s="12">
        <f t="shared" si="19"/>
        <v>0.46733225910107257</v>
      </c>
      <c r="F125" s="12">
        <f t="shared" si="19"/>
        <v>6.1346451119754675E-2</v>
      </c>
      <c r="G125" s="12">
        <f t="shared" si="19"/>
        <v>6.7946249034726014E-3</v>
      </c>
      <c r="H125" s="12">
        <f t="shared" si="19"/>
        <v>2.8780670345651682E-4</v>
      </c>
      <c r="I125" s="12">
        <f t="shared" si="19"/>
        <v>1.0628172429583138E-5</v>
      </c>
      <c r="J125" s="12">
        <f t="shared" si="19"/>
        <v>3.8824666881431824E-7</v>
      </c>
      <c r="K125" s="12">
        <f t="shared" si="19"/>
        <v>1.4885105814599342E-8</v>
      </c>
      <c r="L125" s="12">
        <f t="shared" si="18"/>
        <v>6.1576810317376385E-10</v>
      </c>
      <c r="M125" s="12">
        <f t="shared" si="18"/>
        <v>2.7819080372637472E-11</v>
      </c>
      <c r="N125" s="12">
        <f t="shared" si="18"/>
        <v>1.3781198404672068E-12</v>
      </c>
      <c r="O125" s="12">
        <f t="shared" si="18"/>
        <v>7.4829031859735551E-14</v>
      </c>
      <c r="P125" s="12">
        <f t="shared" si="18"/>
        <v>4.4408920985006262E-15</v>
      </c>
      <c r="Q125" s="12">
        <f t="shared" si="18"/>
        <v>0</v>
      </c>
      <c r="R125" s="12">
        <f t="shared" si="18"/>
        <v>0</v>
      </c>
      <c r="S125" s="12">
        <f t="shared" si="18"/>
        <v>0</v>
      </c>
      <c r="T125" s="12">
        <f t="shared" si="18"/>
        <v>0</v>
      </c>
      <c r="U125" s="12">
        <f t="shared" si="18"/>
        <v>0</v>
      </c>
      <c r="V125" s="12">
        <f t="shared" si="18"/>
        <v>0</v>
      </c>
    </row>
    <row r="126" spans="1:22">
      <c r="A126" s="34">
        <v>2.1</v>
      </c>
      <c r="B126" s="12">
        <v>0</v>
      </c>
      <c r="C126" s="12">
        <f t="shared" si="19"/>
        <v>3.18466237266911E-3</v>
      </c>
      <c r="D126" s="12">
        <f t="shared" si="19"/>
        <v>0.38977686698309044</v>
      </c>
      <c r="E126" s="12">
        <f t="shared" si="19"/>
        <v>0.51796218850113263</v>
      </c>
      <c r="F126" s="12">
        <f t="shared" si="19"/>
        <v>7.9340938760323443E-2</v>
      </c>
      <c r="G126" s="12">
        <f t="shared" si="19"/>
        <v>9.3193138384064511E-3</v>
      </c>
      <c r="H126" s="12">
        <f t="shared" si="19"/>
        <v>4.0100499033179915E-4</v>
      </c>
      <c r="I126" s="12">
        <f t="shared" si="19"/>
        <v>1.4498328848588926E-5</v>
      </c>
      <c r="J126" s="12">
        <f t="shared" si="19"/>
        <v>5.0712178423228949E-7</v>
      </c>
      <c r="K126" s="12">
        <f t="shared" si="19"/>
        <v>1.8361006159928195E-8</v>
      </c>
      <c r="L126" s="12">
        <f t="shared" si="18"/>
        <v>7.110533273291253E-10</v>
      </c>
      <c r="M126" s="12">
        <f t="shared" si="18"/>
        <v>2.9905744547420454E-11</v>
      </c>
      <c r="N126" s="12">
        <f t="shared" si="18"/>
        <v>1.3743450821834813E-12</v>
      </c>
      <c r="O126" s="12">
        <f t="shared" si="18"/>
        <v>6.9166894434147252E-14</v>
      </c>
      <c r="P126" s="12">
        <f t="shared" si="18"/>
        <v>3.7747582837255322E-15</v>
      </c>
      <c r="Q126" s="12">
        <f t="shared" si="18"/>
        <v>0</v>
      </c>
      <c r="R126" s="12">
        <f t="shared" si="18"/>
        <v>0</v>
      </c>
      <c r="S126" s="12">
        <f t="shared" si="18"/>
        <v>0</v>
      </c>
      <c r="T126" s="12">
        <f t="shared" si="18"/>
        <v>0</v>
      </c>
      <c r="U126" s="12">
        <f t="shared" si="18"/>
        <v>0</v>
      </c>
      <c r="V126" s="12">
        <f t="shared" si="18"/>
        <v>0</v>
      </c>
    </row>
    <row r="127" spans="1:22">
      <c r="A127" s="35">
        <v>2.2000000000000002</v>
      </c>
      <c r="B127" s="12">
        <v>0</v>
      </c>
      <c r="C127" s="12">
        <f t="shared" si="19"/>
        <v>1.492562667665817E-3</v>
      </c>
      <c r="D127" s="12">
        <f t="shared" si="19"/>
        <v>0.32462504880060306</v>
      </c>
      <c r="E127" s="12">
        <f t="shared" si="19"/>
        <v>0.56041729873598989</v>
      </c>
      <c r="F127" s="12">
        <f t="shared" si="19"/>
        <v>0.10036562271983029</v>
      </c>
      <c r="G127" s="12">
        <f t="shared" si="19"/>
        <v>1.2530844802203567E-2</v>
      </c>
      <c r="H127" s="12">
        <f t="shared" si="19"/>
        <v>5.4852550363326813E-4</v>
      </c>
      <c r="I127" s="12">
        <f t="shared" si="19"/>
        <v>1.9423447789046477E-5</v>
      </c>
      <c r="J127" s="12">
        <f t="shared" si="19"/>
        <v>6.5027092577274459E-7</v>
      </c>
      <c r="K127" s="12">
        <f t="shared" si="19"/>
        <v>2.2214164507872169E-8</v>
      </c>
      <c r="L127" s="12">
        <f t="shared" si="18"/>
        <v>8.0434303662002549E-10</v>
      </c>
      <c r="M127" s="12">
        <f t="shared" si="18"/>
        <v>3.1447622284019872E-11</v>
      </c>
      <c r="N127" s="12">
        <f t="shared" si="18"/>
        <v>1.3385959007905512E-12</v>
      </c>
      <c r="O127" s="12">
        <f t="shared" si="18"/>
        <v>6.2172489379008766E-14</v>
      </c>
      <c r="P127" s="12">
        <f t="shared" si="18"/>
        <v>3.1086244689504383E-15</v>
      </c>
      <c r="Q127" s="12">
        <f t="shared" si="18"/>
        <v>0</v>
      </c>
      <c r="R127" s="12">
        <f t="shared" si="18"/>
        <v>0</v>
      </c>
      <c r="S127" s="12">
        <f t="shared" si="18"/>
        <v>0</v>
      </c>
      <c r="T127" s="12">
        <f t="shared" si="18"/>
        <v>0</v>
      </c>
      <c r="U127" s="12">
        <f t="shared" si="18"/>
        <v>0</v>
      </c>
      <c r="V127" s="12">
        <f t="shared" si="18"/>
        <v>0</v>
      </c>
    </row>
    <row r="128" spans="1:22">
      <c r="A128" s="34">
        <v>2.2999999999999998</v>
      </c>
      <c r="B128" s="12">
        <v>0</v>
      </c>
      <c r="C128" s="12">
        <f t="shared" si="19"/>
        <v>6.6742298033073313E-4</v>
      </c>
      <c r="D128" s="12">
        <f t="shared" si="19"/>
        <v>0.26451402020199755</v>
      </c>
      <c r="E128" s="12">
        <f t="shared" si="19"/>
        <v>0.5930847434515365</v>
      </c>
      <c r="F128" s="12">
        <f t="shared" si="19"/>
        <v>0.12441726655914587</v>
      </c>
      <c r="G128" s="12">
        <f t="shared" si="19"/>
        <v>1.6551860382289618E-2</v>
      </c>
      <c r="H128" s="12">
        <f t="shared" si="19"/>
        <v>7.3822551614632914E-4</v>
      </c>
      <c r="I128" s="12">
        <f t="shared" si="19"/>
        <v>2.5613123094236911E-5</v>
      </c>
      <c r="J128" s="12">
        <f t="shared" si="19"/>
        <v>8.2043762872352488E-7</v>
      </c>
      <c r="K128" s="12">
        <f t="shared" si="19"/>
        <v>2.6420734489107645E-8</v>
      </c>
      <c r="L128" s="12">
        <f t="shared" si="18"/>
        <v>8.93343066188379E-10</v>
      </c>
      <c r="M128" s="12">
        <f t="shared" si="18"/>
        <v>3.2419511519776734E-11</v>
      </c>
      <c r="N128" s="12">
        <f t="shared" si="18"/>
        <v>1.2759793222016924E-12</v>
      </c>
      <c r="O128" s="12">
        <f t="shared" si="18"/>
        <v>5.4733995114020217E-14</v>
      </c>
      <c r="P128" s="12">
        <f t="shared" si="18"/>
        <v>2.55351295663786E-15</v>
      </c>
      <c r="Q128" s="12">
        <f t="shared" si="18"/>
        <v>0</v>
      </c>
      <c r="R128" s="12">
        <f t="shared" si="18"/>
        <v>0</v>
      </c>
      <c r="S128" s="12">
        <f t="shared" si="18"/>
        <v>0</v>
      </c>
      <c r="T128" s="12">
        <f t="shared" si="18"/>
        <v>0</v>
      </c>
      <c r="U128" s="12">
        <f t="shared" si="18"/>
        <v>0</v>
      </c>
      <c r="V128" s="12">
        <f t="shared" si="18"/>
        <v>0</v>
      </c>
    </row>
    <row r="129" spans="1:22">
      <c r="A129" s="35">
        <v>2.4</v>
      </c>
      <c r="B129" s="12">
        <v>0</v>
      </c>
      <c r="C129" s="12">
        <f t="shared" si="19"/>
        <v>2.8426728755026604E-4</v>
      </c>
      <c r="D129" s="12">
        <f t="shared" si="19"/>
        <v>0.21080743577880634</v>
      </c>
      <c r="E129" s="12">
        <f t="shared" si="19"/>
        <v>0.61494753029451921</v>
      </c>
      <c r="F129" s="12">
        <f t="shared" si="19"/>
        <v>0.15142184347630239</v>
      </c>
      <c r="G129" s="12">
        <f t="shared" si="19"/>
        <v>2.1524552035688482E-2</v>
      </c>
      <c r="H129" s="12">
        <f t="shared" si="19"/>
        <v>9.7998094599649477E-4</v>
      </c>
      <c r="I129" s="12">
        <f t="shared" si="19"/>
        <v>3.3336683584073157E-5</v>
      </c>
      <c r="J129" s="12">
        <f t="shared" si="19"/>
        <v>1.0215000042501643E-6</v>
      </c>
      <c r="K129" s="12">
        <f t="shared" si="19"/>
        <v>3.0986197496751799E-8</v>
      </c>
      <c r="L129" s="12">
        <f t="shared" si="18"/>
        <v>9.7723673597727156E-10</v>
      </c>
      <c r="M129" s="12">
        <f t="shared" si="18"/>
        <v>3.2870595134681935E-11</v>
      </c>
      <c r="N129" s="12">
        <f t="shared" si="18"/>
        <v>1.1943779298917434E-12</v>
      </c>
      <c r="O129" s="12">
        <f t="shared" si="18"/>
        <v>4.7184478546569153E-14</v>
      </c>
      <c r="P129" s="12">
        <f t="shared" si="18"/>
        <v>1.9984014443252818E-15</v>
      </c>
      <c r="Q129" s="12">
        <f t="shared" si="18"/>
        <v>0</v>
      </c>
      <c r="R129" s="12">
        <f t="shared" si="18"/>
        <v>0</v>
      </c>
      <c r="S129" s="12">
        <f t="shared" si="18"/>
        <v>0</v>
      </c>
      <c r="T129" s="12">
        <f t="shared" si="18"/>
        <v>0</v>
      </c>
      <c r="U129" s="12">
        <f t="shared" si="18"/>
        <v>0</v>
      </c>
      <c r="V129" s="12">
        <f t="shared" si="18"/>
        <v>0</v>
      </c>
    </row>
    <row r="130" spans="1:22">
      <c r="A130" s="34">
        <v>2.5</v>
      </c>
      <c r="B130" s="12">
        <v>0</v>
      </c>
      <c r="C130" s="12">
        <f t="shared" si="19"/>
        <v>1.1499791790670066E-4</v>
      </c>
      <c r="D130" s="12">
        <f t="shared" si="19"/>
        <v>0.16416752570049731</v>
      </c>
      <c r="E130" s="12">
        <f t="shared" si="19"/>
        <v>0.62552516216344489</v>
      </c>
      <c r="F130" s="12">
        <f t="shared" si="19"/>
        <v>0.1812413306300743</v>
      </c>
      <c r="G130" s="12">
        <f t="shared" si="19"/>
        <v>2.7619976683513459E-2</v>
      </c>
      <c r="H130" s="12">
        <f t="shared" si="19"/>
        <v>1.2867470014433779E-3</v>
      </c>
      <c r="I130" s="12">
        <f t="shared" si="19"/>
        <v>4.2963317023358982E-5</v>
      </c>
      <c r="J130" s="12">
        <f t="shared" si="19"/>
        <v>1.2595243311652737E-6</v>
      </c>
      <c r="K130" s="12">
        <f t="shared" si="19"/>
        <v>3.5970585399169863E-8</v>
      </c>
      <c r="L130" s="12">
        <f t="shared" si="18"/>
        <v>1.0571200581566131E-9</v>
      </c>
      <c r="M130" s="12">
        <f t="shared" si="18"/>
        <v>3.2915781211784179E-11</v>
      </c>
      <c r="N130" s="12">
        <f t="shared" si="18"/>
        <v>1.102562485755243E-12</v>
      </c>
      <c r="O130" s="12">
        <f t="shared" si="18"/>
        <v>3.9968028886505635E-14</v>
      </c>
      <c r="P130" s="12">
        <f t="shared" si="18"/>
        <v>1.5543122344752192E-15</v>
      </c>
      <c r="Q130" s="12">
        <f t="shared" si="18"/>
        <v>0</v>
      </c>
      <c r="R130" s="12">
        <f t="shared" si="18"/>
        <v>0</v>
      </c>
      <c r="S130" s="12">
        <f t="shared" si="18"/>
        <v>0</v>
      </c>
      <c r="T130" s="12">
        <f t="shared" si="18"/>
        <v>0</v>
      </c>
      <c r="U130" s="12">
        <f t="shared" si="18"/>
        <v>0</v>
      </c>
      <c r="V130" s="12">
        <f t="shared" si="18"/>
        <v>0</v>
      </c>
    </row>
    <row r="131" spans="1:22">
      <c r="A131" s="35">
        <v>2.6</v>
      </c>
      <c r="B131" s="12">
        <v>0</v>
      </c>
      <c r="C131" s="12">
        <f t="shared" si="19"/>
        <v>4.400707317109287E-5</v>
      </c>
      <c r="D131" s="12">
        <f t="shared" si="19"/>
        <v>0.12472251021374214</v>
      </c>
      <c r="E131" s="12">
        <f t="shared" si="19"/>
        <v>0.62477632414193307</v>
      </c>
      <c r="F131" s="12">
        <f t="shared" si="19"/>
        <v>0.21367342325327976</v>
      </c>
      <c r="G131" s="12">
        <f t="shared" si="19"/>
        <v>3.5050931293350907E-2</v>
      </c>
      <c r="H131" s="12">
        <f t="shared" si="19"/>
        <v>1.6761921326683416E-3</v>
      </c>
      <c r="I131" s="12">
        <f t="shared" si="19"/>
        <v>5.5024897328670441E-5</v>
      </c>
      <c r="J131" s="12">
        <f t="shared" si="19"/>
        <v>1.5443060948916454E-6</v>
      </c>
      <c r="K131" s="12">
        <f t="shared" si="19"/>
        <v>4.1518360527348364E-8</v>
      </c>
      <c r="L131" s="12">
        <f t="shared" si="18"/>
        <v>1.1363059382318852E-9</v>
      </c>
      <c r="M131" s="12">
        <f t="shared" si="18"/>
        <v>3.2720715026357539E-11</v>
      </c>
      <c r="N131" s="12">
        <f t="shared" si="18"/>
        <v>1.0090817070818048E-12</v>
      </c>
      <c r="O131" s="12">
        <f t="shared" si="18"/>
        <v>3.3639757646142243E-14</v>
      </c>
      <c r="P131" s="12">
        <f t="shared" si="18"/>
        <v>0</v>
      </c>
      <c r="Q131" s="12">
        <f t="shared" si="18"/>
        <v>0</v>
      </c>
      <c r="R131" s="12">
        <f t="shared" si="18"/>
        <v>0</v>
      </c>
      <c r="S131" s="12">
        <f t="shared" si="18"/>
        <v>0</v>
      </c>
      <c r="T131" s="12">
        <f t="shared" si="18"/>
        <v>0</v>
      </c>
      <c r="U131" s="12">
        <f t="shared" si="18"/>
        <v>0</v>
      </c>
      <c r="V131" s="12">
        <f t="shared" si="18"/>
        <v>0</v>
      </c>
    </row>
    <row r="132" spans="1:22">
      <c r="A132" s="34">
        <v>2.7</v>
      </c>
      <c r="B132" s="12">
        <v>0</v>
      </c>
      <c r="C132" s="12">
        <f t="shared" si="19"/>
        <v>1.5842885957795261E-5</v>
      </c>
      <c r="D132" s="12">
        <f t="shared" si="19"/>
        <v>9.2217473415580287E-2</v>
      </c>
      <c r="E132" s="12">
        <f t="shared" si="19"/>
        <v>0.61299466991942408</v>
      </c>
      <c r="F132" s="12">
        <f t="shared" si="19"/>
        <v>0.24843795916586464</v>
      </c>
      <c r="G132" s="12">
        <f t="shared" si="19"/>
        <v>4.408862804764424E-2</v>
      </c>
      <c r="H132" s="12">
        <f t="shared" si="19"/>
        <v>2.1731721317015396E-3</v>
      </c>
      <c r="I132" s="12">
        <f t="shared" si="19"/>
        <v>7.0313640989194681E-5</v>
      </c>
      <c r="J132" s="12">
        <f t="shared" si="19"/>
        <v>1.891641960849455E-6</v>
      </c>
      <c r="K132" s="12">
        <f t="shared" si="19"/>
        <v>4.7896829391547158E-8</v>
      </c>
      <c r="L132" s="12">
        <f t="shared" si="18"/>
        <v>1.2206108346290989E-9</v>
      </c>
      <c r="M132" s="12">
        <f t="shared" si="18"/>
        <v>3.2486568990464093E-11</v>
      </c>
      <c r="N132" s="12">
        <f t="shared" si="18"/>
        <v>9.2148511043887993E-13</v>
      </c>
      <c r="O132" s="12">
        <f t="shared" si="18"/>
        <v>2.808864252301646E-14</v>
      </c>
      <c r="P132" s="12">
        <f t="shared" si="18"/>
        <v>0</v>
      </c>
      <c r="Q132" s="12">
        <f t="shared" si="18"/>
        <v>0</v>
      </c>
      <c r="R132" s="12">
        <f t="shared" si="18"/>
        <v>0</v>
      </c>
      <c r="S132" s="12">
        <f t="shared" si="18"/>
        <v>0</v>
      </c>
      <c r="T132" s="12">
        <f t="shared" si="18"/>
        <v>0</v>
      </c>
      <c r="U132" s="12">
        <f t="shared" si="18"/>
        <v>0</v>
      </c>
      <c r="V132" s="12">
        <f t="shared" si="18"/>
        <v>0</v>
      </c>
    </row>
    <row r="133" spans="1:22">
      <c r="A133" s="35">
        <v>2.8</v>
      </c>
      <c r="B133" s="12">
        <v>0</v>
      </c>
      <c r="C133" s="12">
        <f t="shared" si="19"/>
        <v>5.3276190710160876E-6</v>
      </c>
      <c r="D133" s="12">
        <f t="shared" si="19"/>
        <v>6.6139640737387317E-2</v>
      </c>
      <c r="E133" s="12">
        <f t="shared" si="19"/>
        <v>0.59072188569688977</v>
      </c>
      <c r="F133" s="12">
        <f t="shared" si="19"/>
        <v>0.28514402461820254</v>
      </c>
      <c r="G133" s="12">
        <f t="shared" si="19"/>
        <v>5.5083228434331444E-2</v>
      </c>
      <c r="H133" s="12">
        <f t="shared" si="19"/>
        <v>2.813472954208418E-3</v>
      </c>
      <c r="I133" s="12">
        <f t="shared" si="19"/>
        <v>9.0036184516195661E-5</v>
      </c>
      <c r="J133" s="12">
        <f t="shared" si="19"/>
        <v>2.3268508219098649E-6</v>
      </c>
      <c r="K133" s="12">
        <f t="shared" si="19"/>
        <v>5.5552419220283866E-8</v>
      </c>
      <c r="L133" s="12">
        <f t="shared" si="18"/>
        <v>1.3188401482011614E-9</v>
      </c>
      <c r="M133" s="12">
        <f t="shared" si="18"/>
        <v>3.2441493935664312E-11</v>
      </c>
      <c r="N133" s="12">
        <f t="shared" si="18"/>
        <v>8.461009670668318E-13</v>
      </c>
      <c r="O133" s="12">
        <f t="shared" si="18"/>
        <v>2.3647750424515834E-14</v>
      </c>
      <c r="P133" s="12">
        <f t="shared" si="18"/>
        <v>0</v>
      </c>
      <c r="Q133" s="12">
        <f t="shared" si="18"/>
        <v>0</v>
      </c>
      <c r="R133" s="12">
        <f t="shared" si="18"/>
        <v>0</v>
      </c>
      <c r="S133" s="12">
        <f t="shared" si="18"/>
        <v>0</v>
      </c>
      <c r="T133" s="12">
        <f t="shared" si="18"/>
        <v>0</v>
      </c>
      <c r="U133" s="12">
        <f t="shared" si="18"/>
        <v>0</v>
      </c>
      <c r="V133" s="12">
        <f t="shared" si="18"/>
        <v>0</v>
      </c>
    </row>
    <row r="134" spans="1:22">
      <c r="A134" s="34">
        <v>2.9</v>
      </c>
      <c r="B134" s="12">
        <v>0</v>
      </c>
      <c r="C134" s="12">
        <f t="shared" si="19"/>
        <v>1.658578383967324E-6</v>
      </c>
      <c r="D134" s="12">
        <f t="shared" si="19"/>
        <v>4.5815882719461132E-2</v>
      </c>
      <c r="E134" s="12">
        <f t="shared" si="19"/>
        <v>0.55869378503835787</v>
      </c>
      <c r="F134" s="12">
        <f t="shared" si="19"/>
        <v>0.32323229346004367</v>
      </c>
      <c r="G134" s="12">
        <f t="shared" si="19"/>
        <v>6.8487836285337389E-2</v>
      </c>
      <c r="H134" s="12">
        <f t="shared" si="19"/>
        <v>3.6495233646428593E-3</v>
      </c>
      <c r="I134" s="12">
        <f t="shared" si="19"/>
        <v>1.1606333996605489E-4</v>
      </c>
      <c r="J134" s="12">
        <f t="shared" si="19"/>
        <v>2.8905329209072406E-6</v>
      </c>
      <c r="K134" s="12">
        <f t="shared" si="19"/>
        <v>6.5203405341662801E-8</v>
      </c>
      <c r="L134" s="12">
        <f t="shared" si="18"/>
        <v>1.4438263917782024E-9</v>
      </c>
      <c r="M134" s="12">
        <f t="shared" si="18"/>
        <v>3.2845837161232794E-11</v>
      </c>
      <c r="N134" s="12">
        <f t="shared" si="18"/>
        <v>7.8781425827401108E-13</v>
      </c>
      <c r="O134" s="12">
        <f t="shared" si="18"/>
        <v>2.0206059048177849E-14</v>
      </c>
      <c r="P134" s="12">
        <f t="shared" si="18"/>
        <v>0</v>
      </c>
      <c r="Q134" s="12">
        <f t="shared" si="18"/>
        <v>0</v>
      </c>
      <c r="R134" s="12">
        <f t="shared" si="18"/>
        <v>0</v>
      </c>
      <c r="S134" s="12">
        <f t="shared" si="18"/>
        <v>0</v>
      </c>
      <c r="T134" s="12">
        <f t="shared" si="18"/>
        <v>0</v>
      </c>
      <c r="U134" s="12">
        <f t="shared" si="18"/>
        <v>0</v>
      </c>
      <c r="V134" s="12">
        <f t="shared" si="18"/>
        <v>0</v>
      </c>
    </row>
    <row r="135" spans="1:22">
      <c r="A135" s="35">
        <v>3</v>
      </c>
      <c r="B135" s="12">
        <v>0</v>
      </c>
      <c r="C135" s="12">
        <f t="shared" si="19"/>
        <v>4.7279021586632552E-7</v>
      </c>
      <c r="D135" s="12">
        <f t="shared" si="19"/>
        <v>3.048494773534105E-2</v>
      </c>
      <c r="E135" s="12">
        <f t="shared" si="19"/>
        <v>0.51782719825851498</v>
      </c>
      <c r="F135" s="12">
        <f t="shared" si="19"/>
        <v>0.36188864050700664</v>
      </c>
      <c r="G135" s="12">
        <f t="shared" si="19"/>
        <v>8.4884436176291156E-2</v>
      </c>
      <c r="H135" s="12">
        <f t="shared" si="19"/>
        <v>4.7592286406399342E-3</v>
      </c>
      <c r="I135" s="12">
        <f t="shared" si="19"/>
        <v>1.5134774577052479E-4</v>
      </c>
      <c r="J135" s="12">
        <f t="shared" si="19"/>
        <v>3.6484920330481785E-6</v>
      </c>
      <c r="K135" s="12">
        <f t="shared" si="19"/>
        <v>7.8004804171527553E-8</v>
      </c>
      <c r="L135" s="12">
        <f t="shared" si="19"/>
        <v>1.614594902221711E-9</v>
      </c>
      <c r="M135" s="12">
        <f t="shared" si="19"/>
        <v>3.4018565742144347E-11</v>
      </c>
      <c r="N135" s="12">
        <f t="shared" si="19"/>
        <v>7.510658761589184E-13</v>
      </c>
      <c r="O135" s="12">
        <f t="shared" si="19"/>
        <v>1.7652546091539989E-14</v>
      </c>
      <c r="P135" s="12">
        <f t="shared" si="19"/>
        <v>0</v>
      </c>
      <c r="Q135" s="12">
        <f t="shared" si="19"/>
        <v>0</v>
      </c>
      <c r="R135" s="12">
        <f t="shared" si="19"/>
        <v>0</v>
      </c>
      <c r="S135" s="12">
        <f t="shared" ref="S135:V150" si="20">X71-W71</f>
        <v>0</v>
      </c>
      <c r="T135" s="12">
        <f t="shared" si="20"/>
        <v>0</v>
      </c>
      <c r="U135" s="12">
        <f t="shared" si="20"/>
        <v>0</v>
      </c>
      <c r="V135" s="12">
        <f t="shared" si="20"/>
        <v>0</v>
      </c>
    </row>
    <row r="136" spans="1:22">
      <c r="A136" s="34">
        <v>3.1</v>
      </c>
      <c r="B136" s="12">
        <v>0</v>
      </c>
      <c r="C136" s="12">
        <f t="shared" si="19"/>
        <v>1.2177212966810291E-7</v>
      </c>
      <c r="D136" s="12">
        <f t="shared" si="19"/>
        <v>1.934983357130109E-2</v>
      </c>
      <c r="E136" s="12">
        <f t="shared" si="19"/>
        <v>0.46924825072187326</v>
      </c>
      <c r="F136" s="12">
        <f t="shared" si="19"/>
        <v>0.39992870548311377</v>
      </c>
      <c r="G136" s="12">
        <f t="shared" si="19"/>
        <v>0.10500782791462315</v>
      </c>
      <c r="H136" s="12">
        <f t="shared" si="19"/>
        <v>6.259808919270915E-3</v>
      </c>
      <c r="I136" s="12">
        <f t="shared" si="19"/>
        <v>2.0064426801447155E-4</v>
      </c>
      <c r="J136" s="12">
        <f t="shared" si="19"/>
        <v>4.7095960733489761E-6</v>
      </c>
      <c r="K136" s="12">
        <f t="shared" si="19"/>
        <v>9.5855719028925535E-8</v>
      </c>
      <c r="L136" s="12">
        <f t="shared" si="19"/>
        <v>1.8607256846436826E-9</v>
      </c>
      <c r="M136" s="12">
        <f t="shared" si="19"/>
        <v>3.6398217773125907E-11</v>
      </c>
      <c r="N136" s="12">
        <f t="shared" si="19"/>
        <v>7.4096284663482948E-13</v>
      </c>
      <c r="O136" s="12">
        <f t="shared" si="19"/>
        <v>1.609823385706477E-14</v>
      </c>
      <c r="P136" s="12">
        <f t="shared" si="19"/>
        <v>0</v>
      </c>
      <c r="Q136" s="12">
        <f t="shared" si="19"/>
        <v>0</v>
      </c>
      <c r="R136" s="12">
        <f t="shared" si="19"/>
        <v>0</v>
      </c>
      <c r="S136" s="12">
        <f t="shared" si="20"/>
        <v>0</v>
      </c>
      <c r="T136" s="12">
        <f t="shared" si="20"/>
        <v>0</v>
      </c>
      <c r="U136" s="12">
        <f t="shared" si="20"/>
        <v>0</v>
      </c>
      <c r="V136" s="12">
        <f t="shared" si="20"/>
        <v>0</v>
      </c>
    </row>
    <row r="137" spans="1:22">
      <c r="A137" s="35">
        <v>3.2</v>
      </c>
      <c r="B137" s="12">
        <v>0</v>
      </c>
      <c r="C137" s="12">
        <f t="shared" si="19"/>
        <v>2.7890149048362704E-8</v>
      </c>
      <c r="D137" s="12">
        <f t="shared" si="19"/>
        <v>1.1616950742919161E-2</v>
      </c>
      <c r="E137" s="12">
        <f t="shared" si="19"/>
        <v>0.41435533556490323</v>
      </c>
      <c r="F137" s="12">
        <f t="shared" si="19"/>
        <v>0.43566105529812349</v>
      </c>
      <c r="G137" s="12">
        <f t="shared" si="19"/>
        <v>0.12975876238766026</v>
      </c>
      <c r="H137" s="12">
        <f t="shared" si="19"/>
        <v>8.3296949484716887E-3</v>
      </c>
      <c r="I137" s="12">
        <f t="shared" si="19"/>
        <v>2.7178967648200381E-4</v>
      </c>
      <c r="J137" s="12">
        <f t="shared" si="19"/>
        <v>6.259224757831916E-6</v>
      </c>
      <c r="K137" s="12">
        <f t="shared" si="19"/>
        <v>1.2199400611923039E-7</v>
      </c>
      <c r="L137" s="12">
        <f t="shared" si="19"/>
        <v>2.2310815417370122E-9</v>
      </c>
      <c r="M137" s="12">
        <f t="shared" si="19"/>
        <v>4.0664582812155459E-11</v>
      </c>
      <c r="N137" s="12">
        <f t="shared" si="19"/>
        <v>7.6549877547904543E-13</v>
      </c>
      <c r="O137" s="12">
        <f t="shared" si="19"/>
        <v>1.5210055437364645E-14</v>
      </c>
      <c r="P137" s="12">
        <f t="shared" si="19"/>
        <v>0</v>
      </c>
      <c r="Q137" s="12">
        <f t="shared" si="19"/>
        <v>0</v>
      </c>
      <c r="R137" s="12">
        <f t="shared" si="19"/>
        <v>0</v>
      </c>
      <c r="S137" s="12">
        <f t="shared" si="20"/>
        <v>0</v>
      </c>
      <c r="T137" s="12">
        <f t="shared" si="20"/>
        <v>0</v>
      </c>
      <c r="U137" s="12">
        <f t="shared" si="20"/>
        <v>0</v>
      </c>
      <c r="V137" s="12">
        <f t="shared" si="20"/>
        <v>0</v>
      </c>
    </row>
    <row r="138" spans="1:22">
      <c r="A138" s="34">
        <v>3.3</v>
      </c>
      <c r="B138" s="12">
        <v>0</v>
      </c>
      <c r="C138" s="12">
        <f t="shared" si="19"/>
        <v>5.5738076098548047E-9</v>
      </c>
      <c r="D138" s="12">
        <f t="shared" si="19"/>
        <v>6.5282858893081219E-3</v>
      </c>
      <c r="E138" s="12">
        <f t="shared" si="19"/>
        <v>0.35490090614457093</v>
      </c>
      <c r="F138" s="12">
        <f t="shared" si="19"/>
        <v>0.46675200776503933</v>
      </c>
      <c r="G138" s="12">
        <f t="shared" si="19"/>
        <v>0.16018862731872074</v>
      </c>
      <c r="H138" s="12">
        <f t="shared" si="19"/>
        <v>1.1243338100732858E-2</v>
      </c>
      <c r="I138" s="12">
        <f t="shared" si="19"/>
        <v>3.7803982791584367E-4</v>
      </c>
      <c r="J138" s="12">
        <f t="shared" si="19"/>
        <v>8.6243270717156761E-6</v>
      </c>
      <c r="K138" s="12">
        <f t="shared" si="19"/>
        <v>1.6219231335767859E-7</v>
      </c>
      <c r="L138" s="12">
        <f t="shared" si="19"/>
        <v>2.8116797778920954E-9</v>
      </c>
      <c r="M138" s="12">
        <f t="shared" si="19"/>
        <v>4.7985393436533741E-11</v>
      </c>
      <c r="N138" s="12">
        <f t="shared" si="19"/>
        <v>8.3866247280184325E-13</v>
      </c>
      <c r="O138" s="12">
        <f t="shared" si="19"/>
        <v>1.532107773982716E-14</v>
      </c>
      <c r="P138" s="12">
        <f t="shared" si="19"/>
        <v>0</v>
      </c>
      <c r="Q138" s="12">
        <f t="shared" si="19"/>
        <v>0</v>
      </c>
      <c r="R138" s="12">
        <f t="shared" si="19"/>
        <v>0</v>
      </c>
      <c r="S138" s="12">
        <f t="shared" si="20"/>
        <v>0</v>
      </c>
      <c r="T138" s="12">
        <f t="shared" si="20"/>
        <v>0</v>
      </c>
      <c r="U138" s="12">
        <f t="shared" si="20"/>
        <v>0</v>
      </c>
      <c r="V138" s="12">
        <f t="shared" si="20"/>
        <v>0</v>
      </c>
    </row>
    <row r="139" spans="1:22">
      <c r="A139" s="35">
        <v>3.4</v>
      </c>
      <c r="B139" s="12">
        <v>0</v>
      </c>
      <c r="C139" s="12">
        <f t="shared" ref="C139:R154" si="21">H75-G75</f>
        <v>9.504711108208166E-10</v>
      </c>
      <c r="D139" s="12">
        <f t="shared" si="21"/>
        <v>3.3906628893999669E-3</v>
      </c>
      <c r="E139" s="12">
        <f t="shared" si="21"/>
        <v>0.29306339076860966</v>
      </c>
      <c r="F139" s="12">
        <f t="shared" si="21"/>
        <v>0.4901412128434901</v>
      </c>
      <c r="G139" s="12">
        <f t="shared" si="21"/>
        <v>0.19742325292131324</v>
      </c>
      <c r="H139" s="12">
        <f t="shared" si="21"/>
        <v>1.5426391330339184E-2</v>
      </c>
      <c r="I139" s="12">
        <f t="shared" si="21"/>
        <v>5.4245222668170001E-4</v>
      </c>
      <c r="J139" s="12">
        <f t="shared" si="21"/>
        <v>1.2404972667079406E-5</v>
      </c>
      <c r="K139" s="12">
        <f t="shared" si="21"/>
        <v>2.2727159088020699E-7</v>
      </c>
      <c r="L139" s="12">
        <f t="shared" si="21"/>
        <v>3.7638936412065505E-9</v>
      </c>
      <c r="M139" s="12">
        <f t="shared" si="21"/>
        <v>6.0538685175970386E-11</v>
      </c>
      <c r="N139" s="12">
        <f t="shared" si="21"/>
        <v>9.8765440270653926E-13</v>
      </c>
      <c r="O139" s="12">
        <f t="shared" si="21"/>
        <v>1.6764367671839864E-14</v>
      </c>
      <c r="P139" s="12">
        <f t="shared" si="21"/>
        <v>0</v>
      </c>
      <c r="Q139" s="12">
        <f t="shared" si="21"/>
        <v>0</v>
      </c>
      <c r="R139" s="12">
        <f t="shared" si="21"/>
        <v>0</v>
      </c>
      <c r="S139" s="12">
        <f t="shared" si="20"/>
        <v>0</v>
      </c>
      <c r="T139" s="12">
        <f t="shared" si="20"/>
        <v>0</v>
      </c>
      <c r="U139" s="12">
        <f t="shared" si="20"/>
        <v>0</v>
      </c>
      <c r="V139" s="12">
        <f t="shared" si="20"/>
        <v>0</v>
      </c>
    </row>
    <row r="140" spans="1:22">
      <c r="A140" s="34">
        <v>3.5</v>
      </c>
      <c r="B140" s="12">
        <v>0</v>
      </c>
      <c r="C140" s="12">
        <f t="shared" si="21"/>
        <v>1.3470748290891001E-10</v>
      </c>
      <c r="D140" s="12">
        <f t="shared" si="21"/>
        <v>1.6027682800294606E-3</v>
      </c>
      <c r="E140" s="12">
        <f t="shared" si="21"/>
        <v>0.23146405901264766</v>
      </c>
      <c r="F140" s="12">
        <f t="shared" si="21"/>
        <v>0.50209419343223449</v>
      </c>
      <c r="G140" s="12">
        <f t="shared" si="21"/>
        <v>0.24247164342095961</v>
      </c>
      <c r="H140" s="12">
        <f t="shared" si="21"/>
        <v>2.1541931336523823E-2</v>
      </c>
      <c r="I140" s="12">
        <f t="shared" si="21"/>
        <v>8.0630889282118368E-4</v>
      </c>
      <c r="J140" s="12">
        <f t="shared" si="21"/>
        <v>1.875134469064843E-5</v>
      </c>
      <c r="K140" s="12">
        <f t="shared" si="21"/>
        <v>3.3865069415384141E-7</v>
      </c>
      <c r="L140" s="12">
        <f t="shared" si="21"/>
        <v>5.4107089919597229E-9</v>
      </c>
      <c r="M140" s="12">
        <f t="shared" si="21"/>
        <v>8.269385176618016E-11</v>
      </c>
      <c r="N140" s="12">
        <f t="shared" si="21"/>
        <v>1.2682077610293163E-12</v>
      </c>
      <c r="O140" s="12">
        <f t="shared" si="21"/>
        <v>2.0095036745715333E-14</v>
      </c>
      <c r="P140" s="12">
        <f t="shared" si="21"/>
        <v>0</v>
      </c>
      <c r="Q140" s="12">
        <f t="shared" si="21"/>
        <v>0</v>
      </c>
      <c r="R140" s="12">
        <f t="shared" si="21"/>
        <v>0</v>
      </c>
      <c r="S140" s="12">
        <f t="shared" si="20"/>
        <v>0</v>
      </c>
      <c r="T140" s="12">
        <f t="shared" si="20"/>
        <v>0</v>
      </c>
      <c r="U140" s="12">
        <f t="shared" si="20"/>
        <v>0</v>
      </c>
      <c r="V140" s="12">
        <f t="shared" si="20"/>
        <v>0</v>
      </c>
    </row>
    <row r="141" spans="1:22">
      <c r="A141" s="35">
        <v>3.6</v>
      </c>
      <c r="B141" s="12">
        <v>0</v>
      </c>
      <c r="C141" s="12">
        <f t="shared" si="21"/>
        <v>1.5385904778452465E-11</v>
      </c>
      <c r="D141" s="12">
        <f t="shared" si="21"/>
        <v>6.768585308805186E-4</v>
      </c>
      <c r="E141" s="12">
        <f t="shared" si="21"/>
        <v>0.17306844958095791</v>
      </c>
      <c r="F141" s="12">
        <f t="shared" si="21"/>
        <v>0.49851778216031339</v>
      </c>
      <c r="G141" s="12">
        <f t="shared" si="21"/>
        <v>0.29583992497387313</v>
      </c>
      <c r="H141" s="12">
        <f t="shared" si="21"/>
        <v>3.06207997839677E-2</v>
      </c>
      <c r="I141" s="12">
        <f t="shared" si="21"/>
        <v>1.2456631764635739E-3</v>
      </c>
      <c r="J141" s="12">
        <f t="shared" si="21"/>
        <v>2.9971929676242404E-5</v>
      </c>
      <c r="K141" s="12">
        <f t="shared" si="21"/>
        <v>5.4127865067865599E-7</v>
      </c>
      <c r="L141" s="12">
        <f t="shared" si="21"/>
        <v>8.4441130754342453E-9</v>
      </c>
      <c r="M141" s="12">
        <f t="shared" si="21"/>
        <v>1.2388901016180398E-10</v>
      </c>
      <c r="N141" s="12">
        <f t="shared" si="21"/>
        <v>1.8015589020592415E-12</v>
      </c>
      <c r="O141" s="12">
        <f t="shared" si="21"/>
        <v>2.6867397195928788E-14</v>
      </c>
      <c r="P141" s="12">
        <f t="shared" si="21"/>
        <v>0</v>
      </c>
      <c r="Q141" s="12">
        <f t="shared" si="21"/>
        <v>0</v>
      </c>
      <c r="R141" s="12">
        <f t="shared" si="21"/>
        <v>0</v>
      </c>
      <c r="S141" s="12">
        <f t="shared" si="20"/>
        <v>0</v>
      </c>
      <c r="T141" s="12">
        <f t="shared" si="20"/>
        <v>0</v>
      </c>
      <c r="U141" s="12">
        <f t="shared" si="20"/>
        <v>0</v>
      </c>
      <c r="V141" s="12">
        <f t="shared" si="20"/>
        <v>0</v>
      </c>
    </row>
    <row r="142" spans="1:22">
      <c r="A142" s="34">
        <v>3.7</v>
      </c>
      <c r="B142" s="12">
        <v>0</v>
      </c>
      <c r="C142" s="12">
        <f t="shared" si="21"/>
        <v>1.3660666898118866E-12</v>
      </c>
      <c r="D142" s="12">
        <f t="shared" si="21"/>
        <v>2.4972607462232121E-4</v>
      </c>
      <c r="E142" s="12">
        <f t="shared" si="21"/>
        <v>0.1209118602128334</v>
      </c>
      <c r="F142" s="12">
        <f t="shared" si="21"/>
        <v>0.47567945719884919</v>
      </c>
      <c r="G142" s="12">
        <f t="shared" si="21"/>
        <v>0.35685682169213573</v>
      </c>
      <c r="H142" s="12">
        <f t="shared" si="21"/>
        <v>4.4245841582602363E-2</v>
      </c>
      <c r="I142" s="12">
        <f t="shared" si="21"/>
        <v>2.0044161330530219E-3</v>
      </c>
      <c r="J142" s="12">
        <f t="shared" si="21"/>
        <v>5.0926862140698859E-5</v>
      </c>
      <c r="K142" s="12">
        <f t="shared" si="21"/>
        <v>9.3557393032739355E-7</v>
      </c>
      <c r="L142" s="12">
        <f t="shared" si="21"/>
        <v>1.4459348274264983E-8</v>
      </c>
      <c r="M142" s="12">
        <f t="shared" si="21"/>
        <v>2.0620294360895741E-10</v>
      </c>
      <c r="N142" s="12">
        <f t="shared" si="21"/>
        <v>2.8744784330569928E-12</v>
      </c>
      <c r="O142" s="12">
        <f t="shared" si="21"/>
        <v>4.0634162701280729E-14</v>
      </c>
      <c r="P142" s="12">
        <f t="shared" si="21"/>
        <v>0</v>
      </c>
      <c r="Q142" s="12">
        <f t="shared" si="21"/>
        <v>0</v>
      </c>
      <c r="R142" s="12">
        <f t="shared" si="21"/>
        <v>0</v>
      </c>
      <c r="S142" s="12">
        <f t="shared" si="20"/>
        <v>0</v>
      </c>
      <c r="T142" s="12">
        <f t="shared" si="20"/>
        <v>0</v>
      </c>
      <c r="U142" s="12">
        <f t="shared" si="20"/>
        <v>0</v>
      </c>
      <c r="V142" s="12">
        <f t="shared" si="20"/>
        <v>0</v>
      </c>
    </row>
    <row r="143" spans="1:22">
      <c r="A143" s="35">
        <v>3.8</v>
      </c>
      <c r="B143" s="12">
        <v>0</v>
      </c>
      <c r="C143" s="12">
        <f t="shared" si="21"/>
        <v>9.039477209785839E-14</v>
      </c>
      <c r="D143" s="12">
        <f t="shared" si="21"/>
        <v>7.8363329602181982E-5</v>
      </c>
      <c r="E143" s="12">
        <f t="shared" si="21"/>
        <v>7.7626889027605506E-2</v>
      </c>
      <c r="F143" s="12">
        <f t="shared" si="21"/>
        <v>0.43140699323531206</v>
      </c>
      <c r="G143" s="12">
        <f t="shared" si="21"/>
        <v>0.42265487154476189</v>
      </c>
      <c r="H143" s="12">
        <f t="shared" si="21"/>
        <v>6.4777646611020145E-2</v>
      </c>
      <c r="I143" s="12">
        <f t="shared" si="21"/>
        <v>3.3610912600934295E-3</v>
      </c>
      <c r="J143" s="12">
        <f t="shared" si="21"/>
        <v>9.2355923900555581E-5</v>
      </c>
      <c r="K143" s="12">
        <f t="shared" si="21"/>
        <v>1.7612386362664267E-6</v>
      </c>
      <c r="L143" s="12">
        <f t="shared" si="21"/>
        <v>2.7437616623160466E-8</v>
      </c>
      <c r="M143" s="12">
        <f t="shared" si="21"/>
        <v>3.8606251528960911E-10</v>
      </c>
      <c r="N143" s="12">
        <f t="shared" si="21"/>
        <v>5.2264859107253869E-12</v>
      </c>
      <c r="O143" s="12">
        <f t="shared" si="21"/>
        <v>7.0943251273547503E-14</v>
      </c>
      <c r="P143" s="12">
        <f t="shared" si="21"/>
        <v>0</v>
      </c>
      <c r="Q143" s="12">
        <f t="shared" si="21"/>
        <v>0</v>
      </c>
      <c r="R143" s="12">
        <f t="shared" si="21"/>
        <v>0</v>
      </c>
      <c r="S143" s="12">
        <f t="shared" si="20"/>
        <v>0</v>
      </c>
      <c r="T143" s="12">
        <f t="shared" si="20"/>
        <v>0</v>
      </c>
      <c r="U143" s="12">
        <f t="shared" si="20"/>
        <v>0</v>
      </c>
      <c r="V143" s="12">
        <f t="shared" si="20"/>
        <v>0</v>
      </c>
    </row>
    <row r="144" spans="1:22">
      <c r="A144" s="34">
        <v>3.9</v>
      </c>
      <c r="B144" s="12">
        <v>0</v>
      </c>
      <c r="C144" s="12">
        <f t="shared" si="21"/>
        <v>4.2440957614369272E-15</v>
      </c>
      <c r="D144" s="12">
        <f t="shared" si="21"/>
        <v>2.0251906858700662E-5</v>
      </c>
      <c r="E144" s="12">
        <f t="shared" si="21"/>
        <v>4.4848783335867615E-2</v>
      </c>
      <c r="F144" s="12">
        <f t="shared" si="21"/>
        <v>0.36662739102301356</v>
      </c>
      <c r="G144" s="12">
        <f t="shared" si="21"/>
        <v>0.48691826185989817</v>
      </c>
      <c r="H144" s="12">
        <f t="shared" si="21"/>
        <v>9.5539151545911527E-2</v>
      </c>
      <c r="I144" s="12">
        <f t="shared" si="21"/>
        <v>5.8633276625320585E-3</v>
      </c>
      <c r="J144" s="12">
        <f t="shared" si="21"/>
        <v>1.7914222953296921E-4</v>
      </c>
      <c r="K144" s="12">
        <f t="shared" si="21"/>
        <v>3.6314020124272872E-6</v>
      </c>
      <c r="L144" s="12">
        <f t="shared" si="21"/>
        <v>5.8200774977201775E-8</v>
      </c>
      <c r="M144" s="12">
        <f t="shared" si="21"/>
        <v>8.2246354171644498E-10</v>
      </c>
      <c r="N144" s="12">
        <f t="shared" si="21"/>
        <v>1.0983325360314211E-11</v>
      </c>
      <c r="O144" s="12">
        <f t="shared" si="21"/>
        <v>1.4488410471358293E-13</v>
      </c>
      <c r="P144" s="12">
        <f t="shared" si="21"/>
        <v>1.9984014443252818E-15</v>
      </c>
      <c r="Q144" s="12">
        <f t="shared" si="21"/>
        <v>0</v>
      </c>
      <c r="R144" s="12">
        <f t="shared" si="21"/>
        <v>0</v>
      </c>
      <c r="S144" s="12">
        <f t="shared" si="20"/>
        <v>0</v>
      </c>
      <c r="T144" s="12">
        <f t="shared" si="20"/>
        <v>0</v>
      </c>
      <c r="U144" s="12">
        <f t="shared" si="20"/>
        <v>0</v>
      </c>
      <c r="V144" s="12">
        <f t="shared" si="20"/>
        <v>0</v>
      </c>
    </row>
    <row r="145" spans="1:22">
      <c r="A145" s="35">
        <v>4</v>
      </c>
      <c r="B145" s="12">
        <v>0</v>
      </c>
      <c r="C145" s="12">
        <f t="shared" si="21"/>
        <v>1.3350352585166262E-16</v>
      </c>
      <c r="D145" s="12">
        <f t="shared" si="21"/>
        <v>4.1474720378961725E-6</v>
      </c>
      <c r="E145" s="12">
        <f t="shared" si="21"/>
        <v>2.2714752882358469E-2</v>
      </c>
      <c r="F145" s="12">
        <f t="shared" si="21"/>
        <v>0.28670236373900115</v>
      </c>
      <c r="G145" s="12">
        <f t="shared" si="21"/>
        <v>0.53889805197101015</v>
      </c>
      <c r="H145" s="12">
        <f t="shared" si="21"/>
        <v>0.14070801868089422</v>
      </c>
      <c r="I145" s="12">
        <f t="shared" si="21"/>
        <v>1.0592775311355718E-2</v>
      </c>
      <c r="J145" s="12">
        <f t="shared" si="21"/>
        <v>3.715201799947554E-4</v>
      </c>
      <c r="K145" s="12">
        <f t="shared" si="21"/>
        <v>8.2287667558800237E-6</v>
      </c>
      <c r="L145" s="12">
        <f t="shared" si="21"/>
        <v>1.3895549733078383E-7</v>
      </c>
      <c r="M145" s="12">
        <f t="shared" si="21"/>
        <v>2.0137178591284055E-9</v>
      </c>
      <c r="N145" s="12">
        <f t="shared" si="21"/>
        <v>2.7019053661092585E-11</v>
      </c>
      <c r="O145" s="12">
        <f t="shared" si="21"/>
        <v>3.5271785492341223E-13</v>
      </c>
      <c r="P145" s="12">
        <f t="shared" si="21"/>
        <v>4.5519144009631418E-15</v>
      </c>
      <c r="Q145" s="12">
        <f t="shared" si="21"/>
        <v>0</v>
      </c>
      <c r="R145" s="12">
        <f t="shared" si="21"/>
        <v>0</v>
      </c>
      <c r="S145" s="12">
        <f t="shared" si="20"/>
        <v>0</v>
      </c>
      <c r="T145" s="12">
        <f t="shared" si="20"/>
        <v>0</v>
      </c>
      <c r="U145" s="12">
        <f t="shared" si="20"/>
        <v>0</v>
      </c>
      <c r="V145" s="12">
        <f t="shared" si="20"/>
        <v>0</v>
      </c>
    </row>
    <row r="146" spans="1:22">
      <c r="A146" s="34">
        <v>4.0999999999999996</v>
      </c>
      <c r="B146" s="12">
        <v>0</v>
      </c>
      <c r="C146" s="12">
        <f t="shared" si="21"/>
        <v>2.631659633988922E-18</v>
      </c>
      <c r="D146" s="12">
        <f t="shared" si="21"/>
        <v>6.4276096300733792E-7</v>
      </c>
      <c r="E146" s="12">
        <f t="shared" si="21"/>
        <v>9.7622650118324161E-3</v>
      </c>
      <c r="F146" s="12">
        <f t="shared" si="21"/>
        <v>0.20157550191609863</v>
      </c>
      <c r="G146" s="12">
        <f t="shared" si="21"/>
        <v>0.5638072249716588</v>
      </c>
      <c r="H146" s="12">
        <f t="shared" si="21"/>
        <v>0.20435488742703201</v>
      </c>
      <c r="I146" s="12">
        <f t="shared" si="21"/>
        <v>1.965783724702963E-2</v>
      </c>
      <c r="J146" s="12">
        <f t="shared" si="21"/>
        <v>8.2075768664635618E-4</v>
      </c>
      <c r="K146" s="12">
        <f t="shared" si="21"/>
        <v>2.0502190894222672E-5</v>
      </c>
      <c r="L146" s="12">
        <f t="shared" si="21"/>
        <v>3.7499817495678656E-7</v>
      </c>
      <c r="M146" s="12">
        <f t="shared" si="21"/>
        <v>5.7099689421136191E-9</v>
      </c>
      <c r="N146" s="12">
        <f t="shared" si="21"/>
        <v>7.8651973822729815E-11</v>
      </c>
      <c r="O146" s="12">
        <f t="shared" si="21"/>
        <v>1.035393992765421E-12</v>
      </c>
      <c r="P146" s="12">
        <f t="shared" si="21"/>
        <v>1.3433698597964394E-14</v>
      </c>
      <c r="Q146" s="12">
        <f t="shared" si="21"/>
        <v>0</v>
      </c>
      <c r="R146" s="12">
        <f t="shared" si="21"/>
        <v>0</v>
      </c>
      <c r="S146" s="12">
        <f t="shared" si="20"/>
        <v>0</v>
      </c>
      <c r="T146" s="12">
        <f t="shared" si="20"/>
        <v>0</v>
      </c>
      <c r="U146" s="12">
        <f t="shared" si="20"/>
        <v>0</v>
      </c>
      <c r="V146" s="12">
        <f t="shared" si="20"/>
        <v>0</v>
      </c>
    </row>
    <row r="147" spans="1:22">
      <c r="A147" s="35">
        <v>4.2</v>
      </c>
      <c r="B147" s="12">
        <v>0</v>
      </c>
      <c r="C147" s="12">
        <f t="shared" si="21"/>
        <v>3.0071408552579131E-20</v>
      </c>
      <c r="D147" s="12">
        <f t="shared" si="21"/>
        <v>7.1345432819675332E-8</v>
      </c>
      <c r="E147" s="12">
        <f t="shared" si="21"/>
        <v>3.4200027720231092E-3</v>
      </c>
      <c r="F147" s="12">
        <f t="shared" si="21"/>
        <v>0.12371630589080373</v>
      </c>
      <c r="G147" s="12">
        <f t="shared" si="21"/>
        <v>0.54617861868880679</v>
      </c>
      <c r="H147" s="12">
        <f t="shared" si="21"/>
        <v>0.28771009500070199</v>
      </c>
      <c r="I147" s="12">
        <f t="shared" si="21"/>
        <v>3.7001550342423806E-2</v>
      </c>
      <c r="J147" s="12">
        <f t="shared" si="21"/>
        <v>1.9162198039482936E-3</v>
      </c>
      <c r="K147" s="12">
        <f t="shared" si="21"/>
        <v>5.5972357971389997E-5</v>
      </c>
      <c r="L147" s="12">
        <f t="shared" si="21"/>
        <v>1.1446864401909451E-6</v>
      </c>
      <c r="M147" s="12">
        <f t="shared" si="21"/>
        <v>1.8834618309426787E-8</v>
      </c>
      <c r="N147" s="12">
        <f t="shared" si="21"/>
        <v>2.7307323069436507E-10</v>
      </c>
      <c r="O147" s="12">
        <f t="shared" si="21"/>
        <v>3.7065905900135476E-12</v>
      </c>
      <c r="P147" s="12">
        <f t="shared" si="21"/>
        <v>4.9071857688431919E-14</v>
      </c>
      <c r="Q147" s="12">
        <f t="shared" si="21"/>
        <v>0</v>
      </c>
      <c r="R147" s="12">
        <f t="shared" si="21"/>
        <v>0</v>
      </c>
      <c r="S147" s="12">
        <f t="shared" si="20"/>
        <v>0</v>
      </c>
      <c r="T147" s="12">
        <f t="shared" si="20"/>
        <v>0</v>
      </c>
      <c r="U147" s="12">
        <f t="shared" si="20"/>
        <v>0</v>
      </c>
      <c r="V147" s="12">
        <f t="shared" si="20"/>
        <v>0</v>
      </c>
    </row>
    <row r="148" spans="1:22">
      <c r="A148" s="34">
        <v>4.3</v>
      </c>
      <c r="B148" s="12">
        <v>0</v>
      </c>
      <c r="C148" s="12">
        <f t="shared" si="21"/>
        <v>1.8189987975813942E-22</v>
      </c>
      <c r="D148" s="12">
        <f t="shared" si="21"/>
        <v>5.3118226659908964E-9</v>
      </c>
      <c r="E148" s="12">
        <f t="shared" si="21"/>
        <v>9.2962423293073046E-4</v>
      </c>
      <c r="F148" s="12">
        <f t="shared" si="21"/>
        <v>6.3842963222349947E-2</v>
      </c>
      <c r="G148" s="12">
        <f t="shared" si="21"/>
        <v>0.47710318380054972</v>
      </c>
      <c r="H148" s="12">
        <f t="shared" si="21"/>
        <v>0.38392136338156502</v>
      </c>
      <c r="I148" s="12">
        <f t="shared" si="21"/>
        <v>6.9367316222422093E-2</v>
      </c>
      <c r="J148" s="12">
        <f t="shared" si="21"/>
        <v>4.6655090027949431E-3</v>
      </c>
      <c r="K148" s="12">
        <f t="shared" si="21"/>
        <v>1.6602482957206455E-4</v>
      </c>
      <c r="L148" s="12">
        <f t="shared" si="21"/>
        <v>3.9365625306153618E-6</v>
      </c>
      <c r="M148" s="12">
        <f t="shared" si="21"/>
        <v>7.2281706064991624E-8</v>
      </c>
      <c r="N148" s="12">
        <f t="shared" si="21"/>
        <v>1.1352235818051781E-9</v>
      </c>
      <c r="O148" s="12">
        <f t="shared" si="21"/>
        <v>1.6305290451157362E-11</v>
      </c>
      <c r="P148" s="12">
        <f t="shared" si="21"/>
        <v>2.2415402867181911E-13</v>
      </c>
      <c r="Q148" s="12">
        <f t="shared" si="21"/>
        <v>3.1086244689504383E-15</v>
      </c>
      <c r="R148" s="12">
        <f t="shared" si="21"/>
        <v>0</v>
      </c>
      <c r="S148" s="12">
        <f t="shared" si="20"/>
        <v>0</v>
      </c>
      <c r="T148" s="12">
        <f t="shared" si="20"/>
        <v>0</v>
      </c>
      <c r="U148" s="12">
        <f t="shared" si="20"/>
        <v>0</v>
      </c>
      <c r="V148" s="12">
        <f t="shared" si="20"/>
        <v>0</v>
      </c>
    </row>
    <row r="149" spans="1:22">
      <c r="A149" s="35">
        <v>4.4000000000000004</v>
      </c>
      <c r="B149" s="12">
        <v>0</v>
      </c>
      <c r="C149" s="12">
        <f t="shared" si="21"/>
        <v>5.240031223377446E-25</v>
      </c>
      <c r="D149" s="12">
        <f t="shared" si="21"/>
        <v>2.4534276100289548E-10</v>
      </c>
      <c r="E149" s="12">
        <f t="shared" si="21"/>
        <v>1.845943204924334E-4</v>
      </c>
      <c r="F149" s="12">
        <f t="shared" si="21"/>
        <v>2.6416690279494448E-2</v>
      </c>
      <c r="G149" s="12">
        <f t="shared" si="21"/>
        <v>0.36323575886916681</v>
      </c>
      <c r="H149" s="12">
        <f t="shared" si="21"/>
        <v>0.47167174825944158</v>
      </c>
      <c r="I149" s="12">
        <f t="shared" si="21"/>
        <v>0.1263360428945518</v>
      </c>
      <c r="J149" s="12">
        <f t="shared" si="21"/>
        <v>1.161255328197508E-2</v>
      </c>
      <c r="K149" s="12">
        <f t="shared" si="21"/>
        <v>5.271847815009334E-4</v>
      </c>
      <c r="L149" s="12">
        <f t="shared" si="21"/>
        <v>1.5100365085229939E-5</v>
      </c>
      <c r="M149" s="12">
        <f t="shared" si="21"/>
        <v>3.2097003244135891E-7</v>
      </c>
      <c r="N149" s="12">
        <f t="shared" si="21"/>
        <v>5.6432484241142333E-9</v>
      </c>
      <c r="O149" s="12">
        <f t="shared" si="21"/>
        <v>8.8353102611904433E-11</v>
      </c>
      <c r="P149" s="12">
        <f t="shared" si="21"/>
        <v>1.2961853812498703E-12</v>
      </c>
      <c r="Q149" s="12">
        <f t="shared" si="21"/>
        <v>1.8540724511240114E-14</v>
      </c>
      <c r="R149" s="12">
        <f t="shared" si="21"/>
        <v>0</v>
      </c>
      <c r="S149" s="12">
        <f t="shared" si="20"/>
        <v>0</v>
      </c>
      <c r="T149" s="12">
        <f t="shared" si="20"/>
        <v>0</v>
      </c>
      <c r="U149" s="12">
        <f t="shared" si="20"/>
        <v>0</v>
      </c>
      <c r="V149" s="12">
        <f t="shared" si="20"/>
        <v>0</v>
      </c>
    </row>
    <row r="150" spans="1:22">
      <c r="A150" s="34">
        <v>4.5</v>
      </c>
      <c r="B150" s="12">
        <v>0</v>
      </c>
      <c r="C150" s="12">
        <f t="shared" si="21"/>
        <v>6.3558735527286431E-28</v>
      </c>
      <c r="D150" s="12">
        <f t="shared" si="21"/>
        <v>6.4071545187581533E-12</v>
      </c>
      <c r="E150" s="12">
        <f t="shared" si="21"/>
        <v>2.4884905170994576E-5</v>
      </c>
      <c r="F150" s="12">
        <f t="shared" si="21"/>
        <v>8.2562307359729248E-3</v>
      </c>
      <c r="G150" s="12">
        <f t="shared" si="21"/>
        <v>0.23065418226190182</v>
      </c>
      <c r="H150" s="12">
        <f t="shared" si="21"/>
        <v>0.51421405080417182</v>
      </c>
      <c r="I150" s="12">
        <f t="shared" si="21"/>
        <v>0.21630042947666972</v>
      </c>
      <c r="J150" s="12">
        <f t="shared" si="21"/>
        <v>2.8733233948192938E-2</v>
      </c>
      <c r="K150" s="12">
        <f t="shared" si="21"/>
        <v>1.7518378617199515E-3</v>
      </c>
      <c r="L150" s="12">
        <f t="shared" si="21"/>
        <v>6.3487718529819936E-5</v>
      </c>
      <c r="M150" s="12">
        <f t="shared" si="21"/>
        <v>1.6284124085830243E-6</v>
      </c>
      <c r="N150" s="12">
        <f t="shared" si="21"/>
        <v>3.3271852939442681E-8</v>
      </c>
      <c r="O150" s="12">
        <f t="shared" si="21"/>
        <v>5.8737170682832129E-10</v>
      </c>
      <c r="P150" s="12">
        <f t="shared" si="21"/>
        <v>9.4817487195086869E-12</v>
      </c>
      <c r="Q150" s="12">
        <f t="shared" si="21"/>
        <v>1.4566126083082054E-13</v>
      </c>
      <c r="R150" s="12">
        <f t="shared" si="21"/>
        <v>2.2204460492503131E-15</v>
      </c>
      <c r="S150" s="12">
        <f t="shared" si="20"/>
        <v>0</v>
      </c>
      <c r="T150" s="12">
        <f t="shared" si="20"/>
        <v>0</v>
      </c>
      <c r="U150" s="12">
        <f t="shared" si="20"/>
        <v>0</v>
      </c>
      <c r="V150" s="12">
        <f t="shared" si="20"/>
        <v>0</v>
      </c>
    </row>
    <row r="151" spans="1:22">
      <c r="A151" s="35">
        <v>4.5999999999999996</v>
      </c>
      <c r="B151" s="12">
        <v>0</v>
      </c>
      <c r="C151" s="12">
        <f t="shared" si="21"/>
        <v>2.8126008379886732E-31</v>
      </c>
      <c r="D151" s="12">
        <f t="shared" si="21"/>
        <v>8.4748339592936187E-14</v>
      </c>
      <c r="E151" s="12">
        <f t="shared" si="21"/>
        <v>2.0841997133319378E-6</v>
      </c>
      <c r="F151" s="12">
        <f t="shared" si="21"/>
        <v>1.8090822295642184E-3</v>
      </c>
      <c r="G151" s="12">
        <f t="shared" si="21"/>
        <v>0.11537855074265124</v>
      </c>
      <c r="H151" s="12">
        <f t="shared" si="21"/>
        <v>0.47484667102202027</v>
      </c>
      <c r="I151" s="12">
        <f t="shared" si="21"/>
        <v>0.33370577092827447</v>
      </c>
      <c r="J151" s="12">
        <f t="shared" si="21"/>
        <v>6.8064942232825998E-2</v>
      </c>
      <c r="K151" s="12">
        <f t="shared" si="21"/>
        <v>5.8986127804280253E-3</v>
      </c>
      <c r="L151" s="12">
        <f t="shared" si="21"/>
        <v>2.8481542758385103E-4</v>
      </c>
      <c r="M151" s="12">
        <f t="shared" si="21"/>
        <v>9.2368269254405888E-6</v>
      </c>
      <c r="N151" s="12">
        <f t="shared" si="21"/>
        <v>2.2878894401223704E-7</v>
      </c>
      <c r="O151" s="12">
        <f t="shared" si="21"/>
        <v>4.7324136831505825E-9</v>
      </c>
      <c r="P151" s="12">
        <f t="shared" si="21"/>
        <v>8.7056029052234862E-11</v>
      </c>
      <c r="Q151" s="12">
        <f t="shared" si="21"/>
        <v>1.4898082767444976E-12</v>
      </c>
      <c r="R151" s="12">
        <f t="shared" si="21"/>
        <v>2.4424906541753444E-14</v>
      </c>
      <c r="S151" s="12">
        <f t="shared" ref="S151:V165" si="22">X87-W87</f>
        <v>0</v>
      </c>
      <c r="T151" s="12">
        <f t="shared" si="22"/>
        <v>0</v>
      </c>
      <c r="U151" s="12">
        <f t="shared" si="22"/>
        <v>0</v>
      </c>
      <c r="V151" s="12">
        <f t="shared" si="22"/>
        <v>0</v>
      </c>
    </row>
    <row r="152" spans="1:22">
      <c r="A152" s="34">
        <v>4.7</v>
      </c>
      <c r="B152" s="12">
        <v>0</v>
      </c>
      <c r="C152" s="12">
        <f t="shared" si="21"/>
        <v>3.8434322041843354E-35</v>
      </c>
      <c r="D152" s="12">
        <f t="shared" si="21"/>
        <v>4.9841658062635491E-16</v>
      </c>
      <c r="E152" s="12">
        <f t="shared" si="21"/>
        <v>9.7451749483151081E-8</v>
      </c>
      <c r="F152" s="12">
        <f t="shared" si="21"/>
        <v>2.5346319723797893E-4</v>
      </c>
      <c r="G152" s="12">
        <f t="shared" si="21"/>
        <v>4.222538934421205E-2</v>
      </c>
      <c r="H152" s="12">
        <f t="shared" si="21"/>
        <v>0.35017535210172968</v>
      </c>
      <c r="I152" s="12">
        <f t="shared" si="21"/>
        <v>0.43974648593943833</v>
      </c>
      <c r="J152" s="12">
        <f t="shared" si="21"/>
        <v>0.14696667512728356</v>
      </c>
      <c r="K152" s="12">
        <f t="shared" si="21"/>
        <v>1.9261804089294343E-2</v>
      </c>
      <c r="L152" s="12">
        <f t="shared" si="21"/>
        <v>1.3122097789936005E-3</v>
      </c>
      <c r="M152" s="12">
        <f t="shared" si="21"/>
        <v>5.6691731757818609E-5</v>
      </c>
      <c r="N152" s="12">
        <f t="shared" si="21"/>
        <v>1.7850568572175263E-6</v>
      </c>
      <c r="O152" s="12">
        <f t="shared" si="21"/>
        <v>4.5176282492676023E-8</v>
      </c>
      <c r="P152" s="12">
        <f t="shared" si="21"/>
        <v>9.8531816039582054E-10</v>
      </c>
      <c r="Q152" s="12">
        <f t="shared" si="21"/>
        <v>1.9476198431789271E-11</v>
      </c>
      <c r="R152" s="12">
        <f t="shared" si="21"/>
        <v>3.6193270602780103E-13</v>
      </c>
      <c r="S152" s="12">
        <f t="shared" si="22"/>
        <v>6.5503158452884236E-15</v>
      </c>
      <c r="T152" s="12">
        <f t="shared" si="22"/>
        <v>0</v>
      </c>
      <c r="U152" s="12">
        <f t="shared" si="22"/>
        <v>0</v>
      </c>
      <c r="V152" s="12">
        <f t="shared" si="22"/>
        <v>0</v>
      </c>
    </row>
    <row r="153" spans="1:22">
      <c r="A153" s="35">
        <v>4.8</v>
      </c>
      <c r="B153" s="12">
        <v>0</v>
      </c>
      <c r="C153" s="12">
        <f t="shared" si="21"/>
        <v>1.3360455192930887E-39</v>
      </c>
      <c r="D153" s="12">
        <f t="shared" si="21"/>
        <v>1.1173453036378356E-18</v>
      </c>
      <c r="E153" s="12">
        <f t="shared" si="21"/>
        <v>2.2372651601906321E-9</v>
      </c>
      <c r="F153" s="12">
        <f t="shared" si="21"/>
        <v>2.0285993805092151E-5</v>
      </c>
      <c r="G153" s="12">
        <f t="shared" si="21"/>
        <v>1.0286142719826086E-2</v>
      </c>
      <c r="H153" s="12">
        <f t="shared" si="21"/>
        <v>0.19126880013164282</v>
      </c>
      <c r="I153" s="12">
        <f t="shared" si="21"/>
        <v>0.46287172658601372</v>
      </c>
      <c r="J153" s="12">
        <f t="shared" si="21"/>
        <v>0.27169512079127633</v>
      </c>
      <c r="K153" s="12">
        <f t="shared" si="21"/>
        <v>5.758825192018413E-2</v>
      </c>
      <c r="L153" s="12">
        <f t="shared" si="21"/>
        <v>5.894510139638709E-3</v>
      </c>
      <c r="M153" s="12">
        <f t="shared" si="21"/>
        <v>3.5948021988352341E-4</v>
      </c>
      <c r="N153" s="12">
        <f t="shared" si="21"/>
        <v>1.517241621074028E-5</v>
      </c>
      <c r="O153" s="12">
        <f t="shared" si="21"/>
        <v>4.9318508765772151E-7</v>
      </c>
      <c r="P153" s="12">
        <f t="shared" si="21"/>
        <v>1.3334865767156145E-8</v>
      </c>
      <c r="Q153" s="12">
        <f t="shared" si="21"/>
        <v>3.1723346172185529E-10</v>
      </c>
      <c r="R153" s="12">
        <f t="shared" si="21"/>
        <v>6.9210193132107634E-12</v>
      </c>
      <c r="S153" s="12">
        <f t="shared" si="22"/>
        <v>1.4288570326925765E-13</v>
      </c>
      <c r="T153" s="12">
        <f t="shared" si="22"/>
        <v>2.7755575615628914E-15</v>
      </c>
      <c r="U153" s="12">
        <f t="shared" si="22"/>
        <v>0</v>
      </c>
      <c r="V153" s="12">
        <f t="shared" si="22"/>
        <v>0</v>
      </c>
    </row>
    <row r="154" spans="1:22">
      <c r="A154" s="34">
        <v>4.9000000000000004</v>
      </c>
      <c r="B154" s="12">
        <v>0</v>
      </c>
      <c r="C154" s="12">
        <f t="shared" si="21"/>
        <v>9.4320196295955693E-45</v>
      </c>
      <c r="D154" s="12">
        <f t="shared" si="21"/>
        <v>7.9625407711570187E-22</v>
      </c>
      <c r="E154" s="12">
        <f t="shared" si="21"/>
        <v>2.1626652832732672E-11</v>
      </c>
      <c r="F154" s="12">
        <f t="shared" si="21"/>
        <v>8.0884874580674678E-7</v>
      </c>
      <c r="G154" s="12">
        <f t="shared" si="21"/>
        <v>1.4810703215903942E-3</v>
      </c>
      <c r="H154" s="12">
        <f t="shared" si="21"/>
        <v>7.0230173171545562E-2</v>
      </c>
      <c r="I154" s="12">
        <f t="shared" si="21"/>
        <v>0.35783473922301079</v>
      </c>
      <c r="J154" s="12">
        <f t="shared" si="21"/>
        <v>0.39755928608452618</v>
      </c>
      <c r="K154" s="12">
        <f t="shared" si="21"/>
        <v>0.14642996354115867</v>
      </c>
      <c r="L154" s="12">
        <f t="shared" si="21"/>
        <v>2.4112750782442571E-2</v>
      </c>
      <c r="M154" s="12">
        <f t="shared" si="21"/>
        <v>2.2123955608428503E-3</v>
      </c>
      <c r="N154" s="12">
        <f t="shared" si="21"/>
        <v>1.3274937755336502E-4</v>
      </c>
      <c r="O154" s="12">
        <f t="shared" si="21"/>
        <v>5.8505758750992953E-6</v>
      </c>
      <c r="P154" s="12">
        <f t="shared" si="21"/>
        <v>2.0614080475933605E-7</v>
      </c>
      <c r="Q154" s="12">
        <f t="shared" si="21"/>
        <v>6.1808804741048107E-9</v>
      </c>
      <c r="R154" s="12">
        <f t="shared" ref="R154:R165" si="23">W90-V90</f>
        <v>1.6522139212327147E-10</v>
      </c>
      <c r="S154" s="12">
        <f t="shared" si="22"/>
        <v>4.0777381471457375E-12</v>
      </c>
      <c r="T154" s="12">
        <f t="shared" si="22"/>
        <v>9.5479180117763462E-14</v>
      </c>
      <c r="U154" s="12">
        <f t="shared" si="22"/>
        <v>2.2204460492503131E-15</v>
      </c>
      <c r="V154" s="12">
        <f t="shared" si="22"/>
        <v>0</v>
      </c>
    </row>
    <row r="155" spans="1:22">
      <c r="A155" s="35">
        <v>5</v>
      </c>
      <c r="B155" s="12">
        <v>0</v>
      </c>
      <c r="C155" s="12">
        <f t="shared" ref="C155:Q165" si="24">H91-G91</f>
        <v>1.0411640073045589E-50</v>
      </c>
      <c r="D155" s="12">
        <f t="shared" si="24"/>
        <v>1.4565986338683534E-25</v>
      </c>
      <c r="E155" s="12">
        <f t="shared" si="24"/>
        <v>7.3286445150318618E-14</v>
      </c>
      <c r="F155" s="12">
        <f t="shared" si="24"/>
        <v>1.3622336432350371E-8</v>
      </c>
      <c r="G155" s="12">
        <f t="shared" si="24"/>
        <v>1.0885570616529318E-4</v>
      </c>
      <c r="H155" s="12">
        <f t="shared" si="24"/>
        <v>1.5304512819301119E-2</v>
      </c>
      <c r="I155" s="12">
        <f t="shared" si="24"/>
        <v>0.18274857799014943</v>
      </c>
      <c r="J155" s="12">
        <f t="shared" si="24"/>
        <v>0.41757619411693025</v>
      </c>
      <c r="K155" s="12">
        <f t="shared" si="24"/>
        <v>0.28860262945751503</v>
      </c>
      <c r="L155" s="12">
        <f t="shared" si="24"/>
        <v>8.2298966659827943E-2</v>
      </c>
      <c r="M155" s="12">
        <f t="shared" si="24"/>
        <v>1.2178073063350059E-2</v>
      </c>
      <c r="N155" s="12">
        <f t="shared" si="24"/>
        <v>1.1083005236750543E-3</v>
      </c>
      <c r="O155" s="12">
        <f t="shared" si="24"/>
        <v>7.0322141695666751E-5</v>
      </c>
      <c r="P155" s="12">
        <f t="shared" si="24"/>
        <v>3.4132754797022713E-6</v>
      </c>
      <c r="Q155" s="12">
        <f t="shared" si="24"/>
        <v>1.3580896718323743E-7</v>
      </c>
      <c r="R155" s="12">
        <f t="shared" si="23"/>
        <v>4.6662625985405271E-9</v>
      </c>
      <c r="S155" s="12">
        <f t="shared" si="22"/>
        <v>1.4403866988033087E-10</v>
      </c>
      <c r="T155" s="12">
        <f t="shared" si="22"/>
        <v>4.1177061760322431E-12</v>
      </c>
      <c r="U155" s="12">
        <f t="shared" si="22"/>
        <v>1.1157741397482823E-13</v>
      </c>
      <c r="V155" s="12">
        <f t="shared" si="22"/>
        <v>2.9976021664879227E-15</v>
      </c>
    </row>
    <row r="156" spans="1:22">
      <c r="A156" s="34">
        <v>5.0999999999999996</v>
      </c>
      <c r="B156" s="12">
        <v>0</v>
      </c>
      <c r="C156" s="12">
        <f t="shared" si="24"/>
        <v>1.3269280087892585E-57</v>
      </c>
      <c r="D156" s="12">
        <f t="shared" si="24"/>
        <v>5.3205127508596318E-30</v>
      </c>
      <c r="E156" s="12">
        <f t="shared" si="24"/>
        <v>7.0019909701559479E-17</v>
      </c>
      <c r="F156" s="12">
        <f t="shared" si="24"/>
        <v>7.9500935800669371E-11</v>
      </c>
      <c r="G156" s="12">
        <f t="shared" si="24"/>
        <v>3.4160674140081971E-6</v>
      </c>
      <c r="H156" s="12">
        <f t="shared" si="24"/>
        <v>1.6903172338494921E-3</v>
      </c>
      <c r="I156" s="12">
        <f t="shared" si="24"/>
        <v>5.3870728851247551E-2</v>
      </c>
      <c r="J156" s="12">
        <f t="shared" si="24"/>
        <v>0.2787592354265811</v>
      </c>
      <c r="K156" s="12">
        <f t="shared" si="24"/>
        <v>0.3928952081965299</v>
      </c>
      <c r="L156" s="12">
        <f t="shared" si="24"/>
        <v>0.20993449528262043</v>
      </c>
      <c r="M156" s="12">
        <f t="shared" si="24"/>
        <v>5.400633433598323E-2</v>
      </c>
      <c r="N156" s="12">
        <f t="shared" si="24"/>
        <v>8.0007577103139438E-3</v>
      </c>
      <c r="O156" s="12">
        <f t="shared" si="24"/>
        <v>7.8073919086507626E-4</v>
      </c>
      <c r="P156" s="12">
        <f t="shared" si="24"/>
        <v>5.5513230847070716E-5</v>
      </c>
      <c r="Q156" s="12">
        <f t="shared" si="24"/>
        <v>3.1037176051462723E-6</v>
      </c>
      <c r="R156" s="12">
        <f t="shared" si="23"/>
        <v>1.4458690145158215E-7</v>
      </c>
      <c r="S156" s="12">
        <f t="shared" si="22"/>
        <v>5.8675272418540203E-9</v>
      </c>
      <c r="T156" s="12">
        <f t="shared" si="22"/>
        <v>2.146960387250374E-10</v>
      </c>
      <c r="U156" s="12">
        <f t="shared" si="22"/>
        <v>7.276623747998201E-12</v>
      </c>
      <c r="V156" s="12">
        <f t="shared" si="22"/>
        <v>2.4069635173873394E-13</v>
      </c>
    </row>
    <row r="157" spans="1:22">
      <c r="A157" s="35">
        <v>5.2</v>
      </c>
      <c r="B157" s="12">
        <v>0</v>
      </c>
      <c r="C157" s="12">
        <f t="shared" si="24"/>
        <v>1.3738237366227517E-65</v>
      </c>
      <c r="D157" s="12">
        <f t="shared" si="24"/>
        <v>2.8902457852329137E-35</v>
      </c>
      <c r="E157" s="12">
        <f t="shared" si="24"/>
        <v>1.4570442750583958E-20</v>
      </c>
      <c r="F157" s="12">
        <f t="shared" si="24"/>
        <v>1.2692682563847075E-13</v>
      </c>
      <c r="G157" s="12">
        <f t="shared" si="24"/>
        <v>3.6903479905019513E-8</v>
      </c>
      <c r="H157" s="12">
        <f t="shared" si="24"/>
        <v>7.7769529646337307E-5</v>
      </c>
      <c r="I157" s="12">
        <f t="shared" si="24"/>
        <v>7.7165807911755424E-3</v>
      </c>
      <c r="J157" s="12">
        <f t="shared" si="24"/>
        <v>0.10151700425988197</v>
      </c>
      <c r="K157" s="12">
        <f t="shared" si="24"/>
        <v>0.32031444163294664</v>
      </c>
      <c r="L157" s="12">
        <f t="shared" si="24"/>
        <v>0.34910425768352438</v>
      </c>
      <c r="M157" s="12">
        <f t="shared" si="24"/>
        <v>0.16924144099791194</v>
      </c>
      <c r="N157" s="12">
        <f t="shared" si="24"/>
        <v>4.4059038926880456E-2</v>
      </c>
      <c r="O157" s="12">
        <f t="shared" si="24"/>
        <v>7.1064911093889904E-3</v>
      </c>
      <c r="P157" s="12">
        <f t="shared" si="24"/>
        <v>7.9195505929119392E-4</v>
      </c>
      <c r="Q157" s="12">
        <f t="shared" si="24"/>
        <v>6.6278284198806325E-5</v>
      </c>
      <c r="R157" s="12">
        <f t="shared" si="23"/>
        <v>4.4414228582700943E-6</v>
      </c>
      <c r="S157" s="12">
        <f t="shared" si="22"/>
        <v>2.5046726737087965E-7</v>
      </c>
      <c r="T157" s="12">
        <f t="shared" si="22"/>
        <v>1.2357828760301004E-8</v>
      </c>
      <c r="U157" s="12">
        <f t="shared" si="22"/>
        <v>5.5005033861021957E-10</v>
      </c>
      <c r="V157" s="12">
        <f t="shared" si="22"/>
        <v>2.3542168214873982E-11</v>
      </c>
    </row>
    <row r="158" spans="1:22">
      <c r="A158" s="34">
        <v>5.3</v>
      </c>
      <c r="B158" s="12">
        <v>0</v>
      </c>
      <c r="C158" s="12">
        <f t="shared" si="24"/>
        <v>7.6913331577888647E-75</v>
      </c>
      <c r="D158" s="12">
        <f t="shared" si="24"/>
        <v>1.6537981305785596E-41</v>
      </c>
      <c r="E158" s="12">
        <f t="shared" si="24"/>
        <v>4.867357103257711E-25</v>
      </c>
      <c r="F158" s="12">
        <f t="shared" si="24"/>
        <v>4.1845044902565223E-17</v>
      </c>
      <c r="G158" s="12">
        <f t="shared" si="24"/>
        <v>1.060173066965547E-10</v>
      </c>
      <c r="H158" s="12">
        <f t="shared" si="24"/>
        <v>1.1735497478923247E-6</v>
      </c>
      <c r="I158" s="12">
        <f t="shared" si="24"/>
        <v>4.3240221502616194E-4</v>
      </c>
      <c r="J158" s="12">
        <f t="shared" si="24"/>
        <v>1.6625273584448097E-2</v>
      </c>
      <c r="K158" s="12">
        <f t="shared" si="24"/>
        <v>0.13096411719170087</v>
      </c>
      <c r="L158" s="12">
        <f t="shared" si="24"/>
        <v>0.31970269587585654</v>
      </c>
      <c r="M158" s="12">
        <f t="shared" si="24"/>
        <v>0.31855546166992221</v>
      </c>
      <c r="N158" s="12">
        <f t="shared" si="24"/>
        <v>0.15824487963421541</v>
      </c>
      <c r="O158" s="12">
        <f t="shared" si="24"/>
        <v>4.5616142832421436E-2</v>
      </c>
      <c r="P158" s="12">
        <f t="shared" si="24"/>
        <v>8.5770712800058435E-3</v>
      </c>
      <c r="Q158" s="12">
        <f t="shared" si="24"/>
        <v>1.1516689964587989E-3</v>
      </c>
      <c r="R158" s="12">
        <f t="shared" si="23"/>
        <v>1.1849784702999688E-4</v>
      </c>
      <c r="S158" s="12">
        <f t="shared" si="22"/>
        <v>9.8737814483440545E-6</v>
      </c>
      <c r="T158" s="12">
        <f t="shared" si="22"/>
        <v>6.9595926477372672E-7</v>
      </c>
      <c r="U158" s="12">
        <f t="shared" si="22"/>
        <v>4.2960318524798424E-8</v>
      </c>
      <c r="V158" s="12">
        <f t="shared" si="22"/>
        <v>2.5161177585886207E-9</v>
      </c>
    </row>
    <row r="159" spans="1:22">
      <c r="A159" s="35">
        <v>5.4</v>
      </c>
      <c r="B159" s="12">
        <v>0</v>
      </c>
      <c r="C159" s="12">
        <f t="shared" si="24"/>
        <v>1.4539983697082468E-85</v>
      </c>
      <c r="D159" s="12">
        <f t="shared" si="24"/>
        <v>6.6609690285612061E-49</v>
      </c>
      <c r="E159" s="12">
        <f t="shared" si="24"/>
        <v>1.8219806936131102E-30</v>
      </c>
      <c r="F159" s="12">
        <f t="shared" si="24"/>
        <v>2.0408980886680518E-21</v>
      </c>
      <c r="G159" s="12">
        <f t="shared" si="24"/>
        <v>5.9528531497868816E-14</v>
      </c>
      <c r="H159" s="12">
        <f t="shared" si="24"/>
        <v>4.3554663733703658E-9</v>
      </c>
      <c r="I159" s="12">
        <f t="shared" si="24"/>
        <v>7.2512524720671899E-6</v>
      </c>
      <c r="J159" s="12">
        <f t="shared" si="24"/>
        <v>9.5963894877781897E-4</v>
      </c>
      <c r="K159" s="12">
        <f t="shared" si="24"/>
        <v>2.1503715026938375E-2</v>
      </c>
      <c r="L159" s="12">
        <f t="shared" si="24"/>
        <v>0.13088840189400097</v>
      </c>
      <c r="M159" s="12">
        <f t="shared" si="24"/>
        <v>0.29483575130156281</v>
      </c>
      <c r="N159" s="12">
        <f t="shared" si="24"/>
        <v>0.30545035876969329</v>
      </c>
      <c r="O159" s="12">
        <f t="shared" si="24"/>
        <v>0.17119438818377863</v>
      </c>
      <c r="P159" s="12">
        <f t="shared" si="24"/>
        <v>5.8829790288770112E-2</v>
      </c>
      <c r="Q159" s="12">
        <f t="shared" si="24"/>
        <v>1.3669594647841121E-2</v>
      </c>
      <c r="R159" s="12">
        <f t="shared" si="23"/>
        <v>2.3195671861855338E-3</v>
      </c>
      <c r="S159" s="12">
        <f t="shared" si="22"/>
        <v>3.0551317408511469E-4</v>
      </c>
      <c r="T159" s="12">
        <f t="shared" si="22"/>
        <v>3.2788578195330764E-5</v>
      </c>
      <c r="U159" s="12">
        <f t="shared" si="22"/>
        <v>2.9813159683200752E-6</v>
      </c>
      <c r="V159" s="12">
        <f t="shared" si="22"/>
        <v>2.5507620460274438E-7</v>
      </c>
    </row>
    <row r="160" spans="1:22">
      <c r="A160" s="34">
        <v>5.5</v>
      </c>
      <c r="B160" s="12">
        <v>0</v>
      </c>
      <c r="C160" s="12">
        <f t="shared" si="24"/>
        <v>5.3860701170533831E-98</v>
      </c>
      <c r="D160" s="12">
        <f t="shared" si="24"/>
        <v>1.1799952340118854E-57</v>
      </c>
      <c r="E160" s="12">
        <f t="shared" si="24"/>
        <v>5.0081054887596617E-37</v>
      </c>
      <c r="F160" s="12">
        <f t="shared" si="24"/>
        <v>9.9293970095756826E-27</v>
      </c>
      <c r="G160" s="12">
        <f t="shared" si="24"/>
        <v>4.530833363657893E-18</v>
      </c>
      <c r="H160" s="12">
        <f t="shared" si="24"/>
        <v>2.8187707977588072E-12</v>
      </c>
      <c r="I160" s="12">
        <f t="shared" si="24"/>
        <v>2.6300361954006237E-8</v>
      </c>
      <c r="J160" s="12">
        <f t="shared" si="24"/>
        <v>1.4422751069236008E-5</v>
      </c>
      <c r="K160" s="12">
        <f t="shared" si="24"/>
        <v>1.0730434505374919E-3</v>
      </c>
      <c r="L160" s="12">
        <f t="shared" si="24"/>
        <v>1.848525364317033E-2</v>
      </c>
      <c r="M160" s="12">
        <f t="shared" si="24"/>
        <v>0.10487341008942719</v>
      </c>
      <c r="N160" s="12">
        <f t="shared" si="24"/>
        <v>0.24980449219065703</v>
      </c>
      <c r="O160" s="12">
        <f t="shared" si="24"/>
        <v>0.29820684916878493</v>
      </c>
      <c r="P160" s="12">
        <f t="shared" si="24"/>
        <v>0.20418815274625812</v>
      </c>
      <c r="Q160" s="12">
        <f t="shared" si="24"/>
        <v>8.9121420635965842E-2</v>
      </c>
      <c r="R160" s="12">
        <f t="shared" si="23"/>
        <v>2.695914189456583E-2</v>
      </c>
      <c r="S160" s="12">
        <f t="shared" si="22"/>
        <v>6.0427104829832157E-3</v>
      </c>
      <c r="T160" s="12">
        <f t="shared" si="22"/>
        <v>1.0590184762642174E-3</v>
      </c>
      <c r="U160" s="12">
        <f t="shared" si="22"/>
        <v>1.5156914203284799E-4</v>
      </c>
      <c r="V160" s="12">
        <f t="shared" si="22"/>
        <v>2.0489025102987668E-5</v>
      </c>
    </row>
    <row r="161" spans="1:22">
      <c r="A161" s="35">
        <v>5.6</v>
      </c>
      <c r="B161" s="12">
        <v>0</v>
      </c>
      <c r="C161" s="12">
        <f t="shared" si="24"/>
        <v>2.085597815804812E-112</v>
      </c>
      <c r="D161" s="12">
        <f t="shared" si="24"/>
        <v>5.3171175257494867E-68</v>
      </c>
      <c r="E161" s="12">
        <f t="shared" si="24"/>
        <v>6.15776570742137E-45</v>
      </c>
      <c r="F161" s="12">
        <f t="shared" si="24"/>
        <v>3.0286289782233763E-33</v>
      </c>
      <c r="G161" s="12">
        <f t="shared" si="24"/>
        <v>3.0303000483611829E-23</v>
      </c>
      <c r="H161" s="12">
        <f t="shared" si="24"/>
        <v>2.113401713689701E-16</v>
      </c>
      <c r="I161" s="12">
        <f t="shared" si="24"/>
        <v>1.3984588541173719E-11</v>
      </c>
      <c r="J161" s="12">
        <f t="shared" si="24"/>
        <v>3.9018354895297155E-8</v>
      </c>
      <c r="K161" s="12">
        <f t="shared" si="24"/>
        <v>1.1510983682570729E-5</v>
      </c>
      <c r="L161" s="12">
        <f t="shared" si="24"/>
        <v>6.5190315430263546E-4</v>
      </c>
      <c r="M161" s="12">
        <f t="shared" si="24"/>
        <v>1.0569220938667412E-2</v>
      </c>
      <c r="N161" s="12">
        <f t="shared" si="24"/>
        <v>6.4634325528057035E-2</v>
      </c>
      <c r="O161" s="12">
        <f t="shared" si="24"/>
        <v>0.18170245714705002</v>
      </c>
      <c r="P161" s="12">
        <f t="shared" si="24"/>
        <v>0.27230716909383401</v>
      </c>
      <c r="Q161" s="12">
        <f t="shared" si="24"/>
        <v>0.24400640468505241</v>
      </c>
      <c r="R161" s="12">
        <f t="shared" si="23"/>
        <v>0.14317802011430336</v>
      </c>
      <c r="S161" s="12">
        <f t="shared" si="22"/>
        <v>5.9182124767346966E-2</v>
      </c>
      <c r="T161" s="12">
        <f t="shared" si="22"/>
        <v>1.8282069761491604E-2</v>
      </c>
      <c r="U161" s="12">
        <f t="shared" si="22"/>
        <v>4.4292035972672839E-3</v>
      </c>
      <c r="V161" s="12">
        <f t="shared" si="22"/>
        <v>1.045551196604988E-3</v>
      </c>
    </row>
    <row r="162" spans="1:22">
      <c r="A162" s="34">
        <v>5.7</v>
      </c>
      <c r="B162" s="12">
        <v>0</v>
      </c>
      <c r="C162" s="12">
        <f t="shared" si="24"/>
        <v>4.089256953534794E-129</v>
      </c>
      <c r="D162" s="12">
        <f t="shared" si="24"/>
        <v>3.2239767296249602E-80</v>
      </c>
      <c r="E162" s="12">
        <f t="shared" si="24"/>
        <v>1.8963413406137463E-54</v>
      </c>
      <c r="F162" s="12">
        <f t="shared" si="24"/>
        <v>3.3553941331486533E-41</v>
      </c>
      <c r="G162" s="12">
        <f t="shared" si="24"/>
        <v>1.0675162159581062E-29</v>
      </c>
      <c r="H162" s="12">
        <f t="shared" si="24"/>
        <v>1.1307201673842589E-21</v>
      </c>
      <c r="I162" s="12">
        <f t="shared" si="24"/>
        <v>6.8650217981104692E-16</v>
      </c>
      <c r="J162" s="12">
        <f t="shared" si="24"/>
        <v>1.2199412140493462E-11</v>
      </c>
      <c r="K162" s="12">
        <f t="shared" si="24"/>
        <v>1.7396266978407871E-8</v>
      </c>
      <c r="L162" s="12">
        <f t="shared" si="24"/>
        <v>3.8492245393670241E-6</v>
      </c>
      <c r="M162" s="12">
        <f t="shared" si="24"/>
        <v>2.0685706632239675E-4</v>
      </c>
      <c r="N162" s="12">
        <f t="shared" si="24"/>
        <v>3.6917000019923707E-3</v>
      </c>
      <c r="O162" s="12">
        <f t="shared" si="24"/>
        <v>2.7382382128967597E-2</v>
      </c>
      <c r="P162" s="12">
        <f t="shared" si="24"/>
        <v>9.9653229283069855E-2</v>
      </c>
      <c r="Q162" s="12">
        <f t="shared" si="24"/>
        <v>0.20202133939235278</v>
      </c>
      <c r="R162" s="12">
        <f t="shared" si="23"/>
        <v>0.25205616623526428</v>
      </c>
      <c r="S162" s="12">
        <f t="shared" si="22"/>
        <v>0.2096546583251806</v>
      </c>
      <c r="T162" s="12">
        <f t="shared" si="22"/>
        <v>0.12405534160527087</v>
      </c>
      <c r="U162" s="12">
        <f t="shared" si="22"/>
        <v>5.507426518116465E-2</v>
      </c>
      <c r="V162" s="12">
        <f t="shared" si="22"/>
        <v>2.6200194147408151E-2</v>
      </c>
    </row>
    <row r="163" spans="1:22">
      <c r="A163" s="35">
        <v>5.8</v>
      </c>
      <c r="B163" s="12">
        <v>0</v>
      </c>
      <c r="C163" s="12">
        <f t="shared" si="24"/>
        <v>1.76087712069852E-148</v>
      </c>
      <c r="D163" s="12">
        <f t="shared" si="24"/>
        <v>1.2560272244339476E-94</v>
      </c>
      <c r="E163" s="12">
        <f t="shared" si="24"/>
        <v>7.431140223303071E-66</v>
      </c>
      <c r="F163" s="12">
        <f t="shared" si="24"/>
        <v>7.1208748431672194E-51</v>
      </c>
      <c r="G163" s="12">
        <f t="shared" si="24"/>
        <v>1.0843406513252568E-37</v>
      </c>
      <c r="H163" s="12">
        <f t="shared" si="24"/>
        <v>2.4354156663531573E-28</v>
      </c>
      <c r="I163" s="12">
        <f t="shared" si="24"/>
        <v>1.7991527279336036E-21</v>
      </c>
      <c r="J163" s="12">
        <f t="shared" si="24"/>
        <v>2.602575438454617E-16</v>
      </c>
      <c r="K163" s="12">
        <f t="shared" si="24"/>
        <v>2.2293383238056386E-12</v>
      </c>
      <c r="L163" s="12">
        <f t="shared" si="24"/>
        <v>2.3383904939540314E-9</v>
      </c>
      <c r="M163" s="12">
        <f t="shared" si="24"/>
        <v>4.9401097884059408E-7</v>
      </c>
      <c r="N163" s="12">
        <f t="shared" si="24"/>
        <v>2.9873238519551037E-5</v>
      </c>
      <c r="O163" s="12">
        <f t="shared" si="24"/>
        <v>6.6677241414003774E-4</v>
      </c>
      <c r="P163" s="12">
        <f t="shared" si="24"/>
        <v>6.6304743258440713E-3</v>
      </c>
      <c r="Q163" s="12">
        <f t="shared" si="24"/>
        <v>3.388343970193175E-2</v>
      </c>
      <c r="R163" s="12">
        <f t="shared" si="23"/>
        <v>9.9439190673087263E-2</v>
      </c>
      <c r="S163" s="12">
        <f t="shared" si="22"/>
        <v>0.1830858040462422</v>
      </c>
      <c r="T163" s="12">
        <f t="shared" si="22"/>
        <v>0.22718609019642266</v>
      </c>
      <c r="U163" s="12">
        <f t="shared" si="22"/>
        <v>0.20149422301331099</v>
      </c>
      <c r="V163" s="12">
        <f t="shared" si="22"/>
        <v>0.24758363603890254</v>
      </c>
    </row>
    <row r="164" spans="1:22">
      <c r="A164" s="34">
        <v>5.9</v>
      </c>
      <c r="B164" s="12">
        <v>0</v>
      </c>
      <c r="C164" s="12">
        <f t="shared" si="24"/>
        <v>6.3647805439765991E-171</v>
      </c>
      <c r="D164" s="12">
        <f t="shared" si="24"/>
        <v>1.3346596627685074E-111</v>
      </c>
      <c r="E164" s="12">
        <f t="shared" si="24"/>
        <v>1.6831618103245475E-79</v>
      </c>
      <c r="F164" s="12">
        <f t="shared" si="24"/>
        <v>1.3697173495768546E-62</v>
      </c>
      <c r="G164" s="12">
        <f t="shared" si="24"/>
        <v>1.5654083393072374E-47</v>
      </c>
      <c r="H164" s="12">
        <f t="shared" si="24"/>
        <v>1.07597851948202E-36</v>
      </c>
      <c r="I164" s="12">
        <f t="shared" si="24"/>
        <v>1.3183946186653858E-28</v>
      </c>
      <c r="J164" s="12">
        <f t="shared" si="24"/>
        <v>2.0305810059304962E-22</v>
      </c>
      <c r="K164" s="12">
        <f t="shared" si="24"/>
        <v>1.3248568918822958E-17</v>
      </c>
      <c r="L164" s="12">
        <f t="shared" si="24"/>
        <v>8.1491131646383872E-14</v>
      </c>
      <c r="M164" s="12">
        <f t="shared" si="24"/>
        <v>8.192614440303444E-11</v>
      </c>
      <c r="N164" s="12">
        <f t="shared" si="24"/>
        <v>1.9912034149015691E-8</v>
      </c>
      <c r="O164" s="12">
        <f t="shared" si="24"/>
        <v>1.5570099162886657E-6</v>
      </c>
      <c r="P164" s="12">
        <f t="shared" si="24"/>
        <v>4.8467359033188551E-5</v>
      </c>
      <c r="Q164" s="12">
        <f t="shared" si="24"/>
        <v>7.0612699321170869E-4</v>
      </c>
      <c r="R164" s="12">
        <f t="shared" si="23"/>
        <v>5.4585512736193831E-3</v>
      </c>
      <c r="S164" s="12">
        <f t="shared" si="22"/>
        <v>2.4723628575463508E-2</v>
      </c>
      <c r="T164" s="12">
        <f t="shared" si="22"/>
        <v>7.1068396404232903E-2</v>
      </c>
      <c r="U164" s="12">
        <f t="shared" si="22"/>
        <v>0.13840123303184326</v>
      </c>
      <c r="V164" s="12">
        <f t="shared" si="22"/>
        <v>0.75959201935863796</v>
      </c>
    </row>
    <row r="165" spans="1:22">
      <c r="A165" s="36">
        <v>6</v>
      </c>
      <c r="B165" s="12">
        <v>0</v>
      </c>
      <c r="C165" s="12">
        <f t="shared" si="24"/>
        <v>6.3872194274019384E-197</v>
      </c>
      <c r="D165" s="12">
        <f t="shared" si="24"/>
        <v>1.434687950651214E-131</v>
      </c>
      <c r="E165" s="12">
        <f t="shared" si="24"/>
        <v>8.8004763623639787E-96</v>
      </c>
      <c r="F165" s="12">
        <f t="shared" si="24"/>
        <v>9.9723369552182701E-77</v>
      </c>
      <c r="G165" s="12">
        <f t="shared" si="24"/>
        <v>1.4026798556612641E-59</v>
      </c>
      <c r="H165" s="12">
        <f t="shared" si="24"/>
        <v>4.4163850193590731E-47</v>
      </c>
      <c r="I165" s="12">
        <f t="shared" si="24"/>
        <v>1.2613056255486926E-37</v>
      </c>
      <c r="J165" s="12">
        <f t="shared" si="24"/>
        <v>2.776236669743442E-30</v>
      </c>
      <c r="K165" s="12">
        <f t="shared" si="24"/>
        <v>1.7887464941715979E-24</v>
      </c>
      <c r="L165" s="12">
        <f t="shared" si="24"/>
        <v>8.1414095623499871E-20</v>
      </c>
      <c r="M165" s="12">
        <f t="shared" si="24"/>
        <v>4.8066547452283915E-16</v>
      </c>
      <c r="N165" s="12">
        <f t="shared" si="24"/>
        <v>5.6820010279965811E-13</v>
      </c>
      <c r="O165" s="12">
        <f t="shared" si="24"/>
        <v>1.8497234274714608E-10</v>
      </c>
      <c r="P165" s="12">
        <f t="shared" si="24"/>
        <v>2.1065660444198023E-8</v>
      </c>
      <c r="Q165" s="12">
        <f t="shared" si="24"/>
        <v>1.007747366663306E-6</v>
      </c>
      <c r="R165" s="12">
        <f t="shared" si="23"/>
        <v>2.3344537737224336E-5</v>
      </c>
      <c r="S165" s="12">
        <f t="shared" si="22"/>
        <v>2.929851145715423E-4</v>
      </c>
      <c r="T165" s="12">
        <f t="shared" si="22"/>
        <v>2.1800321027064529E-3</v>
      </c>
      <c r="U165" s="12">
        <f t="shared" si="22"/>
        <v>1.0349160127944512E-2</v>
      </c>
      <c r="V165" s="12">
        <f t="shared" si="22"/>
        <v>0.98715344911847214</v>
      </c>
    </row>
    <row r="167" spans="1:22">
      <c r="E167" s="44" t="s">
        <v>49</v>
      </c>
    </row>
    <row r="187" spans="1:30">
      <c r="A187" s="22" t="s">
        <v>71</v>
      </c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</row>
    <row r="188" spans="1:30">
      <c r="A188" s="22" t="s">
        <v>51</v>
      </c>
      <c r="B188" s="37">
        <v>1</v>
      </c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</row>
    <row r="189" spans="1:30">
      <c r="A189" s="54"/>
      <c r="B189" s="54"/>
      <c r="C189" s="54"/>
      <c r="D189" s="54"/>
      <c r="E189" s="54" t="s">
        <v>59</v>
      </c>
      <c r="F189" s="56">
        <v>0</v>
      </c>
      <c r="G189" s="56">
        <v>1</v>
      </c>
      <c r="H189" s="56">
        <v>2</v>
      </c>
      <c r="I189" s="56">
        <v>3</v>
      </c>
      <c r="J189" s="56">
        <v>4</v>
      </c>
      <c r="K189" s="56">
        <v>5</v>
      </c>
      <c r="L189" s="56">
        <v>6</v>
      </c>
      <c r="M189" s="56">
        <v>7</v>
      </c>
      <c r="N189" s="56">
        <v>8</v>
      </c>
      <c r="O189" s="56">
        <v>9</v>
      </c>
      <c r="P189" s="56">
        <v>10</v>
      </c>
      <c r="Q189" s="56">
        <v>11</v>
      </c>
      <c r="R189" s="56">
        <v>12</v>
      </c>
      <c r="S189" s="56">
        <v>13</v>
      </c>
      <c r="T189" s="56">
        <v>14</v>
      </c>
      <c r="U189" s="56">
        <v>15</v>
      </c>
      <c r="V189" s="56">
        <v>16</v>
      </c>
      <c r="W189" s="56">
        <v>17</v>
      </c>
      <c r="X189" s="56">
        <v>18</v>
      </c>
      <c r="Y189" s="56">
        <v>19</v>
      </c>
      <c r="Z189" s="56">
        <v>20</v>
      </c>
      <c r="AA189" s="54"/>
      <c r="AB189" s="54"/>
      <c r="AC189" s="54"/>
      <c r="AD189" s="54"/>
    </row>
    <row r="190" spans="1:30" ht="45">
      <c r="A190" s="56" t="s">
        <v>52</v>
      </c>
      <c r="B190" s="56" t="s">
        <v>53</v>
      </c>
      <c r="C190" s="56" t="s">
        <v>54</v>
      </c>
      <c r="D190" s="61" t="s">
        <v>56</v>
      </c>
      <c r="E190" s="61" t="s">
        <v>57</v>
      </c>
      <c r="F190" s="56" t="s">
        <v>20</v>
      </c>
      <c r="G190" s="56" t="s">
        <v>21</v>
      </c>
      <c r="H190" s="56" t="s">
        <v>22</v>
      </c>
      <c r="I190" s="56" t="s">
        <v>23</v>
      </c>
      <c r="J190" s="56" t="s">
        <v>24</v>
      </c>
      <c r="K190" s="56" t="s">
        <v>25</v>
      </c>
      <c r="L190" s="56" t="s">
        <v>26</v>
      </c>
      <c r="M190" s="56" t="s">
        <v>27</v>
      </c>
      <c r="N190" s="56" t="s">
        <v>28</v>
      </c>
      <c r="O190" s="56" t="s">
        <v>29</v>
      </c>
      <c r="P190" s="56" t="s">
        <v>30</v>
      </c>
      <c r="Q190" s="56" t="s">
        <v>31</v>
      </c>
      <c r="R190" s="56" t="s">
        <v>32</v>
      </c>
      <c r="S190" s="56" t="s">
        <v>33</v>
      </c>
      <c r="T190" s="56" t="s">
        <v>34</v>
      </c>
      <c r="U190" s="56" t="s">
        <v>35</v>
      </c>
      <c r="V190" s="56" t="s">
        <v>36</v>
      </c>
      <c r="W190" s="56" t="s">
        <v>37</v>
      </c>
      <c r="X190" s="56" t="s">
        <v>38</v>
      </c>
      <c r="Y190" s="56" t="s">
        <v>39</v>
      </c>
      <c r="Z190" s="56" t="s">
        <v>40</v>
      </c>
      <c r="AA190" s="61" t="s">
        <v>58</v>
      </c>
      <c r="AB190" s="61" t="s">
        <v>64</v>
      </c>
      <c r="AC190" s="61" t="s">
        <v>65</v>
      </c>
      <c r="AD190" s="56" t="s">
        <v>76</v>
      </c>
    </row>
    <row r="191" spans="1:30">
      <c r="A191" s="56">
        <v>0</v>
      </c>
      <c r="B191" s="12">
        <f t="shared" ref="B191:B214" si="25">B3</f>
        <v>0.43929673333333336</v>
      </c>
      <c r="C191" s="12">
        <f t="shared" ref="C191:C214" si="26">$B$188*B191</f>
        <v>0.43929673333333336</v>
      </c>
      <c r="D191" s="23">
        <f t="array" ref="D191">MATCH(MIN(ABS(ServerTypeA!$A$106:$A$165-$C191)),ABS(ServerTypeA!$A$106:$A$165-$C191),0)</f>
        <v>4</v>
      </c>
      <c r="E191" s="23">
        <f t="array" ref="E191">INDEX(ServerTypeA!$A$106:$A$165,MATCH(MIN(ABS(ServerTypeA!$A$106:$A$165-$C191)),ABS(ServerTypeA!$A$106:$A$165-$C191),0))</f>
        <v>0.4</v>
      </c>
      <c r="F191" s="80">
        <f t="shared" ref="F191:U206" ca="1" si="27">OFFSET($B$106,$D191-1,F$221,1,1)</f>
        <v>0</v>
      </c>
      <c r="G191" s="80">
        <f t="shared" ca="1" si="27"/>
        <v>0.83532782695322527</v>
      </c>
      <c r="H191" s="80">
        <f t="shared" ca="1" si="27"/>
        <v>5.7203207400142508E-2</v>
      </c>
      <c r="I191" s="80">
        <f t="shared" ca="1" si="27"/>
        <v>1.9655442761017383E-3</v>
      </c>
      <c r="J191" s="80">
        <f t="shared" ca="1" si="27"/>
        <v>8.5395111756536579E-5</v>
      </c>
      <c r="K191" s="80">
        <f t="shared" ca="1" si="27"/>
        <v>9.5388457005407545E-6</v>
      </c>
      <c r="L191" s="80">
        <f t="shared" ca="1" si="27"/>
        <v>7.423410215423587E-7</v>
      </c>
      <c r="M191" s="80">
        <f t="shared" ca="1" si="27"/>
        <v>7.2652944327344926E-8</v>
      </c>
      <c r="N191" s="80">
        <f t="shared" ca="1" si="27"/>
        <v>8.593335376616551E-9</v>
      </c>
      <c r="O191" s="80">
        <f t="shared" ca="1" si="27"/>
        <v>1.1909583319535955E-9</v>
      </c>
      <c r="P191" s="80">
        <f t="shared" ca="1" si="27"/>
        <v>1.8880297325551965E-10</v>
      </c>
      <c r="Q191" s="80">
        <f t="shared" ca="1" si="27"/>
        <v>3.3594571569039999E-11</v>
      </c>
      <c r="R191" s="80">
        <f t="shared" ca="1" si="27"/>
        <v>6.6086025540812443E-12</v>
      </c>
      <c r="S191" s="80">
        <f t="shared" ca="1" si="27"/>
        <v>1.4196421815881877E-12</v>
      </c>
      <c r="T191" s="80">
        <f t="shared" ca="1" si="27"/>
        <v>3.2962521601120898E-13</v>
      </c>
      <c r="U191" s="80">
        <f t="shared" ca="1" si="27"/>
        <v>8.2045481519799068E-14</v>
      </c>
      <c r="V191" s="80">
        <f t="shared" ref="V191:AD205" ca="1" si="28">OFFSET($B$106,$D191-1,V$221,1,1)</f>
        <v>2.1760371282653068E-14</v>
      </c>
      <c r="W191" s="80">
        <f t="shared" ca="1" si="28"/>
        <v>6.106226635438361E-15</v>
      </c>
      <c r="X191" s="80">
        <f t="shared" ca="1" si="28"/>
        <v>1.8873791418627661E-15</v>
      </c>
      <c r="Y191" s="80">
        <f t="shared" ca="1" si="28"/>
        <v>0</v>
      </c>
      <c r="Z191" s="80">
        <f t="shared" ca="1" si="28"/>
        <v>0</v>
      </c>
      <c r="AA191" s="80">
        <f ca="1">SUMPRODUCT(F191:Z191,FailureForCPU!E$17:Y$17)</f>
        <v>2.0449382927741529E-14</v>
      </c>
      <c r="AB191" s="80">
        <f t="shared" ref="AB191:AB214" ca="1" si="29">AA191*C191</f>
        <v>8.9833471188392906E-15</v>
      </c>
      <c r="AC191" s="80">
        <f t="shared" ref="AC191:AC214" ca="1" si="30">C191-AB191</f>
        <v>0.43929673333332436</v>
      </c>
      <c r="AD191" s="80">
        <f t="shared" ref="AD191:AD214" ca="1" si="31">SUM(F191:Z191)</f>
        <v>0.89459233759605339</v>
      </c>
    </row>
    <row r="192" spans="1:30">
      <c r="A192" s="56">
        <v>1</v>
      </c>
      <c r="B192" s="12">
        <f t="shared" si="25"/>
        <v>0.24725845000000002</v>
      </c>
      <c r="C192" s="12">
        <f t="shared" si="26"/>
        <v>0.24725845000000002</v>
      </c>
      <c r="D192" s="23">
        <f t="array" ref="D192">MATCH(MIN(ABS(ServerTypeA!$A$106:$A$165-$C192)),ABS(ServerTypeA!$A$106:$A$165-$C192),0)</f>
        <v>2</v>
      </c>
      <c r="E192" s="23">
        <f t="array" ref="E192">INDEX(ServerTypeA!$A$106:$A$165,MATCH(MIN(ABS(ServerTypeA!$A$106:$A$165-$C192)),ABS(ServerTypeA!$A$106:$A$165-$C192),0))</f>
        <v>0.2</v>
      </c>
      <c r="F192" s="80">
        <f t="shared" ca="1" si="27"/>
        <v>0</v>
      </c>
      <c r="G192" s="80">
        <f t="shared" ca="1" si="27"/>
        <v>0.66593794397121475</v>
      </c>
      <c r="H192" s="80">
        <f t="shared" ca="1" si="27"/>
        <v>3.1960042700872382E-2</v>
      </c>
      <c r="I192" s="80">
        <f t="shared" ca="1" si="27"/>
        <v>1.5994488965370701E-3</v>
      </c>
      <c r="J192" s="80">
        <f t="shared" ca="1" si="27"/>
        <v>1.1242877602224421E-4</v>
      </c>
      <c r="K192" s="80">
        <f t="shared" ca="1" si="27"/>
        <v>1.9196099576346271E-5</v>
      </c>
      <c r="L192" s="80">
        <f t="shared" ca="1" si="27"/>
        <v>2.4487933019123886E-6</v>
      </c>
      <c r="M192" s="80">
        <f t="shared" ca="1" si="27"/>
        <v>3.8368656929410605E-7</v>
      </c>
      <c r="N192" s="80">
        <f t="shared" ca="1" si="27"/>
        <v>7.0876589153279212E-8</v>
      </c>
      <c r="O192" s="80">
        <f t="shared" ca="1" si="27"/>
        <v>1.4983860263662052E-8</v>
      </c>
      <c r="P192" s="80">
        <f t="shared" ca="1" si="27"/>
        <v>3.5457425884288796E-9</v>
      </c>
      <c r="Q192" s="80">
        <f t="shared" ca="1" si="27"/>
        <v>9.2337537616060672E-10</v>
      </c>
      <c r="R192" s="80">
        <f t="shared" ca="1" si="27"/>
        <v>2.6113289308682397E-10</v>
      </c>
      <c r="S192" s="80">
        <f t="shared" ca="1" si="27"/>
        <v>7.9349748993706726E-11</v>
      </c>
      <c r="T192" s="80">
        <f t="shared" ca="1" si="27"/>
        <v>2.5685342741610384E-11</v>
      </c>
      <c r="U192" s="80">
        <f t="shared" ca="1" si="27"/>
        <v>8.79429862266079E-12</v>
      </c>
      <c r="V192" s="80">
        <f t="shared" ca="1" si="28"/>
        <v>3.1659119770210964E-12</v>
      </c>
      <c r="W192" s="80">
        <f t="shared" ca="1" si="28"/>
        <v>1.1924905507498806E-12</v>
      </c>
      <c r="X192" s="80">
        <f t="shared" ca="1" si="28"/>
        <v>4.6784798257704097E-13</v>
      </c>
      <c r="Y192" s="80">
        <f t="shared" ca="1" si="28"/>
        <v>1.9062529332813938E-13</v>
      </c>
      <c r="Z192" s="80">
        <f t="shared" ca="1" si="28"/>
        <v>1.446620601086579E-13</v>
      </c>
      <c r="AA192" s="80">
        <f ca="1">SUMPRODUCT(F192:Z192,FailureForCPU!E$17:Y$17)</f>
        <v>1.579197883572192E-12</v>
      </c>
      <c r="AB192" s="80">
        <f t="shared" ca="1" si="29"/>
        <v>3.9047002093534071E-13</v>
      </c>
      <c r="AC192" s="80">
        <f t="shared" ca="1" si="30"/>
        <v>0.24725844999960955</v>
      </c>
      <c r="AD192" s="80">
        <f t="shared" ca="1" si="31"/>
        <v>0.6996319836337852</v>
      </c>
    </row>
    <row r="193" spans="1:30">
      <c r="A193" s="56">
        <v>2</v>
      </c>
      <c r="B193" s="12">
        <f t="shared" si="25"/>
        <v>0.15990046666666669</v>
      </c>
      <c r="C193" s="12">
        <f t="shared" si="26"/>
        <v>0.15990046666666669</v>
      </c>
      <c r="D193" s="23">
        <f t="array" ref="D193">MATCH(MIN(ABS(ServerTypeA!$A$106:$A$165-$C193)),ABS(ServerTypeA!$A$106:$A$165-$C193),0)</f>
        <v>2</v>
      </c>
      <c r="E193" s="23">
        <f t="array" ref="E193">INDEX(ServerTypeA!$A$106:$A$165,MATCH(MIN(ABS(ServerTypeA!$A$106:$A$165-$C193)),ABS(ServerTypeA!$A$106:$A$165-$C193),0))</f>
        <v>0.2</v>
      </c>
      <c r="F193" s="80">
        <f t="shared" ca="1" si="27"/>
        <v>0</v>
      </c>
      <c r="G193" s="80">
        <f t="shared" ca="1" si="27"/>
        <v>0.66593794397121475</v>
      </c>
      <c r="H193" s="80">
        <f t="shared" ca="1" si="27"/>
        <v>3.1960042700872382E-2</v>
      </c>
      <c r="I193" s="80">
        <f t="shared" ca="1" si="27"/>
        <v>1.5994488965370701E-3</v>
      </c>
      <c r="J193" s="80">
        <f t="shared" ca="1" si="27"/>
        <v>1.1242877602224421E-4</v>
      </c>
      <c r="K193" s="80">
        <f t="shared" ca="1" si="27"/>
        <v>1.9196099576346271E-5</v>
      </c>
      <c r="L193" s="80">
        <f t="shared" ca="1" si="27"/>
        <v>2.4487933019123886E-6</v>
      </c>
      <c r="M193" s="80">
        <f t="shared" ca="1" si="27"/>
        <v>3.8368656929410605E-7</v>
      </c>
      <c r="N193" s="80">
        <f t="shared" ca="1" si="27"/>
        <v>7.0876589153279212E-8</v>
      </c>
      <c r="O193" s="80">
        <f t="shared" ca="1" si="27"/>
        <v>1.4983860263662052E-8</v>
      </c>
      <c r="P193" s="80">
        <f t="shared" ca="1" si="27"/>
        <v>3.5457425884288796E-9</v>
      </c>
      <c r="Q193" s="80">
        <f t="shared" ca="1" si="27"/>
        <v>9.2337537616060672E-10</v>
      </c>
      <c r="R193" s="80">
        <f t="shared" ca="1" si="27"/>
        <v>2.6113289308682397E-10</v>
      </c>
      <c r="S193" s="80">
        <f t="shared" ca="1" si="27"/>
        <v>7.9349748993706726E-11</v>
      </c>
      <c r="T193" s="80">
        <f t="shared" ca="1" si="27"/>
        <v>2.5685342741610384E-11</v>
      </c>
      <c r="U193" s="80">
        <f t="shared" ca="1" si="27"/>
        <v>8.79429862266079E-12</v>
      </c>
      <c r="V193" s="80">
        <f t="shared" ca="1" si="28"/>
        <v>3.1659119770210964E-12</v>
      </c>
      <c r="W193" s="80">
        <f t="shared" ca="1" si="28"/>
        <v>1.1924905507498806E-12</v>
      </c>
      <c r="X193" s="80">
        <f t="shared" ca="1" si="28"/>
        <v>4.6784798257704097E-13</v>
      </c>
      <c r="Y193" s="80">
        <f t="shared" ca="1" si="28"/>
        <v>1.9062529332813938E-13</v>
      </c>
      <c r="Z193" s="80">
        <f t="shared" ca="1" si="28"/>
        <v>1.446620601086579E-13</v>
      </c>
      <c r="AA193" s="80">
        <f ca="1">SUMPRODUCT(F193:Z193,FailureForCPU!E$17:Y$17)</f>
        <v>1.579197883572192E-12</v>
      </c>
      <c r="AB193" s="80">
        <f t="shared" ca="1" si="29"/>
        <v>2.5251447854220585E-13</v>
      </c>
      <c r="AC193" s="80">
        <f t="shared" ca="1" si="30"/>
        <v>0.15990046666641416</v>
      </c>
      <c r="AD193" s="80">
        <f t="shared" ca="1" si="31"/>
        <v>0.6996319836337852</v>
      </c>
    </row>
    <row r="194" spans="1:30">
      <c r="A194" s="56">
        <v>3</v>
      </c>
      <c r="B194" s="12">
        <f t="shared" si="25"/>
        <v>0.15634300000000001</v>
      </c>
      <c r="C194" s="12">
        <f t="shared" si="26"/>
        <v>0.15634300000000001</v>
      </c>
      <c r="D194" s="23">
        <f t="array" ref="D194">MATCH(MIN(ABS(ServerTypeA!$A$106:$A$165-$C194)),ABS(ServerTypeA!$A$106:$A$165-$C194),0)</f>
        <v>2</v>
      </c>
      <c r="E194" s="23">
        <f t="array" ref="E194">INDEX(ServerTypeA!$A$106:$A$165,MATCH(MIN(ABS(ServerTypeA!$A$106:$A$165-$C194)),ABS(ServerTypeA!$A$106:$A$165-$C194),0))</f>
        <v>0.2</v>
      </c>
      <c r="F194" s="80">
        <f t="shared" ca="1" si="27"/>
        <v>0</v>
      </c>
      <c r="G194" s="80">
        <f t="shared" ca="1" si="27"/>
        <v>0.66593794397121475</v>
      </c>
      <c r="H194" s="80">
        <f t="shared" ca="1" si="27"/>
        <v>3.1960042700872382E-2</v>
      </c>
      <c r="I194" s="80">
        <f t="shared" ca="1" si="27"/>
        <v>1.5994488965370701E-3</v>
      </c>
      <c r="J194" s="80">
        <f t="shared" ca="1" si="27"/>
        <v>1.1242877602224421E-4</v>
      </c>
      <c r="K194" s="80">
        <f t="shared" ca="1" si="27"/>
        <v>1.9196099576346271E-5</v>
      </c>
      <c r="L194" s="80">
        <f t="shared" ca="1" si="27"/>
        <v>2.4487933019123886E-6</v>
      </c>
      <c r="M194" s="80">
        <f t="shared" ca="1" si="27"/>
        <v>3.8368656929410605E-7</v>
      </c>
      <c r="N194" s="80">
        <f t="shared" ca="1" si="27"/>
        <v>7.0876589153279212E-8</v>
      </c>
      <c r="O194" s="80">
        <f t="shared" ca="1" si="27"/>
        <v>1.4983860263662052E-8</v>
      </c>
      <c r="P194" s="80">
        <f t="shared" ca="1" si="27"/>
        <v>3.5457425884288796E-9</v>
      </c>
      <c r="Q194" s="80">
        <f t="shared" ca="1" si="27"/>
        <v>9.2337537616060672E-10</v>
      </c>
      <c r="R194" s="80">
        <f t="shared" ca="1" si="27"/>
        <v>2.6113289308682397E-10</v>
      </c>
      <c r="S194" s="80">
        <f t="shared" ca="1" si="27"/>
        <v>7.9349748993706726E-11</v>
      </c>
      <c r="T194" s="80">
        <f t="shared" ca="1" si="27"/>
        <v>2.5685342741610384E-11</v>
      </c>
      <c r="U194" s="80">
        <f t="shared" ca="1" si="27"/>
        <v>8.79429862266079E-12</v>
      </c>
      <c r="V194" s="80">
        <f t="shared" ca="1" si="28"/>
        <v>3.1659119770210964E-12</v>
      </c>
      <c r="W194" s="80">
        <f t="shared" ca="1" si="28"/>
        <v>1.1924905507498806E-12</v>
      </c>
      <c r="X194" s="80">
        <f t="shared" ca="1" si="28"/>
        <v>4.6784798257704097E-13</v>
      </c>
      <c r="Y194" s="80">
        <f t="shared" ca="1" si="28"/>
        <v>1.9062529332813938E-13</v>
      </c>
      <c r="Z194" s="80">
        <f t="shared" ca="1" si="28"/>
        <v>1.446620601086579E-13</v>
      </c>
      <c r="AA194" s="80">
        <f ca="1">SUMPRODUCT(F194:Z194,FailureForCPU!E$17:Y$17)</f>
        <v>1.579197883572192E-12</v>
      </c>
      <c r="AB194" s="80">
        <f t="shared" ca="1" si="29"/>
        <v>2.4689653471132723E-13</v>
      </c>
      <c r="AC194" s="80">
        <f t="shared" ca="1" si="30"/>
        <v>0.15634299999975312</v>
      </c>
      <c r="AD194" s="80">
        <f t="shared" ca="1" si="31"/>
        <v>0.6996319836337852</v>
      </c>
    </row>
    <row r="195" spans="1:30">
      <c r="A195" s="56">
        <v>4</v>
      </c>
      <c r="B195" s="12">
        <f t="shared" si="25"/>
        <v>0.33371846666666666</v>
      </c>
      <c r="C195" s="12">
        <f t="shared" si="26"/>
        <v>0.33371846666666666</v>
      </c>
      <c r="D195" s="23">
        <f t="array" ref="D195">MATCH(MIN(ABS(ServerTypeA!$A$106:$A$165-$C195)),ABS(ServerTypeA!$A$106:$A$165-$C195),0)</f>
        <v>3</v>
      </c>
      <c r="E195" s="23">
        <f t="array" ref="E195">INDEX(ServerTypeA!$A$106:$A$165,MATCH(MIN(ABS(ServerTypeA!$A$106:$A$165-$C195)),ABS(ServerTypeA!$A$106:$A$165-$C195),0))</f>
        <v>0.3</v>
      </c>
      <c r="F195" s="80">
        <f t="shared" ca="1" si="27"/>
        <v>0</v>
      </c>
      <c r="G195" s="80">
        <f t="shared" ca="1" si="27"/>
        <v>0.76734078687270313</v>
      </c>
      <c r="H195" s="80">
        <f t="shared" ca="1" si="27"/>
        <v>4.061799437764968E-2</v>
      </c>
      <c r="I195" s="80">
        <f t="shared" ca="1" si="27"/>
        <v>1.5765400616829517E-3</v>
      </c>
      <c r="J195" s="80">
        <f t="shared" ca="1" si="27"/>
        <v>8.3090088131676509E-5</v>
      </c>
      <c r="K195" s="80">
        <f t="shared" ca="1" si="27"/>
        <v>1.1088798038461078E-5</v>
      </c>
      <c r="L195" s="80">
        <f t="shared" ca="1" si="27"/>
        <v>1.0675049230135514E-6</v>
      </c>
      <c r="M195" s="80">
        <f t="shared" ca="1" si="27"/>
        <v>1.2832819928920713E-7</v>
      </c>
      <c r="N195" s="80">
        <f t="shared" ca="1" si="27"/>
        <v>1.8478603647231751E-8</v>
      </c>
      <c r="O195" s="80">
        <f t="shared" ca="1" si="27"/>
        <v>3.089543842982323E-9</v>
      </c>
      <c r="P195" s="80">
        <f t="shared" ca="1" si="27"/>
        <v>5.8576110628649758E-10</v>
      </c>
      <c r="Q195" s="80">
        <f t="shared" ca="1" si="27"/>
        <v>1.2364498314099137E-10</v>
      </c>
      <c r="R195" s="80">
        <f t="shared" ca="1" si="27"/>
        <v>2.8639202120928076E-11</v>
      </c>
      <c r="S195" s="80">
        <f t="shared" ca="1" si="27"/>
        <v>7.1945782664784019E-12</v>
      </c>
      <c r="T195" s="80">
        <f t="shared" ca="1" si="27"/>
        <v>1.9416690477669363E-12</v>
      </c>
      <c r="U195" s="80">
        <f t="shared" ca="1" si="27"/>
        <v>5.5844218138645374E-13</v>
      </c>
      <c r="V195" s="80">
        <f t="shared" ca="1" si="28"/>
        <v>1.7008616737257398E-13</v>
      </c>
      <c r="W195" s="80">
        <f t="shared" ca="1" si="28"/>
        <v>5.4622972811557702E-14</v>
      </c>
      <c r="X195" s="80">
        <f t="shared" ca="1" si="28"/>
        <v>1.8318679906315083E-14</v>
      </c>
      <c r="Y195" s="80">
        <f t="shared" ca="1" si="28"/>
        <v>6.4392935428259079E-15</v>
      </c>
      <c r="Z195" s="80">
        <f t="shared" ca="1" si="28"/>
        <v>3.7747582837255322E-15</v>
      </c>
      <c r="AA195" s="80">
        <f ca="1">SUMPRODUCT(F195:Z195,FailureForCPU!E$17:Y$17)</f>
        <v>1.1766976282245878E-13</v>
      </c>
      <c r="AB195" s="80">
        <f t="shared" ca="1" si="29"/>
        <v>3.9268572822141279E-14</v>
      </c>
      <c r="AC195" s="80">
        <f t="shared" ca="1" si="30"/>
        <v>0.33371846666662741</v>
      </c>
      <c r="AD195" s="80">
        <f t="shared" ca="1" si="31"/>
        <v>0.80963071834746891</v>
      </c>
    </row>
    <row r="196" spans="1:30">
      <c r="A196" s="56">
        <v>5</v>
      </c>
      <c r="B196" s="12">
        <f t="shared" si="25"/>
        <v>0.89391525000000005</v>
      </c>
      <c r="C196" s="12">
        <f t="shared" si="26"/>
        <v>0.89391525000000005</v>
      </c>
      <c r="D196" s="23">
        <f t="array" ref="D196">MATCH(MIN(ABS(ServerTypeA!$A$106:$A$165-$C196)),ABS(ServerTypeA!$A$106:$A$165-$C196),0)</f>
        <v>9</v>
      </c>
      <c r="E196" s="23">
        <f t="array" ref="E196">INDEX(ServerTypeA!$A$106:$A$165,MATCH(MIN(ABS(ServerTypeA!$A$106:$A$165-$C196)),ABS(ServerTypeA!$A$106:$A$165-$C196),0))</f>
        <v>0.9</v>
      </c>
      <c r="F196" s="80">
        <f t="shared" ca="1" si="27"/>
        <v>0</v>
      </c>
      <c r="G196" s="80">
        <f t="shared" ca="1" si="27"/>
        <v>0.6478874292771819</v>
      </c>
      <c r="H196" s="80">
        <f t="shared" ca="1" si="27"/>
        <v>0.33264207036991167</v>
      </c>
      <c r="I196" s="80">
        <f t="shared" ca="1" si="27"/>
        <v>1.8220068282046253E-2</v>
      </c>
      <c r="J196" s="80">
        <f t="shared" ca="1" si="27"/>
        <v>6.504195037900784E-4</v>
      </c>
      <c r="K196" s="80">
        <f t="shared" ca="1" si="27"/>
        <v>5.0559486676760024E-5</v>
      </c>
      <c r="L196" s="80">
        <f t="shared" ca="1" si="27"/>
        <v>2.299209596934304E-6</v>
      </c>
      <c r="M196" s="80">
        <f t="shared" ca="1" si="27"/>
        <v>1.255587669390934E-7</v>
      </c>
      <c r="N196" s="80">
        <f t="shared" ca="1" si="27"/>
        <v>8.1680614494317183E-9</v>
      </c>
      <c r="O196" s="80">
        <f t="shared" ca="1" si="27"/>
        <v>6.2318250559911803E-10</v>
      </c>
      <c r="P196" s="80">
        <f t="shared" ca="1" si="27"/>
        <v>5.4854787379099434E-11</v>
      </c>
      <c r="Q196" s="80">
        <f t="shared" ca="1" si="27"/>
        <v>5.4871662769073737E-12</v>
      </c>
      <c r="R196" s="80">
        <f t="shared" ca="1" si="27"/>
        <v>6.1550764485218679E-13</v>
      </c>
      <c r="S196" s="80">
        <f t="shared" ca="1" si="27"/>
        <v>7.6494366396673286E-14</v>
      </c>
      <c r="T196" s="80">
        <f t="shared" ca="1" si="27"/>
        <v>1.0436096431476471E-14</v>
      </c>
      <c r="U196" s="80">
        <f t="shared" ca="1" si="27"/>
        <v>1.5543122344752192E-15</v>
      </c>
      <c r="V196" s="80">
        <f t="shared" ca="1" si="28"/>
        <v>0</v>
      </c>
      <c r="W196" s="80">
        <f t="shared" ca="1" si="28"/>
        <v>0</v>
      </c>
      <c r="X196" s="80">
        <f t="shared" ca="1" si="28"/>
        <v>0</v>
      </c>
      <c r="Y196" s="80">
        <f t="shared" ca="1" si="28"/>
        <v>0</v>
      </c>
      <c r="Z196" s="80">
        <f t="shared" ca="1" si="28"/>
        <v>0</v>
      </c>
      <c r="AA196" s="80">
        <f ca="1">SUMPRODUCT(F196:Z196,FailureForCPU!E$17:Y$17)</f>
        <v>8.5024579969209894E-16</v>
      </c>
      <c r="AB196" s="80">
        <f t="shared" ca="1" si="29"/>
        <v>7.6004768659321259E-16</v>
      </c>
      <c r="AC196" s="80">
        <f t="shared" ca="1" si="30"/>
        <v>0.89391524999999927</v>
      </c>
      <c r="AD196" s="80">
        <f t="shared" ca="1" si="31"/>
        <v>0.99945298054026044</v>
      </c>
    </row>
    <row r="197" spans="1:30">
      <c r="A197" s="56">
        <v>6</v>
      </c>
      <c r="B197" s="12">
        <f t="shared" si="25"/>
        <v>1.2472558666666667</v>
      </c>
      <c r="C197" s="12">
        <f t="shared" si="26"/>
        <v>1.2472558666666667</v>
      </c>
      <c r="D197" s="23">
        <f t="array" ref="D197">MATCH(MIN(ABS(ServerTypeA!$A$106:$A$165-$C197)),ABS(ServerTypeA!$A$106:$A$165-$C197),0)</f>
        <v>12</v>
      </c>
      <c r="E197" s="23">
        <f t="array" ref="E197">INDEX(ServerTypeA!$A$106:$A$165,MATCH(MIN(ABS(ServerTypeA!$A$106:$A$165-$C197)),ABS(ServerTypeA!$A$106:$A$165-$C197),0))</f>
        <v>1.2</v>
      </c>
      <c r="F197" s="80">
        <f t="shared" ca="1" si="27"/>
        <v>0</v>
      </c>
      <c r="G197" s="80">
        <f t="shared" ca="1" si="27"/>
        <v>0.33737506644831849</v>
      </c>
      <c r="H197" s="80">
        <f t="shared" ca="1" si="27"/>
        <v>0.59252921986271034</v>
      </c>
      <c r="I197" s="80">
        <f t="shared" ca="1" si="27"/>
        <v>6.6858926712304423E-2</v>
      </c>
      <c r="J197" s="80">
        <f t="shared" ca="1" si="27"/>
        <v>2.9887645590240819E-3</v>
      </c>
      <c r="K197" s="80">
        <f t="shared" ca="1" si="27"/>
        <v>2.3441655075129297E-4</v>
      </c>
      <c r="L197" s="80">
        <f t="shared" ca="1" si="27"/>
        <v>9.6489360983387229E-6</v>
      </c>
      <c r="M197" s="80">
        <f t="shared" ca="1" si="27"/>
        <v>4.4592031145374023E-7</v>
      </c>
      <c r="N197" s="80">
        <f t="shared" ca="1" si="27"/>
        <v>2.3664171178161553E-8</v>
      </c>
      <c r="O197" s="80">
        <f t="shared" ca="1" si="27"/>
        <v>1.443236530285219E-9</v>
      </c>
      <c r="P197" s="80">
        <f t="shared" ca="1" si="27"/>
        <v>1.0045209108966446E-10</v>
      </c>
      <c r="Q197" s="80">
        <f t="shared" ca="1" si="27"/>
        <v>7.9036777123064894E-12</v>
      </c>
      <c r="R197" s="80">
        <f t="shared" ca="1" si="27"/>
        <v>6.9610983643997315E-13</v>
      </c>
      <c r="S197" s="80">
        <f t="shared" ca="1" si="27"/>
        <v>6.794564910705958E-14</v>
      </c>
      <c r="T197" s="80">
        <f t="shared" ca="1" si="27"/>
        <v>7.3274719625260332E-15</v>
      </c>
      <c r="U197" s="80">
        <f t="shared" ca="1" si="27"/>
        <v>8.8817841970012523E-16</v>
      </c>
      <c r="V197" s="80">
        <f t="shared" ca="1" si="28"/>
        <v>0</v>
      </c>
      <c r="W197" s="80">
        <f t="shared" ca="1" si="28"/>
        <v>0</v>
      </c>
      <c r="X197" s="80">
        <f t="shared" ca="1" si="28"/>
        <v>0</v>
      </c>
      <c r="Y197" s="80">
        <f t="shared" ca="1" si="28"/>
        <v>0</v>
      </c>
      <c r="Z197" s="80">
        <f t="shared" ca="1" si="28"/>
        <v>0</v>
      </c>
      <c r="AA197" s="80">
        <f ca="1">SUMPRODUCT(F197:Z197,FailureForCPU!E$17:Y$17)</f>
        <v>7.1054273576010013E-16</v>
      </c>
      <c r="AB197" s="80">
        <f t="shared" ca="1" si="29"/>
        <v>8.8622859569416798E-16</v>
      </c>
      <c r="AC197" s="80">
        <f t="shared" ca="1" si="30"/>
        <v>1.2472558666666658</v>
      </c>
      <c r="AD197" s="80">
        <f t="shared" ca="1" si="31"/>
        <v>0.99999651420605418</v>
      </c>
    </row>
    <row r="198" spans="1:30">
      <c r="A198" s="56">
        <v>7</v>
      </c>
      <c r="B198" s="12">
        <f t="shared" si="25"/>
        <v>1.427451456896552</v>
      </c>
      <c r="C198" s="12">
        <f t="shared" si="26"/>
        <v>1.427451456896552</v>
      </c>
      <c r="D198" s="23">
        <f t="array" ref="D198">MATCH(MIN(ABS(ServerTypeA!$A$106:$A$165-$C198)),ABS(ServerTypeA!$A$106:$A$165-$C198),0)</f>
        <v>14</v>
      </c>
      <c r="E198" s="23">
        <f t="array" ref="E198">INDEX(ServerTypeA!$A$106:$A$165,MATCH(MIN(ABS(ServerTypeA!$A$106:$A$165-$C198)),ABS(ServerTypeA!$A$106:$A$165-$C198),0))</f>
        <v>1.4</v>
      </c>
      <c r="F198" s="80">
        <f t="shared" ca="1" si="27"/>
        <v>0</v>
      </c>
      <c r="G198" s="80">
        <f t="shared" ca="1" si="27"/>
        <v>0.17028918833506609</v>
      </c>
      <c r="H198" s="80">
        <f t="shared" ca="1" si="27"/>
        <v>0.68719727873973957</v>
      </c>
      <c r="I198" s="80">
        <f t="shared" ca="1" si="27"/>
        <v>0.13433896999801065</v>
      </c>
      <c r="J198" s="80">
        <f t="shared" ca="1" si="27"/>
        <v>7.5243268365381422E-3</v>
      </c>
      <c r="K198" s="80">
        <f t="shared" ca="1" si="27"/>
        <v>6.2386006732695343E-4</v>
      </c>
      <c r="L198" s="80">
        <f t="shared" ca="1" si="27"/>
        <v>2.5183895741909268E-5</v>
      </c>
      <c r="M198" s="80">
        <f t="shared" ca="1" si="27"/>
        <v>1.0803130975345354E-6</v>
      </c>
      <c r="N198" s="80">
        <f t="shared" ca="1" si="27"/>
        <v>5.1559322478134106E-8</v>
      </c>
      <c r="O198" s="80">
        <f t="shared" ca="1" si="27"/>
        <v>2.7755902021198153E-9</v>
      </c>
      <c r="P198" s="80">
        <f t="shared" ca="1" si="27"/>
        <v>1.686324413441298E-10</v>
      </c>
      <c r="Q198" s="80">
        <f t="shared" ca="1" si="27"/>
        <v>1.1506795516424972E-11</v>
      </c>
      <c r="R198" s="80">
        <f t="shared" ca="1" si="27"/>
        <v>8.7585494412678599E-13</v>
      </c>
      <c r="S198" s="80">
        <f t="shared" ca="1" si="27"/>
        <v>7.3718808835110394E-14</v>
      </c>
      <c r="T198" s="80">
        <f t="shared" ca="1" si="27"/>
        <v>6.8833827526759706E-15</v>
      </c>
      <c r="U198" s="80">
        <f t="shared" ca="1" si="27"/>
        <v>0</v>
      </c>
      <c r="V198" s="80">
        <f t="shared" ca="1" si="28"/>
        <v>0</v>
      </c>
      <c r="W198" s="80">
        <f t="shared" ca="1" si="28"/>
        <v>0</v>
      </c>
      <c r="X198" s="80">
        <f t="shared" ca="1" si="28"/>
        <v>0</v>
      </c>
      <c r="Y198" s="80">
        <f t="shared" ca="1" si="28"/>
        <v>0</v>
      </c>
      <c r="Z198" s="80">
        <f t="shared" ca="1" si="28"/>
        <v>0</v>
      </c>
      <c r="AA198" s="80">
        <f ca="1">SUMPRODUCT(F198:Z198,FailureForCPU!E$17:Y$17)</f>
        <v>7.290464528371861E-16</v>
      </c>
      <c r="AB198" s="80">
        <f t="shared" ca="1" si="29"/>
        <v>1.0406784212477047E-15</v>
      </c>
      <c r="AC198" s="80">
        <f t="shared" ca="1" si="30"/>
        <v>1.4274514568965508</v>
      </c>
      <c r="AD198" s="80">
        <f t="shared" ca="1" si="31"/>
        <v>0.99999994270152925</v>
      </c>
    </row>
    <row r="199" spans="1:30">
      <c r="A199" s="56">
        <v>8</v>
      </c>
      <c r="B199" s="12">
        <f t="shared" si="25"/>
        <v>1.6331402586206896</v>
      </c>
      <c r="C199" s="12">
        <f t="shared" si="26"/>
        <v>1.6331402586206896</v>
      </c>
      <c r="D199" s="23">
        <f t="array" ref="D199">MATCH(MIN(ABS(ServerTypeA!$A$106:$A$165-$C199)),ABS(ServerTypeA!$A$106:$A$165-$C199),0)</f>
        <v>16</v>
      </c>
      <c r="E199" s="23">
        <f t="array" ref="E199">INDEX(ServerTypeA!$A$106:$A$165,MATCH(MIN(ABS(ServerTypeA!$A$106:$A$165-$C199)),ABS(ServerTypeA!$A$106:$A$165-$C199),0))</f>
        <v>1.6</v>
      </c>
      <c r="F199" s="80">
        <f t="shared" ca="1" si="27"/>
        <v>0</v>
      </c>
      <c r="G199" s="80">
        <f t="shared" ca="1" si="27"/>
        <v>6.985632212961923E-2</v>
      </c>
      <c r="H199" s="80">
        <f t="shared" ca="1" si="27"/>
        <v>0.67881129432629128</v>
      </c>
      <c r="I199" s="80">
        <f t="shared" ca="1" si="27"/>
        <v>0.23277975745433399</v>
      </c>
      <c r="J199" s="80">
        <f t="shared" ca="1" si="27"/>
        <v>1.696307002884001E-2</v>
      </c>
      <c r="K199" s="80">
        <f t="shared" ca="1" si="27"/>
        <v>1.5251568214456057E-3</v>
      </c>
      <c r="L199" s="80">
        <f t="shared" ca="1" si="27"/>
        <v>6.1782661979314923E-5</v>
      </c>
      <c r="M199" s="80">
        <f t="shared" ca="1" si="27"/>
        <v>2.5017768711110833E-6</v>
      </c>
      <c r="N199" s="80">
        <f t="shared" ca="1" si="27"/>
        <v>1.0873939271238697E-7</v>
      </c>
      <c r="O199" s="80">
        <f t="shared" ca="1" si="27"/>
        <v>5.2165063380016363E-9</v>
      </c>
      <c r="P199" s="80">
        <f t="shared" ca="1" si="27"/>
        <v>2.7868196639246889E-10</v>
      </c>
      <c r="Q199" s="80">
        <f t="shared" ca="1" si="27"/>
        <v>1.6585288697967826E-11</v>
      </c>
      <c r="R199" s="80">
        <f t="shared" ca="1" si="27"/>
        <v>1.0955680807001045E-12</v>
      </c>
      <c r="S199" s="80">
        <f t="shared" ca="1" si="27"/>
        <v>7.9936057773011271E-14</v>
      </c>
      <c r="T199" s="80">
        <f t="shared" ca="1" si="27"/>
        <v>6.3282712403633923E-15</v>
      </c>
      <c r="U199" s="80">
        <f t="shared" ca="1" si="27"/>
        <v>0</v>
      </c>
      <c r="V199" s="80">
        <f t="shared" ca="1" si="28"/>
        <v>0</v>
      </c>
      <c r="W199" s="80">
        <f t="shared" ca="1" si="28"/>
        <v>0</v>
      </c>
      <c r="X199" s="80">
        <f t="shared" ca="1" si="28"/>
        <v>0</v>
      </c>
      <c r="Y199" s="80">
        <f t="shared" ca="1" si="28"/>
        <v>0</v>
      </c>
      <c r="Z199" s="80">
        <f t="shared" ca="1" si="28"/>
        <v>0</v>
      </c>
      <c r="AA199" s="80">
        <f ca="1">SUMPRODUCT(F199:Z199,FailureForCPU!E$17:Y$17)</f>
        <v>7.7160500211448382E-16</v>
      </c>
      <c r="AB199" s="80">
        <f t="shared" ca="1" si="29"/>
        <v>1.2601391927062658E-15</v>
      </c>
      <c r="AC199" s="80">
        <f t="shared" ca="1" si="30"/>
        <v>1.6331402586206882</v>
      </c>
      <c r="AD199" s="80">
        <f t="shared" ca="1" si="31"/>
        <v>0.99999999945172868</v>
      </c>
    </row>
    <row r="200" spans="1:30">
      <c r="A200" s="56">
        <v>9</v>
      </c>
      <c r="B200" s="12">
        <f t="shared" si="25"/>
        <v>1.8079739655172413</v>
      </c>
      <c r="C200" s="12">
        <f t="shared" si="26"/>
        <v>1.8079739655172413</v>
      </c>
      <c r="D200" s="23">
        <f t="array" ref="D200">MATCH(MIN(ABS(ServerTypeA!$A$106:$A$165-$C200)),ABS(ServerTypeA!$A$106:$A$165-$C200),0)</f>
        <v>18</v>
      </c>
      <c r="E200" s="23">
        <f t="array" ref="E200">INDEX(ServerTypeA!$A$106:$A$165,MATCH(MIN(ABS(ServerTypeA!$A$106:$A$165-$C200)),ABS(ServerTypeA!$A$106:$A$165-$C200),0))</f>
        <v>1.8</v>
      </c>
      <c r="F200" s="80">
        <f t="shared" ca="1" si="27"/>
        <v>0</v>
      </c>
      <c r="G200" s="80">
        <f t="shared" ca="1" si="27"/>
        <v>2.3430655918933323E-2</v>
      </c>
      <c r="H200" s="80">
        <f t="shared" ca="1" si="27"/>
        <v>0.58816894205402903</v>
      </c>
      <c r="I200" s="80">
        <f t="shared" ca="1" si="27"/>
        <v>0.35081229684092929</v>
      </c>
      <c r="J200" s="80">
        <f t="shared" ca="1" si="27"/>
        <v>3.406413221315896E-2</v>
      </c>
      <c r="K200" s="80">
        <f t="shared" ca="1" si="27"/>
        <v>3.3790197570999769E-3</v>
      </c>
      <c r="L200" s="80">
        <f t="shared" ca="1" si="27"/>
        <v>1.3935267989517719E-4</v>
      </c>
      <c r="M200" s="80">
        <f t="shared" ca="1" si="27"/>
        <v>5.376795014666591E-6</v>
      </c>
      <c r="N200" s="80">
        <f t="shared" ca="1" si="27"/>
        <v>2.1409693806706542E-7</v>
      </c>
      <c r="O200" s="80">
        <f t="shared" ca="1" si="27"/>
        <v>9.1847807137668269E-9</v>
      </c>
      <c r="P200" s="80">
        <f t="shared" ca="1" si="27"/>
        <v>4.3223036261252901E-10</v>
      </c>
      <c r="Q200" s="80">
        <f t="shared" ca="1" si="27"/>
        <v>2.244671115647634E-11</v>
      </c>
      <c r="R200" s="80">
        <f t="shared" ca="1" si="27"/>
        <v>1.2864154186331689E-12</v>
      </c>
      <c r="S200" s="80">
        <f t="shared" ca="1" si="27"/>
        <v>8.1157303100098943E-14</v>
      </c>
      <c r="T200" s="80">
        <f t="shared" ca="1" si="27"/>
        <v>5.6621374255882984E-15</v>
      </c>
      <c r="U200" s="80">
        <f t="shared" ca="1" si="27"/>
        <v>0</v>
      </c>
      <c r="V200" s="80">
        <f t="shared" ca="1" si="28"/>
        <v>0</v>
      </c>
      <c r="W200" s="80">
        <f t="shared" ca="1" si="28"/>
        <v>0</v>
      </c>
      <c r="X200" s="80">
        <f t="shared" ca="1" si="28"/>
        <v>0</v>
      </c>
      <c r="Y200" s="80">
        <f t="shared" ca="1" si="28"/>
        <v>0</v>
      </c>
      <c r="Z200" s="80">
        <f t="shared" ca="1" si="28"/>
        <v>0</v>
      </c>
      <c r="AA200" s="80">
        <f ca="1">SUMPRODUCT(F200:Z200,FailureForCPU!E$17:Y$17)</f>
        <v>7.7067981626062947E-16</v>
      </c>
      <c r="AB200" s="80">
        <f t="shared" ca="1" si="29"/>
        <v>1.3933690435488292E-15</v>
      </c>
      <c r="AC200" s="80">
        <f t="shared" ca="1" si="30"/>
        <v>1.80797396551724</v>
      </c>
      <c r="AD200" s="80">
        <f t="shared" ca="1" si="31"/>
        <v>0.99999999999682954</v>
      </c>
    </row>
    <row r="201" spans="1:30">
      <c r="A201" s="56">
        <v>10</v>
      </c>
      <c r="B201" s="12">
        <f t="shared" si="25"/>
        <v>1.9315643166666667</v>
      </c>
      <c r="C201" s="12">
        <f t="shared" si="26"/>
        <v>1.9315643166666667</v>
      </c>
      <c r="D201" s="23">
        <f t="array" ref="D201">MATCH(MIN(ABS(ServerTypeA!$A$106:$A$165-$C201)),ABS(ServerTypeA!$A$106:$A$165-$C201),0)</f>
        <v>19</v>
      </c>
      <c r="E201" s="23">
        <f t="array" ref="E201">INDEX(ServerTypeA!$A$106:$A$165,MATCH(MIN(ABS(ServerTypeA!$A$106:$A$165-$C201)),ABS(ServerTypeA!$A$106:$A$165-$C201),0))</f>
        <v>1.9</v>
      </c>
      <c r="F201" s="80">
        <f t="shared" ca="1" si="27"/>
        <v>0</v>
      </c>
      <c r="G201" s="80">
        <f t="shared" ca="1" si="27"/>
        <v>1.2621865999516303E-2</v>
      </c>
      <c r="H201" s="80">
        <f t="shared" ca="1" si="27"/>
        <v>0.52528878486634523</v>
      </c>
      <c r="I201" s="80">
        <f t="shared" ca="1" si="27"/>
        <v>0.41072465110529444</v>
      </c>
      <c r="J201" s="80">
        <f t="shared" ca="1" si="27"/>
        <v>4.6306751129439827E-2</v>
      </c>
      <c r="K201" s="80">
        <f t="shared" ca="1" si="27"/>
        <v>4.8475736171164074E-3</v>
      </c>
      <c r="L201" s="80">
        <f t="shared" ca="1" si="27"/>
        <v>2.0243099489947181E-4</v>
      </c>
      <c r="M201" s="80">
        <f t="shared" ca="1" si="27"/>
        <v>7.6385860107164305E-6</v>
      </c>
      <c r="N201" s="80">
        <f t="shared" ca="1" si="27"/>
        <v>2.9133435353045911E-7</v>
      </c>
      <c r="O201" s="80">
        <f t="shared" ca="1" si="27"/>
        <v>1.1818426459697662E-8</v>
      </c>
      <c r="P201" s="80">
        <f t="shared" ca="1" si="27"/>
        <v>5.2168114272888033E-10</v>
      </c>
      <c r="Q201" s="80">
        <f t="shared" ca="1" si="27"/>
        <v>2.5282886895183765E-11</v>
      </c>
      <c r="R201" s="80">
        <f t="shared" ca="1" si="27"/>
        <v>1.3480327964998651E-12</v>
      </c>
      <c r="S201" s="80">
        <f t="shared" ca="1" si="27"/>
        <v>7.893685705084863E-14</v>
      </c>
      <c r="T201" s="80">
        <f t="shared" ca="1" si="27"/>
        <v>5.1070259132757201E-15</v>
      </c>
      <c r="U201" s="80">
        <f t="shared" ca="1" si="27"/>
        <v>0</v>
      </c>
      <c r="V201" s="80">
        <f t="shared" ca="1" si="28"/>
        <v>0</v>
      </c>
      <c r="W201" s="80">
        <f t="shared" ca="1" si="28"/>
        <v>0</v>
      </c>
      <c r="X201" s="80">
        <f t="shared" ca="1" si="28"/>
        <v>0</v>
      </c>
      <c r="Y201" s="80">
        <f t="shared" ca="1" si="28"/>
        <v>0</v>
      </c>
      <c r="Z201" s="80">
        <f t="shared" ca="1" si="28"/>
        <v>0</v>
      </c>
      <c r="AA201" s="80">
        <f ca="1">SUMPRODUCT(F201:Z201,FailureForCPU!E$17:Y$17)</f>
        <v>7.4292424064500056E-16</v>
      </c>
      <c r="AB201" s="80">
        <f t="shared" ca="1" si="29"/>
        <v>1.4350059532165628E-15</v>
      </c>
      <c r="AC201" s="80">
        <f t="shared" ca="1" si="30"/>
        <v>1.9315643166666654</v>
      </c>
      <c r="AD201" s="80">
        <f t="shared" ca="1" si="31"/>
        <v>0.99999999999979849</v>
      </c>
    </row>
    <row r="202" spans="1:30">
      <c r="A202" s="56">
        <v>11</v>
      </c>
      <c r="B202" s="12">
        <f t="shared" si="25"/>
        <v>2.03022415</v>
      </c>
      <c r="C202" s="12">
        <f t="shared" si="26"/>
        <v>2.03022415</v>
      </c>
      <c r="D202" s="23">
        <f t="array" ref="D202">MATCH(MIN(ABS(ServerTypeA!$A$106:$A$165-$C202)),ABS(ServerTypeA!$A$106:$A$165-$C202),0)</f>
        <v>20</v>
      </c>
      <c r="E202" s="23">
        <f t="array" ref="E202">INDEX(ServerTypeA!$A$106:$A$165,MATCH(MIN(ABS(ServerTypeA!$A$106:$A$165-$C202)),ABS(ServerTypeA!$A$106:$A$165-$C202),0))</f>
        <v>2</v>
      </c>
      <c r="F202" s="80">
        <f t="shared" ca="1" si="27"/>
        <v>0</v>
      </c>
      <c r="G202" s="80">
        <f t="shared" ca="1" si="27"/>
        <v>6.4882558968740569E-3</v>
      </c>
      <c r="H202" s="80">
        <f t="shared" ca="1" si="27"/>
        <v>0.45773957032610912</v>
      </c>
      <c r="I202" s="80">
        <f t="shared" ca="1" si="27"/>
        <v>0.46733225910107257</v>
      </c>
      <c r="J202" s="80">
        <f t="shared" ca="1" si="27"/>
        <v>6.1346451119754675E-2</v>
      </c>
      <c r="K202" s="80">
        <f t="shared" ca="1" si="27"/>
        <v>6.7946249034726014E-3</v>
      </c>
      <c r="L202" s="80">
        <f t="shared" ca="1" si="27"/>
        <v>2.8780670345651682E-4</v>
      </c>
      <c r="M202" s="80">
        <f t="shared" ca="1" si="27"/>
        <v>1.0628172429583138E-5</v>
      </c>
      <c r="N202" s="80">
        <f t="shared" ca="1" si="27"/>
        <v>3.8824666881431824E-7</v>
      </c>
      <c r="O202" s="80">
        <f t="shared" ca="1" si="27"/>
        <v>1.4885105814599342E-8</v>
      </c>
      <c r="P202" s="80">
        <f t="shared" ca="1" si="27"/>
        <v>6.1576810317376385E-10</v>
      </c>
      <c r="Q202" s="80">
        <f t="shared" ca="1" si="27"/>
        <v>2.7819080372637472E-11</v>
      </c>
      <c r="R202" s="80">
        <f t="shared" ca="1" si="27"/>
        <v>1.3781198404672068E-12</v>
      </c>
      <c r="S202" s="80">
        <f t="shared" ca="1" si="27"/>
        <v>7.4829031859735551E-14</v>
      </c>
      <c r="T202" s="80">
        <f t="shared" ca="1" si="27"/>
        <v>4.4408920985006262E-15</v>
      </c>
      <c r="U202" s="80">
        <f t="shared" ca="1" si="27"/>
        <v>0</v>
      </c>
      <c r="V202" s="80">
        <f t="shared" ca="1" si="28"/>
        <v>0</v>
      </c>
      <c r="W202" s="80">
        <f t="shared" ca="1" si="28"/>
        <v>0</v>
      </c>
      <c r="X202" s="80">
        <f t="shared" ca="1" si="28"/>
        <v>0</v>
      </c>
      <c r="Y202" s="80">
        <f t="shared" ca="1" si="28"/>
        <v>0</v>
      </c>
      <c r="Z202" s="80">
        <f t="shared" ca="1" si="28"/>
        <v>0</v>
      </c>
      <c r="AA202" s="80">
        <f ca="1">SUMPRODUCT(F202:Z202,FailureForCPU!E$17:Y$17)</f>
        <v>6.9759013380614001E-16</v>
      </c>
      <c r="AB202" s="80">
        <f t="shared" ca="1" si="29"/>
        <v>1.4162643364549568E-15</v>
      </c>
      <c r="AC202" s="80">
        <f t="shared" ca="1" si="30"/>
        <v>2.0302241499999987</v>
      </c>
      <c r="AD202" s="80">
        <f t="shared" ca="1" si="31"/>
        <v>0.99999999999998834</v>
      </c>
    </row>
    <row r="203" spans="1:30">
      <c r="A203" s="56">
        <v>12</v>
      </c>
      <c r="B203" s="12">
        <f t="shared" si="25"/>
        <v>2.2896160166666668</v>
      </c>
      <c r="C203" s="12">
        <f t="shared" si="26"/>
        <v>2.2896160166666668</v>
      </c>
      <c r="D203" s="23">
        <f t="array" ref="D203">MATCH(MIN(ABS(ServerTypeA!$A$106:$A$165-$C203)),ABS(ServerTypeA!$A$106:$A$165-$C203),0)</f>
        <v>23</v>
      </c>
      <c r="E203" s="23">
        <f t="array" ref="E203">INDEX(ServerTypeA!$A$106:$A$165,MATCH(MIN(ABS(ServerTypeA!$A$106:$A$165-$C203)),ABS(ServerTypeA!$A$106:$A$165-$C203),0))</f>
        <v>2.2999999999999998</v>
      </c>
      <c r="F203" s="80">
        <f t="shared" ca="1" si="27"/>
        <v>0</v>
      </c>
      <c r="G203" s="80">
        <f t="shared" ca="1" si="27"/>
        <v>6.6742298033073313E-4</v>
      </c>
      <c r="H203" s="80">
        <f t="shared" ca="1" si="27"/>
        <v>0.26451402020199755</v>
      </c>
      <c r="I203" s="80">
        <f t="shared" ca="1" si="27"/>
        <v>0.5930847434515365</v>
      </c>
      <c r="J203" s="80">
        <f t="shared" ca="1" si="27"/>
        <v>0.12441726655914587</v>
      </c>
      <c r="K203" s="80">
        <f t="shared" ca="1" si="27"/>
        <v>1.6551860382289618E-2</v>
      </c>
      <c r="L203" s="80">
        <f t="shared" ca="1" si="27"/>
        <v>7.3822551614632914E-4</v>
      </c>
      <c r="M203" s="80">
        <f t="shared" ca="1" si="27"/>
        <v>2.5613123094236911E-5</v>
      </c>
      <c r="N203" s="80">
        <f t="shared" ca="1" si="27"/>
        <v>8.2043762872352488E-7</v>
      </c>
      <c r="O203" s="80">
        <f t="shared" ca="1" si="27"/>
        <v>2.6420734489107645E-8</v>
      </c>
      <c r="P203" s="80">
        <f t="shared" ca="1" si="27"/>
        <v>8.93343066188379E-10</v>
      </c>
      <c r="Q203" s="80">
        <f t="shared" ca="1" si="27"/>
        <v>3.2419511519776734E-11</v>
      </c>
      <c r="R203" s="80">
        <f t="shared" ca="1" si="27"/>
        <v>1.2759793222016924E-12</v>
      </c>
      <c r="S203" s="80">
        <f t="shared" ca="1" si="27"/>
        <v>5.4733995114020217E-14</v>
      </c>
      <c r="T203" s="80">
        <f t="shared" ca="1" si="27"/>
        <v>2.55351295663786E-15</v>
      </c>
      <c r="U203" s="80">
        <f t="shared" ca="1" si="27"/>
        <v>0</v>
      </c>
      <c r="V203" s="80">
        <f t="shared" ca="1" si="28"/>
        <v>0</v>
      </c>
      <c r="W203" s="80">
        <f t="shared" ca="1" si="28"/>
        <v>0</v>
      </c>
      <c r="X203" s="80">
        <f t="shared" ca="1" si="28"/>
        <v>0</v>
      </c>
      <c r="Y203" s="80">
        <f t="shared" ca="1" si="28"/>
        <v>0</v>
      </c>
      <c r="Z203" s="80">
        <f t="shared" ca="1" si="28"/>
        <v>0</v>
      </c>
      <c r="AA203" s="80">
        <f ca="1">SUMPRODUCT(F203:Z203,FailureForCPU!E$17:Y$17)</f>
        <v>4.986751752274662E-16</v>
      </c>
      <c r="AB203" s="80">
        <f t="shared" ca="1" si="29"/>
        <v>1.1417746683148633E-15</v>
      </c>
      <c r="AC203" s="80">
        <f t="shared" ca="1" si="30"/>
        <v>2.2896160166666655</v>
      </c>
      <c r="AD203" s="80">
        <f t="shared" ca="1" si="31"/>
        <v>0.99999999999999989</v>
      </c>
    </row>
    <row r="204" spans="1:30">
      <c r="A204" s="56">
        <v>13</v>
      </c>
      <c r="B204" s="12">
        <f t="shared" si="25"/>
        <v>2.2934009304597702</v>
      </c>
      <c r="C204" s="12">
        <f t="shared" si="26"/>
        <v>2.2934009304597702</v>
      </c>
      <c r="D204" s="23">
        <f t="array" ref="D204">MATCH(MIN(ABS(ServerTypeA!$A$106:$A$165-$C204)),ABS(ServerTypeA!$A$106:$A$165-$C204),0)</f>
        <v>23</v>
      </c>
      <c r="E204" s="23">
        <f t="array" ref="E204">INDEX(ServerTypeA!$A$106:$A$165,MATCH(MIN(ABS(ServerTypeA!$A$106:$A$165-$C204)),ABS(ServerTypeA!$A$106:$A$165-$C204),0))</f>
        <v>2.2999999999999998</v>
      </c>
      <c r="F204" s="80">
        <f t="shared" ca="1" si="27"/>
        <v>0</v>
      </c>
      <c r="G204" s="80">
        <f t="shared" ca="1" si="27"/>
        <v>6.6742298033073313E-4</v>
      </c>
      <c r="H204" s="80">
        <f t="shared" ca="1" si="27"/>
        <v>0.26451402020199755</v>
      </c>
      <c r="I204" s="80">
        <f t="shared" ca="1" si="27"/>
        <v>0.5930847434515365</v>
      </c>
      <c r="J204" s="80">
        <f t="shared" ca="1" si="27"/>
        <v>0.12441726655914587</v>
      </c>
      <c r="K204" s="80">
        <f t="shared" ca="1" si="27"/>
        <v>1.6551860382289618E-2</v>
      </c>
      <c r="L204" s="80">
        <f t="shared" ca="1" si="27"/>
        <v>7.3822551614632914E-4</v>
      </c>
      <c r="M204" s="80">
        <f t="shared" ca="1" si="27"/>
        <v>2.5613123094236911E-5</v>
      </c>
      <c r="N204" s="80">
        <f t="shared" ca="1" si="27"/>
        <v>8.2043762872352488E-7</v>
      </c>
      <c r="O204" s="80">
        <f t="shared" ca="1" si="27"/>
        <v>2.6420734489107645E-8</v>
      </c>
      <c r="P204" s="80">
        <f t="shared" ca="1" si="27"/>
        <v>8.93343066188379E-10</v>
      </c>
      <c r="Q204" s="80">
        <f t="shared" ca="1" si="27"/>
        <v>3.2419511519776734E-11</v>
      </c>
      <c r="R204" s="80">
        <f t="shared" ca="1" si="27"/>
        <v>1.2759793222016924E-12</v>
      </c>
      <c r="S204" s="80">
        <f t="shared" ca="1" si="27"/>
        <v>5.4733995114020217E-14</v>
      </c>
      <c r="T204" s="80">
        <f t="shared" ca="1" si="27"/>
        <v>2.55351295663786E-15</v>
      </c>
      <c r="U204" s="80">
        <f t="shared" ca="1" si="27"/>
        <v>0</v>
      </c>
      <c r="V204" s="80">
        <f t="shared" ca="1" si="28"/>
        <v>0</v>
      </c>
      <c r="W204" s="80">
        <f t="shared" ca="1" si="28"/>
        <v>0</v>
      </c>
      <c r="X204" s="80">
        <f t="shared" ca="1" si="28"/>
        <v>0</v>
      </c>
      <c r="Y204" s="80">
        <f t="shared" ca="1" si="28"/>
        <v>0</v>
      </c>
      <c r="Z204" s="80">
        <f t="shared" ca="1" si="28"/>
        <v>0</v>
      </c>
      <c r="AA204" s="80">
        <f ca="1">SUMPRODUCT(F204:Z204,FailureForCPU!E$17:Y$17)</f>
        <v>4.986751752274662E-16</v>
      </c>
      <c r="AB204" s="80">
        <f t="shared" ca="1" si="29"/>
        <v>1.14366211086386E-15</v>
      </c>
      <c r="AC204" s="80">
        <f t="shared" ca="1" si="30"/>
        <v>2.2934009304597689</v>
      </c>
      <c r="AD204" s="80">
        <f t="shared" ca="1" si="31"/>
        <v>0.99999999999999989</v>
      </c>
    </row>
    <row r="205" spans="1:30">
      <c r="A205" s="56">
        <v>14</v>
      </c>
      <c r="B205" s="12">
        <f t="shared" si="25"/>
        <v>2.3540504500000003</v>
      </c>
      <c r="C205" s="12">
        <f t="shared" si="26"/>
        <v>2.3540504500000003</v>
      </c>
      <c r="D205" s="23">
        <f t="array" ref="D205">MATCH(MIN(ABS(ServerTypeA!$A$106:$A$165-$C205)),ABS(ServerTypeA!$A$106:$A$165-$C205),0)</f>
        <v>24</v>
      </c>
      <c r="E205" s="23">
        <f t="array" ref="E205">INDEX(ServerTypeA!$A$106:$A$165,MATCH(MIN(ABS(ServerTypeA!$A$106:$A$165-$C205)),ABS(ServerTypeA!$A$106:$A$165-$C205),0))</f>
        <v>2.4</v>
      </c>
      <c r="F205" s="80">
        <f t="shared" ca="1" si="27"/>
        <v>0</v>
      </c>
      <c r="G205" s="80">
        <f t="shared" ca="1" si="27"/>
        <v>2.8426728755026604E-4</v>
      </c>
      <c r="H205" s="80">
        <f t="shared" ca="1" si="27"/>
        <v>0.21080743577880634</v>
      </c>
      <c r="I205" s="80">
        <f t="shared" ca="1" si="27"/>
        <v>0.61494753029451921</v>
      </c>
      <c r="J205" s="80">
        <f t="shared" ca="1" si="27"/>
        <v>0.15142184347630239</v>
      </c>
      <c r="K205" s="80">
        <f t="shared" ca="1" si="27"/>
        <v>2.1524552035688482E-2</v>
      </c>
      <c r="L205" s="80">
        <f t="shared" ca="1" si="27"/>
        <v>9.7998094599649477E-4</v>
      </c>
      <c r="M205" s="80">
        <f t="shared" ca="1" si="27"/>
        <v>3.3336683584073157E-5</v>
      </c>
      <c r="N205" s="80">
        <f t="shared" ca="1" si="27"/>
        <v>1.0215000042501643E-6</v>
      </c>
      <c r="O205" s="80">
        <f t="shared" ca="1" si="27"/>
        <v>3.0986197496751799E-8</v>
      </c>
      <c r="P205" s="80">
        <f t="shared" ca="1" si="27"/>
        <v>9.7723673597727156E-10</v>
      </c>
      <c r="Q205" s="80">
        <f t="shared" ca="1" si="27"/>
        <v>3.2870595134681935E-11</v>
      </c>
      <c r="R205" s="80">
        <f t="shared" ca="1" si="27"/>
        <v>1.1943779298917434E-12</v>
      </c>
      <c r="S205" s="80">
        <f t="shared" ca="1" si="27"/>
        <v>4.7184478546569153E-14</v>
      </c>
      <c r="T205" s="80">
        <f t="shared" ca="1" si="27"/>
        <v>1.9984014443252818E-15</v>
      </c>
      <c r="U205" s="80">
        <f t="shared" ca="1" si="27"/>
        <v>0</v>
      </c>
      <c r="V205" s="80">
        <f t="shared" ca="1" si="28"/>
        <v>0</v>
      </c>
      <c r="W205" s="80">
        <f t="shared" ca="1" si="28"/>
        <v>0</v>
      </c>
      <c r="X205" s="80">
        <f t="shared" ca="1" si="28"/>
        <v>0</v>
      </c>
      <c r="Y205" s="80">
        <f t="shared" ca="1" si="28"/>
        <v>0</v>
      </c>
      <c r="Z205" s="80">
        <f t="shared" ca="1" si="28"/>
        <v>0</v>
      </c>
      <c r="AA205" s="80">
        <f ca="1">SUMPRODUCT(F205:Z205,FailureForCPU!E$17:Y$17)</f>
        <v>4.2651067862683093E-16</v>
      </c>
      <c r="AB205" s="80">
        <f t="shared" ca="1" si="29"/>
        <v>1.0040276549512968E-15</v>
      </c>
      <c r="AC205" s="80">
        <f t="shared" ca="1" si="30"/>
        <v>2.3540504499999995</v>
      </c>
      <c r="AD205" s="80">
        <f t="shared" ca="1" si="31"/>
        <v>0.99999999999999989</v>
      </c>
    </row>
    <row r="206" spans="1:30">
      <c r="A206" s="56">
        <v>15</v>
      </c>
      <c r="B206" s="12">
        <f t="shared" si="25"/>
        <v>2.3404022586206894</v>
      </c>
      <c r="C206" s="12">
        <f t="shared" si="26"/>
        <v>2.3404022586206894</v>
      </c>
      <c r="D206" s="23">
        <f t="array" ref="D206">MATCH(MIN(ABS(ServerTypeA!$A$106:$A$165-$C206)),ABS(ServerTypeA!$A$106:$A$165-$C206),0)</f>
        <v>23</v>
      </c>
      <c r="E206" s="23">
        <f t="array" ref="E206">INDEX(ServerTypeA!$A$106:$A$165,MATCH(MIN(ABS(ServerTypeA!$A$106:$A$165-$C206)),ABS(ServerTypeA!$A$106:$A$165-$C206),0))</f>
        <v>2.2999999999999998</v>
      </c>
      <c r="F206" s="80">
        <f t="shared" ca="1" si="27"/>
        <v>0</v>
      </c>
      <c r="G206" s="80">
        <f t="shared" ca="1" si="27"/>
        <v>6.6742298033073313E-4</v>
      </c>
      <c r="H206" s="80">
        <f t="shared" ca="1" si="27"/>
        <v>0.26451402020199755</v>
      </c>
      <c r="I206" s="80">
        <f t="shared" ca="1" si="27"/>
        <v>0.5930847434515365</v>
      </c>
      <c r="J206" s="80">
        <f t="shared" ca="1" si="27"/>
        <v>0.12441726655914587</v>
      </c>
      <c r="K206" s="80">
        <f t="shared" ca="1" si="27"/>
        <v>1.6551860382289618E-2</v>
      </c>
      <c r="L206" s="80">
        <f t="shared" ca="1" si="27"/>
        <v>7.3822551614632914E-4</v>
      </c>
      <c r="M206" s="80">
        <f t="shared" ca="1" si="27"/>
        <v>2.5613123094236911E-5</v>
      </c>
      <c r="N206" s="80">
        <f t="shared" ca="1" si="27"/>
        <v>8.2043762872352488E-7</v>
      </c>
      <c r="O206" s="80">
        <f t="shared" ca="1" si="27"/>
        <v>2.6420734489107645E-8</v>
      </c>
      <c r="P206" s="80">
        <f t="shared" ca="1" si="27"/>
        <v>8.93343066188379E-10</v>
      </c>
      <c r="Q206" s="80">
        <f t="shared" ca="1" si="27"/>
        <v>3.2419511519776734E-11</v>
      </c>
      <c r="R206" s="80">
        <f t="shared" ca="1" si="27"/>
        <v>1.2759793222016924E-12</v>
      </c>
      <c r="S206" s="80">
        <f t="shared" ca="1" si="27"/>
        <v>5.4733995114020217E-14</v>
      </c>
      <c r="T206" s="80">
        <f t="shared" ca="1" si="27"/>
        <v>2.55351295663786E-15</v>
      </c>
      <c r="U206" s="80">
        <f t="shared" ref="U206:AD219" ca="1" si="32">OFFSET($B$106,$D206-1,U$221,1,1)</f>
        <v>0</v>
      </c>
      <c r="V206" s="80">
        <f t="shared" ca="1" si="32"/>
        <v>0</v>
      </c>
      <c r="W206" s="80">
        <f t="shared" ca="1" si="32"/>
        <v>0</v>
      </c>
      <c r="X206" s="80">
        <f t="shared" ca="1" si="32"/>
        <v>0</v>
      </c>
      <c r="Y206" s="80">
        <f t="shared" ca="1" si="32"/>
        <v>0</v>
      </c>
      <c r="Z206" s="80">
        <f t="shared" ca="1" si="32"/>
        <v>0</v>
      </c>
      <c r="AA206" s="80">
        <f ca="1">SUMPRODUCT(F206:Z206,FailureForCPU!E$17:Y$17)</f>
        <v>4.986751752274662E-16</v>
      </c>
      <c r="AB206" s="80">
        <f t="shared" ca="1" si="29"/>
        <v>1.1671005064204299E-15</v>
      </c>
      <c r="AC206" s="80">
        <f t="shared" ca="1" si="30"/>
        <v>2.3404022586206881</v>
      </c>
      <c r="AD206" s="80">
        <f t="shared" ca="1" si="31"/>
        <v>0.99999999999999989</v>
      </c>
    </row>
    <row r="207" spans="1:30">
      <c r="A207" s="56">
        <v>16</v>
      </c>
      <c r="B207" s="12">
        <f t="shared" si="25"/>
        <v>2.4359785499999997</v>
      </c>
      <c r="C207" s="12">
        <f t="shared" si="26"/>
        <v>2.4359785499999997</v>
      </c>
      <c r="D207" s="23">
        <f t="array" ref="D207">MATCH(MIN(ABS(ServerTypeA!$A$106:$A$165-$C207)),ABS(ServerTypeA!$A$106:$A$165-$C207),0)</f>
        <v>24</v>
      </c>
      <c r="E207" s="23">
        <f t="array" ref="E207">INDEX(ServerTypeA!$A$106:$A$165,MATCH(MIN(ABS(ServerTypeA!$A$106:$A$165-$C207)),ABS(ServerTypeA!$A$106:$A$165-$C207),0))</f>
        <v>2.4</v>
      </c>
      <c r="F207" s="80">
        <f t="shared" ref="F207:U220" ca="1" si="33">OFFSET($B$106,$D207-1,F$221,1,1)</f>
        <v>0</v>
      </c>
      <c r="G207" s="80">
        <f t="shared" ca="1" si="33"/>
        <v>2.8426728755026604E-4</v>
      </c>
      <c r="H207" s="80">
        <f t="shared" ca="1" si="33"/>
        <v>0.21080743577880634</v>
      </c>
      <c r="I207" s="80">
        <f t="shared" ca="1" si="33"/>
        <v>0.61494753029451921</v>
      </c>
      <c r="J207" s="80">
        <f t="shared" ca="1" si="33"/>
        <v>0.15142184347630239</v>
      </c>
      <c r="K207" s="80">
        <f t="shared" ca="1" si="33"/>
        <v>2.1524552035688482E-2</v>
      </c>
      <c r="L207" s="80">
        <f t="shared" ca="1" si="33"/>
        <v>9.7998094599649477E-4</v>
      </c>
      <c r="M207" s="80">
        <f t="shared" ca="1" si="33"/>
        <v>3.3336683584073157E-5</v>
      </c>
      <c r="N207" s="80">
        <f t="shared" ca="1" si="33"/>
        <v>1.0215000042501643E-6</v>
      </c>
      <c r="O207" s="80">
        <f t="shared" ca="1" si="33"/>
        <v>3.0986197496751799E-8</v>
      </c>
      <c r="P207" s="80">
        <f t="shared" ca="1" si="33"/>
        <v>9.7723673597727156E-10</v>
      </c>
      <c r="Q207" s="80">
        <f t="shared" ca="1" si="33"/>
        <v>3.2870595134681935E-11</v>
      </c>
      <c r="R207" s="80">
        <f t="shared" ca="1" si="33"/>
        <v>1.1943779298917434E-12</v>
      </c>
      <c r="S207" s="80">
        <f t="shared" ca="1" si="33"/>
        <v>4.7184478546569153E-14</v>
      </c>
      <c r="T207" s="80">
        <f t="shared" ca="1" si="33"/>
        <v>1.9984014443252818E-15</v>
      </c>
      <c r="U207" s="80">
        <f t="shared" ca="1" si="33"/>
        <v>0</v>
      </c>
      <c r="V207" s="80">
        <f t="shared" ca="1" si="32"/>
        <v>0</v>
      </c>
      <c r="W207" s="80">
        <f t="shared" ca="1" si="32"/>
        <v>0</v>
      </c>
      <c r="X207" s="80">
        <f t="shared" ca="1" si="32"/>
        <v>0</v>
      </c>
      <c r="Y207" s="80">
        <f t="shared" ca="1" si="32"/>
        <v>0</v>
      </c>
      <c r="Z207" s="80">
        <f t="shared" ca="1" si="32"/>
        <v>0</v>
      </c>
      <c r="AA207" s="80">
        <f ca="1">SUMPRODUCT(F207:Z207,FailureForCPU!E$17:Y$17)</f>
        <v>4.2651067862683093E-16</v>
      </c>
      <c r="AB207" s="80">
        <f t="shared" ca="1" si="29"/>
        <v>1.0389708644809035E-15</v>
      </c>
      <c r="AC207" s="80">
        <f t="shared" ca="1" si="30"/>
        <v>2.4359785499999989</v>
      </c>
      <c r="AD207" s="80">
        <f t="shared" ca="1" si="31"/>
        <v>0.99999999999999989</v>
      </c>
    </row>
    <row r="208" spans="1:30">
      <c r="A208" s="56">
        <v>17</v>
      </c>
      <c r="B208" s="12">
        <f t="shared" si="25"/>
        <v>2.4111804999999999</v>
      </c>
      <c r="C208" s="12">
        <f t="shared" si="26"/>
        <v>2.4111804999999999</v>
      </c>
      <c r="D208" s="23">
        <f t="array" ref="D208">MATCH(MIN(ABS(ServerTypeA!$A$106:$A$165-$C208)),ABS(ServerTypeA!$A$106:$A$165-$C208),0)</f>
        <v>24</v>
      </c>
      <c r="E208" s="23">
        <f t="array" ref="E208">INDEX(ServerTypeA!$A$106:$A$165,MATCH(MIN(ABS(ServerTypeA!$A$106:$A$165-$C208)),ABS(ServerTypeA!$A$106:$A$165-$C208),0))</f>
        <v>2.4</v>
      </c>
      <c r="F208" s="80">
        <f t="shared" ca="1" si="33"/>
        <v>0</v>
      </c>
      <c r="G208" s="80">
        <f t="shared" ca="1" si="33"/>
        <v>2.8426728755026604E-4</v>
      </c>
      <c r="H208" s="80">
        <f t="shared" ca="1" si="33"/>
        <v>0.21080743577880634</v>
      </c>
      <c r="I208" s="80">
        <f t="shared" ca="1" si="33"/>
        <v>0.61494753029451921</v>
      </c>
      <c r="J208" s="80">
        <f t="shared" ca="1" si="33"/>
        <v>0.15142184347630239</v>
      </c>
      <c r="K208" s="80">
        <f t="shared" ca="1" si="33"/>
        <v>2.1524552035688482E-2</v>
      </c>
      <c r="L208" s="80">
        <f t="shared" ca="1" si="33"/>
        <v>9.7998094599649477E-4</v>
      </c>
      <c r="M208" s="80">
        <f t="shared" ca="1" si="33"/>
        <v>3.3336683584073157E-5</v>
      </c>
      <c r="N208" s="80">
        <f t="shared" ca="1" si="33"/>
        <v>1.0215000042501643E-6</v>
      </c>
      <c r="O208" s="80">
        <f t="shared" ca="1" si="33"/>
        <v>3.0986197496751799E-8</v>
      </c>
      <c r="P208" s="80">
        <f t="shared" ca="1" si="33"/>
        <v>9.7723673597727156E-10</v>
      </c>
      <c r="Q208" s="80">
        <f t="shared" ca="1" si="33"/>
        <v>3.2870595134681935E-11</v>
      </c>
      <c r="R208" s="80">
        <f t="shared" ca="1" si="33"/>
        <v>1.1943779298917434E-12</v>
      </c>
      <c r="S208" s="80">
        <f t="shared" ca="1" si="33"/>
        <v>4.7184478546569153E-14</v>
      </c>
      <c r="T208" s="80">
        <f t="shared" ca="1" si="33"/>
        <v>1.9984014443252818E-15</v>
      </c>
      <c r="U208" s="80">
        <f t="shared" ca="1" si="33"/>
        <v>0</v>
      </c>
      <c r="V208" s="80">
        <f t="shared" ca="1" si="32"/>
        <v>0</v>
      </c>
      <c r="W208" s="80">
        <f t="shared" ca="1" si="32"/>
        <v>0</v>
      </c>
      <c r="X208" s="80">
        <f t="shared" ca="1" si="32"/>
        <v>0</v>
      </c>
      <c r="Y208" s="80">
        <f t="shared" ca="1" si="32"/>
        <v>0</v>
      </c>
      <c r="Z208" s="80">
        <f t="shared" ca="1" si="32"/>
        <v>0</v>
      </c>
      <c r="AA208" s="80">
        <f ca="1">SUMPRODUCT(F208:Z208,FailureForCPU!E$17:Y$17)</f>
        <v>4.2651067862683093E-16</v>
      </c>
      <c r="AB208" s="80">
        <f t="shared" ca="1" si="29"/>
        <v>1.0283942313467816E-15</v>
      </c>
      <c r="AC208" s="80">
        <f t="shared" ca="1" si="30"/>
        <v>2.4111804999999991</v>
      </c>
      <c r="AD208" s="80">
        <f t="shared" ca="1" si="31"/>
        <v>0.99999999999999989</v>
      </c>
    </row>
    <row r="209" spans="1:30">
      <c r="A209" s="56">
        <v>18</v>
      </c>
      <c r="B209" s="12">
        <f t="shared" si="25"/>
        <v>3.3244928103448275</v>
      </c>
      <c r="C209" s="12">
        <f t="shared" si="26"/>
        <v>3.3244928103448275</v>
      </c>
      <c r="D209" s="23">
        <f t="array" ref="D209">MATCH(MIN(ABS(ServerTypeA!$A$106:$A$165-$C209)),ABS(ServerTypeA!$A$106:$A$165-$C209),0)</f>
        <v>33</v>
      </c>
      <c r="E209" s="23">
        <f t="array" ref="E209">INDEX(ServerTypeA!$A$106:$A$165,MATCH(MIN(ABS(ServerTypeA!$A$106:$A$165-$C209)),ABS(ServerTypeA!$A$106:$A$165-$C209),0))</f>
        <v>3.3</v>
      </c>
      <c r="F209" s="80">
        <f t="shared" ca="1" si="33"/>
        <v>0</v>
      </c>
      <c r="G209" s="80">
        <f t="shared" ca="1" si="33"/>
        <v>5.5738076098548047E-9</v>
      </c>
      <c r="H209" s="80">
        <f t="shared" ca="1" si="33"/>
        <v>6.5282858893081219E-3</v>
      </c>
      <c r="I209" s="80">
        <f t="shared" ca="1" si="33"/>
        <v>0.35490090614457093</v>
      </c>
      <c r="J209" s="80">
        <f t="shared" ca="1" si="33"/>
        <v>0.46675200776503933</v>
      </c>
      <c r="K209" s="80">
        <f t="shared" ca="1" si="33"/>
        <v>0.16018862731872074</v>
      </c>
      <c r="L209" s="80">
        <f t="shared" ca="1" si="33"/>
        <v>1.1243338100732858E-2</v>
      </c>
      <c r="M209" s="80">
        <f t="shared" ca="1" si="33"/>
        <v>3.7803982791584367E-4</v>
      </c>
      <c r="N209" s="80">
        <f t="shared" ca="1" si="33"/>
        <v>8.6243270717156761E-6</v>
      </c>
      <c r="O209" s="80">
        <f t="shared" ca="1" si="33"/>
        <v>1.6219231335767859E-7</v>
      </c>
      <c r="P209" s="80">
        <f t="shared" ca="1" si="33"/>
        <v>2.8116797778920954E-9</v>
      </c>
      <c r="Q209" s="80">
        <f t="shared" ca="1" si="33"/>
        <v>4.7985393436533741E-11</v>
      </c>
      <c r="R209" s="80">
        <f t="shared" ca="1" si="33"/>
        <v>8.3866247280184325E-13</v>
      </c>
      <c r="S209" s="80">
        <f t="shared" ca="1" si="33"/>
        <v>1.532107773982716E-14</v>
      </c>
      <c r="T209" s="80">
        <f t="shared" ca="1" si="33"/>
        <v>0</v>
      </c>
      <c r="U209" s="80">
        <f t="shared" ca="1" si="33"/>
        <v>0</v>
      </c>
      <c r="V209" s="80">
        <f t="shared" ca="1" si="32"/>
        <v>0</v>
      </c>
      <c r="W209" s="80">
        <f t="shared" ca="1" si="32"/>
        <v>0</v>
      </c>
      <c r="X209" s="80">
        <f t="shared" ca="1" si="32"/>
        <v>0</v>
      </c>
      <c r="Y209" s="80">
        <f t="shared" ca="1" si="32"/>
        <v>0</v>
      </c>
      <c r="Z209" s="80">
        <f t="shared" ca="1" si="32"/>
        <v>0</v>
      </c>
      <c r="AA209" s="80">
        <f ca="1">SUMPRODUCT(F209:Z209,FailureForCPU!E$17:Y$17)</f>
        <v>1.2767564783189299E-16</v>
      </c>
      <c r="AB209" s="80">
        <f t="shared" ca="1" si="29"/>
        <v>4.2445677327324643E-16</v>
      </c>
      <c r="AC209" s="80">
        <f t="shared" ca="1" si="30"/>
        <v>3.324492810344827</v>
      </c>
      <c r="AD209" s="80">
        <f t="shared" ca="1" si="31"/>
        <v>0.99999999999999967</v>
      </c>
    </row>
    <row r="210" spans="1:30">
      <c r="A210" s="56">
        <v>19</v>
      </c>
      <c r="B210" s="12">
        <f t="shared" si="25"/>
        <v>4.0252025333333332</v>
      </c>
      <c r="C210" s="12">
        <f t="shared" si="26"/>
        <v>4.0252025333333332</v>
      </c>
      <c r="D210" s="23">
        <f t="array" ref="D210">MATCH(MIN(ABS(ServerTypeA!$A$106:$A$165-$C210)),ABS(ServerTypeA!$A$106:$A$165-$C210),0)</f>
        <v>40</v>
      </c>
      <c r="E210" s="23">
        <f t="array" ref="E210">INDEX(ServerTypeA!$A$106:$A$165,MATCH(MIN(ABS(ServerTypeA!$A$106:$A$165-$C210)),ABS(ServerTypeA!$A$106:$A$165-$C210),0))</f>
        <v>4</v>
      </c>
      <c r="F210" s="80">
        <f t="shared" ca="1" si="33"/>
        <v>0</v>
      </c>
      <c r="G210" s="80">
        <f t="shared" ca="1" si="33"/>
        <v>1.3350352585166262E-16</v>
      </c>
      <c r="H210" s="80">
        <f t="shared" ca="1" si="33"/>
        <v>4.1474720378961725E-6</v>
      </c>
      <c r="I210" s="80">
        <f t="shared" ca="1" si="33"/>
        <v>2.2714752882358469E-2</v>
      </c>
      <c r="J210" s="80">
        <f t="shared" ca="1" si="33"/>
        <v>0.28670236373900115</v>
      </c>
      <c r="K210" s="80">
        <f t="shared" ca="1" si="33"/>
        <v>0.53889805197101015</v>
      </c>
      <c r="L210" s="80">
        <f t="shared" ca="1" si="33"/>
        <v>0.14070801868089422</v>
      </c>
      <c r="M210" s="80">
        <f t="shared" ca="1" si="33"/>
        <v>1.0592775311355718E-2</v>
      </c>
      <c r="N210" s="80">
        <f t="shared" ca="1" si="33"/>
        <v>3.715201799947554E-4</v>
      </c>
      <c r="O210" s="80">
        <f t="shared" ca="1" si="33"/>
        <v>8.2287667558800237E-6</v>
      </c>
      <c r="P210" s="80">
        <f t="shared" ca="1" si="33"/>
        <v>1.3895549733078383E-7</v>
      </c>
      <c r="Q210" s="80">
        <f t="shared" ca="1" si="33"/>
        <v>2.0137178591284055E-9</v>
      </c>
      <c r="R210" s="80">
        <f t="shared" ca="1" si="33"/>
        <v>2.7019053661092585E-11</v>
      </c>
      <c r="S210" s="80">
        <f t="shared" ca="1" si="33"/>
        <v>3.5271785492341223E-13</v>
      </c>
      <c r="T210" s="80">
        <f t="shared" ca="1" si="33"/>
        <v>4.5519144009631418E-15</v>
      </c>
      <c r="U210" s="80">
        <f t="shared" ca="1" si="33"/>
        <v>0</v>
      </c>
      <c r="V210" s="80">
        <f t="shared" ca="1" si="32"/>
        <v>0</v>
      </c>
      <c r="W210" s="80">
        <f t="shared" ca="1" si="32"/>
        <v>0</v>
      </c>
      <c r="X210" s="80">
        <f t="shared" ca="1" si="32"/>
        <v>0</v>
      </c>
      <c r="Y210" s="80">
        <f t="shared" ca="1" si="32"/>
        <v>0</v>
      </c>
      <c r="Z210" s="80">
        <f t="shared" ca="1" si="32"/>
        <v>0</v>
      </c>
      <c r="AA210" s="80">
        <f ca="1">SUMPRODUCT(F210:Z210,FailureForCPU!E$17:Y$17)</f>
        <v>3.0151806977111541E-15</v>
      </c>
      <c r="AB210" s="80">
        <f t="shared" ca="1" si="29"/>
        <v>1.2136712982884704E-14</v>
      </c>
      <c r="AC210" s="80">
        <f t="shared" ca="1" si="30"/>
        <v>4.0252025333333208</v>
      </c>
      <c r="AD210" s="80">
        <f t="shared" ca="1" si="31"/>
        <v>0.99999999999999989</v>
      </c>
    </row>
    <row r="211" spans="1:30">
      <c r="A211" s="56">
        <v>20</v>
      </c>
      <c r="B211" s="12">
        <f t="shared" si="25"/>
        <v>3.8408287333333333</v>
      </c>
      <c r="C211" s="12">
        <f t="shared" si="26"/>
        <v>3.8408287333333333</v>
      </c>
      <c r="D211" s="23">
        <f t="array" ref="D211">MATCH(MIN(ABS(ServerTypeA!$A$106:$A$165-$C211)),ABS(ServerTypeA!$A$106:$A$165-$C211),0)</f>
        <v>38</v>
      </c>
      <c r="E211" s="23">
        <f t="array" ref="E211">INDEX(ServerTypeA!$A$106:$A$165,MATCH(MIN(ABS(ServerTypeA!$A$106:$A$165-$C211)),ABS(ServerTypeA!$A$106:$A$165-$C211),0))</f>
        <v>3.8</v>
      </c>
      <c r="F211" s="80">
        <f t="shared" ca="1" si="33"/>
        <v>0</v>
      </c>
      <c r="G211" s="80">
        <f t="shared" ca="1" si="33"/>
        <v>9.039477209785839E-14</v>
      </c>
      <c r="H211" s="80">
        <f t="shared" ca="1" si="33"/>
        <v>7.8363329602181982E-5</v>
      </c>
      <c r="I211" s="80">
        <f t="shared" ca="1" si="33"/>
        <v>7.7626889027605506E-2</v>
      </c>
      <c r="J211" s="80">
        <f t="shared" ca="1" si="33"/>
        <v>0.43140699323531206</v>
      </c>
      <c r="K211" s="80">
        <f t="shared" ca="1" si="33"/>
        <v>0.42265487154476189</v>
      </c>
      <c r="L211" s="80">
        <f t="shared" ca="1" si="33"/>
        <v>6.4777646611020145E-2</v>
      </c>
      <c r="M211" s="80">
        <f t="shared" ca="1" si="33"/>
        <v>3.3610912600934295E-3</v>
      </c>
      <c r="N211" s="80">
        <f t="shared" ca="1" si="33"/>
        <v>9.2355923900555581E-5</v>
      </c>
      <c r="O211" s="80">
        <f t="shared" ca="1" si="33"/>
        <v>1.7612386362664267E-6</v>
      </c>
      <c r="P211" s="80">
        <f t="shared" ca="1" si="33"/>
        <v>2.7437616623160466E-8</v>
      </c>
      <c r="Q211" s="80">
        <f t="shared" ca="1" si="33"/>
        <v>3.8606251528960911E-10</v>
      </c>
      <c r="R211" s="80">
        <f t="shared" ca="1" si="33"/>
        <v>5.2264859107253869E-12</v>
      </c>
      <c r="S211" s="80">
        <f t="shared" ca="1" si="33"/>
        <v>7.0943251273547503E-14</v>
      </c>
      <c r="T211" s="80">
        <f t="shared" ca="1" si="33"/>
        <v>0</v>
      </c>
      <c r="U211" s="80">
        <f t="shared" ca="1" si="33"/>
        <v>0</v>
      </c>
      <c r="V211" s="80">
        <f t="shared" ca="1" si="32"/>
        <v>0</v>
      </c>
      <c r="W211" s="80">
        <f t="shared" ca="1" si="32"/>
        <v>0</v>
      </c>
      <c r="X211" s="80">
        <f t="shared" ca="1" si="32"/>
        <v>0</v>
      </c>
      <c r="Y211" s="80">
        <f t="shared" ca="1" si="32"/>
        <v>0</v>
      </c>
      <c r="Z211" s="80">
        <f t="shared" ca="1" si="32"/>
        <v>0</v>
      </c>
      <c r="AA211" s="80">
        <f ca="1">SUMPRODUCT(F211:Z211,FailureForCPU!E$17:Y$17)</f>
        <v>5.9119376061289588E-16</v>
      </c>
      <c r="AB211" s="80">
        <f t="shared" ca="1" si="29"/>
        <v>2.2706739827293987E-15</v>
      </c>
      <c r="AC211" s="80">
        <f t="shared" ca="1" si="30"/>
        <v>3.8408287333333311</v>
      </c>
      <c r="AD211" s="80">
        <f t="shared" ca="1" si="31"/>
        <v>0.999999999999999</v>
      </c>
    </row>
    <row r="212" spans="1:30">
      <c r="A212" s="56">
        <v>21</v>
      </c>
      <c r="B212" s="12">
        <f t="shared" si="25"/>
        <v>2.9214521000000002</v>
      </c>
      <c r="C212" s="12">
        <f t="shared" si="26"/>
        <v>2.9214521000000002</v>
      </c>
      <c r="D212" s="23">
        <f t="array" ref="D212">MATCH(MIN(ABS(ServerTypeA!$A$106:$A$165-$C212)),ABS(ServerTypeA!$A$106:$A$165-$C212),0)</f>
        <v>29</v>
      </c>
      <c r="E212" s="23">
        <f t="array" ref="E212">INDEX(ServerTypeA!$A$106:$A$165,MATCH(MIN(ABS(ServerTypeA!$A$106:$A$165-$C212)),ABS(ServerTypeA!$A$106:$A$165-$C212),0))</f>
        <v>2.9</v>
      </c>
      <c r="F212" s="80">
        <f t="shared" ca="1" si="33"/>
        <v>0</v>
      </c>
      <c r="G212" s="80">
        <f t="shared" ca="1" si="33"/>
        <v>1.658578383967324E-6</v>
      </c>
      <c r="H212" s="80">
        <f t="shared" ca="1" si="33"/>
        <v>4.5815882719461132E-2</v>
      </c>
      <c r="I212" s="80">
        <f t="shared" ca="1" si="33"/>
        <v>0.55869378503835787</v>
      </c>
      <c r="J212" s="80">
        <f t="shared" ca="1" si="33"/>
        <v>0.32323229346004367</v>
      </c>
      <c r="K212" s="80">
        <f t="shared" ca="1" si="33"/>
        <v>6.8487836285337389E-2</v>
      </c>
      <c r="L212" s="80">
        <f t="shared" ca="1" si="33"/>
        <v>3.6495233646428593E-3</v>
      </c>
      <c r="M212" s="80">
        <f t="shared" ca="1" si="33"/>
        <v>1.1606333996605489E-4</v>
      </c>
      <c r="N212" s="80">
        <f t="shared" ca="1" si="33"/>
        <v>2.8905329209072406E-6</v>
      </c>
      <c r="O212" s="80">
        <f t="shared" ca="1" si="33"/>
        <v>6.5203405341662801E-8</v>
      </c>
      <c r="P212" s="80">
        <f t="shared" ca="1" si="33"/>
        <v>1.4438263917782024E-9</v>
      </c>
      <c r="Q212" s="80">
        <f t="shared" ca="1" si="33"/>
        <v>3.2845837161232794E-11</v>
      </c>
      <c r="R212" s="80">
        <f t="shared" ca="1" si="33"/>
        <v>7.8781425827401108E-13</v>
      </c>
      <c r="S212" s="80">
        <f t="shared" ca="1" si="33"/>
        <v>2.0206059048177849E-14</v>
      </c>
      <c r="T212" s="80">
        <f t="shared" ca="1" si="33"/>
        <v>0</v>
      </c>
      <c r="U212" s="80">
        <f t="shared" ca="1" si="33"/>
        <v>0</v>
      </c>
      <c r="V212" s="80">
        <f t="shared" ca="1" si="32"/>
        <v>0</v>
      </c>
      <c r="W212" s="80">
        <f t="shared" ca="1" si="32"/>
        <v>0</v>
      </c>
      <c r="X212" s="80">
        <f t="shared" ca="1" si="32"/>
        <v>0</v>
      </c>
      <c r="Y212" s="80">
        <f t="shared" ca="1" si="32"/>
        <v>0</v>
      </c>
      <c r="Z212" s="80">
        <f t="shared" ca="1" si="32"/>
        <v>0</v>
      </c>
      <c r="AA212" s="80">
        <f ca="1">SUMPRODUCT(F212:Z212,FailureForCPU!E$17:Y$17)</f>
        <v>1.6838382540148207E-16</v>
      </c>
      <c r="AB212" s="80">
        <f t="shared" ca="1" si="29"/>
        <v>4.9192528032519317E-16</v>
      </c>
      <c r="AC212" s="80">
        <f t="shared" ca="1" si="30"/>
        <v>2.9214520999999998</v>
      </c>
      <c r="AD212" s="80">
        <f t="shared" ca="1" si="31"/>
        <v>0.99999999999999944</v>
      </c>
    </row>
    <row r="213" spans="1:30">
      <c r="A213" s="56">
        <v>22</v>
      </c>
      <c r="B213" s="12">
        <f t="shared" si="25"/>
        <v>1.70428665</v>
      </c>
      <c r="C213" s="12">
        <f t="shared" si="26"/>
        <v>1.70428665</v>
      </c>
      <c r="D213" s="23">
        <f t="array" ref="D213">MATCH(MIN(ABS(ServerTypeA!$A$106:$A$165-$C213)),ABS(ServerTypeA!$A$106:$A$165-$C213),0)</f>
        <v>17</v>
      </c>
      <c r="E213" s="23">
        <f t="array" ref="E213">INDEX(ServerTypeA!$A$106:$A$165,MATCH(MIN(ABS(ServerTypeA!$A$106:$A$165-$C213)),ABS(ServerTypeA!$A$106:$A$165-$C213),0))</f>
        <v>1.7</v>
      </c>
      <c r="F213" s="80">
        <f t="shared" ca="1" si="33"/>
        <v>0</v>
      </c>
      <c r="G213" s="80">
        <f t="shared" ca="1" si="33"/>
        <v>4.1463030082338738E-2</v>
      </c>
      <c r="H213" s="80">
        <f t="shared" ca="1" si="33"/>
        <v>0.64122709160290614</v>
      </c>
      <c r="I213" s="80">
        <f t="shared" ca="1" si="33"/>
        <v>0.2905306516274746</v>
      </c>
      <c r="J213" s="80">
        <f t="shared" ca="1" si="33"/>
        <v>2.4382888062965291E-2</v>
      </c>
      <c r="K213" s="80">
        <f t="shared" ca="1" si="33"/>
        <v>2.2986485457712202E-3</v>
      </c>
      <c r="L213" s="80">
        <f t="shared" ca="1" si="33"/>
        <v>9.3823013921801035E-5</v>
      </c>
      <c r="M213" s="80">
        <f t="shared" ca="1" si="33"/>
        <v>3.7055641501915204E-6</v>
      </c>
      <c r="N213" s="80">
        <f t="shared" ca="1" si="33"/>
        <v>1.5409524256604357E-7</v>
      </c>
      <c r="O213" s="80">
        <f t="shared" ca="1" si="33"/>
        <v>6.9896542997938127E-9</v>
      </c>
      <c r="P213" s="80">
        <f t="shared" ca="1" si="33"/>
        <v>3.5048364210865657E-10</v>
      </c>
      <c r="Q213" s="80">
        <f t="shared" ca="1" si="33"/>
        <v>1.9488410885060148E-11</v>
      </c>
      <c r="R213" s="80">
        <f t="shared" ca="1" si="33"/>
        <v>1.1994849558050191E-12</v>
      </c>
      <c r="S213" s="80">
        <f t="shared" ca="1" si="33"/>
        <v>8.149037000748649E-14</v>
      </c>
      <c r="T213" s="80">
        <f t="shared" ca="1" si="33"/>
        <v>5.9952043329758453E-15</v>
      </c>
      <c r="U213" s="80">
        <f t="shared" ca="1" si="33"/>
        <v>0</v>
      </c>
      <c r="V213" s="80">
        <f t="shared" ca="1" si="32"/>
        <v>0</v>
      </c>
      <c r="W213" s="80">
        <f t="shared" ca="1" si="32"/>
        <v>0</v>
      </c>
      <c r="X213" s="80">
        <f t="shared" ca="1" si="32"/>
        <v>0</v>
      </c>
      <c r="Y213" s="80">
        <f t="shared" ca="1" si="32"/>
        <v>0</v>
      </c>
      <c r="Z213" s="80">
        <f t="shared" ca="1" si="32"/>
        <v>0</v>
      </c>
      <c r="AA213" s="80">
        <f ca="1">SUMPRODUCT(F213:Z213,FailureForCPU!E$17:Y$17)</f>
        <v>7.7900648894531817E-16</v>
      </c>
      <c r="AB213" s="80">
        <f t="shared" ca="1" si="29"/>
        <v>1.3276503593728784E-15</v>
      </c>
      <c r="AC213" s="80">
        <f t="shared" ca="1" si="30"/>
        <v>1.7042866499999987</v>
      </c>
      <c r="AD213" s="80">
        <f t="shared" ca="1" si="31"/>
        <v>0.99999999995568389</v>
      </c>
    </row>
    <row r="214" spans="1:30">
      <c r="A214" s="56">
        <v>23</v>
      </c>
      <c r="B214" s="12">
        <f t="shared" si="25"/>
        <v>0.81373062413793107</v>
      </c>
      <c r="C214" s="12">
        <f t="shared" si="26"/>
        <v>0.81373062413793107</v>
      </c>
      <c r="D214" s="23">
        <f t="array" ref="D214">MATCH(MIN(ABS(ServerTypeA!$A$106:$A$165-$C214)),ABS(ServerTypeA!$A$106:$A$165-$C214),0)</f>
        <v>8</v>
      </c>
      <c r="E214" s="23">
        <f t="array" ref="E214">INDEX(ServerTypeA!$A$106:$A$165,MATCH(MIN(ABS(ServerTypeA!$A$106:$A$165-$C214)),ABS(ServerTypeA!$A$106:$A$165-$C214),0))</f>
        <v>0.8</v>
      </c>
      <c r="F214" s="80">
        <f t="shared" ca="1" si="33"/>
        <v>0</v>
      </c>
      <c r="G214" s="80">
        <f t="shared" ca="1" si="33"/>
        <v>0.73724419583861855</v>
      </c>
      <c r="H214" s="80">
        <f t="shared" ca="1" si="33"/>
        <v>0.24890049818901161</v>
      </c>
      <c r="I214" s="80">
        <f t="shared" ca="1" si="33"/>
        <v>1.1275352216014611E-2</v>
      </c>
      <c r="J214" s="80">
        <f t="shared" ca="1" si="33"/>
        <v>3.8994363531075216E-4</v>
      </c>
      <c r="K214" s="80">
        <f t="shared" ca="1" si="33"/>
        <v>3.1087425415243786E-5</v>
      </c>
      <c r="L214" s="80">
        <f t="shared" ca="1" si="33"/>
        <v>1.5021115147284547E-6</v>
      </c>
      <c r="M214" s="80">
        <f t="shared" ca="1" si="33"/>
        <v>8.8665416231314964E-8</v>
      </c>
      <c r="N214" s="80">
        <f t="shared" ca="1" si="33"/>
        <v>6.2879536022464322E-9</v>
      </c>
      <c r="O214" s="80">
        <f t="shared" ca="1" si="33"/>
        <v>5.2509552261881254E-10</v>
      </c>
      <c r="P214" s="80">
        <f t="shared" ca="1" si="33"/>
        <v>5.0668913509355207E-11</v>
      </c>
      <c r="Q214" s="80">
        <f t="shared" ca="1" si="33"/>
        <v>5.5568882828538335E-12</v>
      </c>
      <c r="R214" s="80">
        <f t="shared" ca="1" si="33"/>
        <v>6.8289818244693379E-13</v>
      </c>
      <c r="S214" s="80">
        <f t="shared" ca="1" si="33"/>
        <v>9.2925667161125602E-14</v>
      </c>
      <c r="T214" s="80">
        <f t="shared" ca="1" si="33"/>
        <v>1.3766765505351941E-14</v>
      </c>
      <c r="U214" s="80">
        <f t="shared" ca="1" si="33"/>
        <v>2.3314683517128287E-15</v>
      </c>
      <c r="V214" s="80">
        <f t="shared" ca="1" si="32"/>
        <v>0</v>
      </c>
      <c r="W214" s="80">
        <f t="shared" ca="1" si="32"/>
        <v>0</v>
      </c>
      <c r="X214" s="80">
        <f t="shared" ca="1" si="32"/>
        <v>0</v>
      </c>
      <c r="Y214" s="80">
        <f t="shared" ca="1" si="32"/>
        <v>0</v>
      </c>
      <c r="Z214" s="80">
        <f t="shared" ca="1" si="32"/>
        <v>0</v>
      </c>
      <c r="AA214" s="80">
        <f ca="1">SUMPRODUCT(F214:Z214,FailureForCPU!E$17:Y$17)</f>
        <v>1.0621133602247331E-15</v>
      </c>
      <c r="AB214" s="80">
        <f t="shared" ca="1" si="29"/>
        <v>8.6427416752090726E-16</v>
      </c>
      <c r="AC214" s="80">
        <f t="shared" ca="1" si="30"/>
        <v>0.81373062413793018</v>
      </c>
      <c r="AD214" s="80">
        <f t="shared" ca="1" si="31"/>
        <v>0.99784267495136858</v>
      </c>
    </row>
    <row r="215" spans="1:30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</row>
    <row r="216" spans="1:30">
      <c r="A216" s="54" t="s">
        <v>55</v>
      </c>
      <c r="B216" s="12">
        <f>SUM(B191:B214)</f>
        <v>43.062664537931042</v>
      </c>
      <c r="C216" s="12">
        <f>SUM(C191:C214)</f>
        <v>43.062664537931042</v>
      </c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25">
        <f ca="1">SUM(AB191:AB214)</f>
        <v>9.7036431094180032E-13</v>
      </c>
      <c r="AC216" s="25">
        <f ca="1">SUM(AC191:AC214)</f>
        <v>43.062664537930075</v>
      </c>
      <c r="AD216" s="54"/>
    </row>
    <row r="217" spans="1:30">
      <c r="A217" s="54" t="s">
        <v>66</v>
      </c>
      <c r="B217" s="69">
        <f ca="1">AC216/C216</f>
        <v>0.99999999999997757</v>
      </c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</row>
    <row r="218" spans="1:30" s="54" customFormat="1">
      <c r="B218" s="25"/>
    </row>
    <row r="219" spans="1:30" s="54" customFormat="1">
      <c r="A219" s="22" t="s">
        <v>113</v>
      </c>
      <c r="B219" s="25"/>
    </row>
    <row r="220" spans="1:30">
      <c r="A220" s="22" t="s">
        <v>51</v>
      </c>
      <c r="B220" s="37">
        <f>QResults!C12/QResults!B12</f>
        <v>1.05</v>
      </c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</row>
    <row r="221" spans="1:30">
      <c r="A221" s="54"/>
      <c r="B221" s="54"/>
      <c r="C221" s="54"/>
      <c r="D221" s="54"/>
      <c r="E221" s="54" t="s">
        <v>59</v>
      </c>
      <c r="F221" s="56">
        <v>0</v>
      </c>
      <c r="G221" s="56">
        <v>1</v>
      </c>
      <c r="H221" s="56">
        <v>2</v>
      </c>
      <c r="I221" s="56">
        <v>3</v>
      </c>
      <c r="J221" s="56">
        <v>4</v>
      </c>
      <c r="K221" s="56">
        <v>5</v>
      </c>
      <c r="L221" s="56">
        <v>6</v>
      </c>
      <c r="M221" s="56">
        <v>7</v>
      </c>
      <c r="N221" s="56">
        <v>8</v>
      </c>
      <c r="O221" s="56">
        <v>9</v>
      </c>
      <c r="P221" s="56">
        <v>10</v>
      </c>
      <c r="Q221" s="56">
        <v>11</v>
      </c>
      <c r="R221" s="56">
        <v>12</v>
      </c>
      <c r="S221" s="56">
        <v>13</v>
      </c>
      <c r="T221" s="56">
        <v>14</v>
      </c>
      <c r="U221" s="56">
        <v>15</v>
      </c>
      <c r="V221" s="56">
        <v>16</v>
      </c>
      <c r="W221" s="56">
        <v>17</v>
      </c>
      <c r="X221" s="56">
        <v>18</v>
      </c>
      <c r="Y221" s="56">
        <v>19</v>
      </c>
      <c r="Z221" s="56">
        <v>20</v>
      </c>
      <c r="AA221" s="54"/>
      <c r="AB221" s="54"/>
      <c r="AC221" s="54"/>
      <c r="AD221" s="54"/>
    </row>
    <row r="222" spans="1:30" ht="45">
      <c r="A222" s="56" t="s">
        <v>52</v>
      </c>
      <c r="B222" s="56" t="s">
        <v>53</v>
      </c>
      <c r="C222" s="56" t="s">
        <v>54</v>
      </c>
      <c r="D222" s="61" t="s">
        <v>56</v>
      </c>
      <c r="E222" s="61" t="s">
        <v>57</v>
      </c>
      <c r="F222" s="56" t="s">
        <v>20</v>
      </c>
      <c r="G222" s="56" t="s">
        <v>21</v>
      </c>
      <c r="H222" s="56" t="s">
        <v>22</v>
      </c>
      <c r="I222" s="56" t="s">
        <v>23</v>
      </c>
      <c r="J222" s="56" t="s">
        <v>24</v>
      </c>
      <c r="K222" s="56" t="s">
        <v>25</v>
      </c>
      <c r="L222" s="56" t="s">
        <v>26</v>
      </c>
      <c r="M222" s="56" t="s">
        <v>27</v>
      </c>
      <c r="N222" s="56" t="s">
        <v>28</v>
      </c>
      <c r="O222" s="56" t="s">
        <v>29</v>
      </c>
      <c r="P222" s="56" t="s">
        <v>30</v>
      </c>
      <c r="Q222" s="56" t="s">
        <v>31</v>
      </c>
      <c r="R222" s="56" t="s">
        <v>32</v>
      </c>
      <c r="S222" s="56" t="s">
        <v>33</v>
      </c>
      <c r="T222" s="56" t="s">
        <v>34</v>
      </c>
      <c r="U222" s="56" t="s">
        <v>35</v>
      </c>
      <c r="V222" s="56" t="s">
        <v>36</v>
      </c>
      <c r="W222" s="56" t="s">
        <v>37</v>
      </c>
      <c r="X222" s="56" t="s">
        <v>38</v>
      </c>
      <c r="Y222" s="56" t="s">
        <v>39</v>
      </c>
      <c r="Z222" s="56" t="s">
        <v>40</v>
      </c>
      <c r="AA222" s="61" t="s">
        <v>58</v>
      </c>
      <c r="AB222" s="61" t="s">
        <v>64</v>
      </c>
      <c r="AC222" s="61" t="s">
        <v>65</v>
      </c>
      <c r="AD222" s="56" t="s">
        <v>75</v>
      </c>
    </row>
    <row r="223" spans="1:30">
      <c r="A223" s="56">
        <v>0</v>
      </c>
      <c r="B223" s="12">
        <f t="shared" ref="B223:B246" si="34">B191</f>
        <v>0.43929673333333336</v>
      </c>
      <c r="C223" s="12">
        <f t="shared" ref="C223:C246" si="35">$B$220*B223</f>
        <v>0.46126157000000007</v>
      </c>
      <c r="D223" s="23">
        <f t="array" ref="D223">MATCH(MIN(ABS(ServerTypeA!$A$106:$A$165-$C223)),ABS(ServerTypeA!$A$106:$A$165-$C223),0)</f>
        <v>5</v>
      </c>
      <c r="E223" s="23">
        <f t="array" ref="E223">INDEX(ServerTypeA!$A$106:$A$165,MATCH(MIN(ABS(ServerTypeA!$A$106:$A$165-$C223)),ABS(ServerTypeA!$A$106:$A$165-$C223),0))</f>
        <v>0.5</v>
      </c>
      <c r="F223" s="12">
        <f t="shared" ref="F223:U238" ca="1" si="36">OFFSET($B$106,$D223-1,F$221,1,1)</f>
        <v>0</v>
      </c>
      <c r="G223" s="80">
        <f t="shared" ca="1" si="36"/>
        <v>0.8627376746972435</v>
      </c>
      <c r="H223" s="12">
        <f t="shared" ca="1" si="36"/>
        <v>8.3896145232778219E-2</v>
      </c>
      <c r="I223" s="12">
        <f t="shared" ca="1" si="36"/>
        <v>2.8062638356928238E-3</v>
      </c>
      <c r="J223" s="12">
        <f t="shared" ca="1" si="36"/>
        <v>1.0751725690527625E-4</v>
      </c>
      <c r="K223" s="12">
        <f t="shared" ca="1" si="36"/>
        <v>1.0537665367849058E-5</v>
      </c>
      <c r="L223" s="12">
        <f t="shared" ca="1" si="36"/>
        <v>6.9501645871827833E-7</v>
      </c>
      <c r="M223" s="12">
        <f t="shared" ca="1" si="36"/>
        <v>5.7656018848106783E-8</v>
      </c>
      <c r="N223" s="12">
        <f t="shared" ca="1" si="36"/>
        <v>5.8025605431666349E-9</v>
      </c>
      <c r="O223" s="12">
        <f t="shared" ca="1" si="36"/>
        <v>6.8785022122597184E-10</v>
      </c>
      <c r="P223" s="12">
        <f t="shared" ca="1" si="36"/>
        <v>9.3799301659203138E-11</v>
      </c>
      <c r="Q223" s="12">
        <f t="shared" ca="1" si="36"/>
        <v>1.4437784301435386E-11</v>
      </c>
      <c r="R223" s="12">
        <f t="shared" ca="1" si="36"/>
        <v>2.4702462297909733E-12</v>
      </c>
      <c r="S223" s="12">
        <f t="shared" ca="1" si="36"/>
        <v>4.638511796883904E-13</v>
      </c>
      <c r="T223" s="12">
        <f t="shared" ca="1" si="36"/>
        <v>9.4702024000525853E-14</v>
      </c>
      <c r="U223" s="12">
        <f t="shared" ca="1" si="36"/>
        <v>2.0761170560490427E-14</v>
      </c>
      <c r="V223" s="12">
        <f t="shared" ref="V223:AD237" ca="1" si="37">OFFSET($B$106,$D223-1,V$221,1,1)</f>
        <v>4.8849813083506888E-15</v>
      </c>
      <c r="W223" s="12">
        <f t="shared" ca="1" si="37"/>
        <v>1.2212453270876722E-15</v>
      </c>
      <c r="X223" s="12">
        <f t="shared" ca="1" si="37"/>
        <v>0</v>
      </c>
      <c r="Y223" s="12">
        <f t="shared" ca="1" si="37"/>
        <v>0</v>
      </c>
      <c r="Z223" s="12">
        <f t="shared" ca="1" si="37"/>
        <v>0</v>
      </c>
      <c r="AA223" s="80">
        <f ca="1">SUMPRODUCT(F223:Z223,FailureForCPU!E$17:Y$17)</f>
        <v>6.1765407603312875E-15</v>
      </c>
      <c r="AB223" s="80">
        <f t="shared" ref="AB223:AB246" ca="1" si="38">AA223*C223</f>
        <v>2.8490008882794038E-15</v>
      </c>
      <c r="AC223" s="12">
        <f t="shared" ref="AC223:AC246" ca="1" si="39">C223-AB223</f>
        <v>0.46126156999999723</v>
      </c>
      <c r="AD223" s="12">
        <f t="shared" ref="AD223:AD246" ca="1" si="40">SUM(F223:Z223)</f>
        <v>0.94955889796216875</v>
      </c>
    </row>
    <row r="224" spans="1:30">
      <c r="A224" s="56">
        <v>1</v>
      </c>
      <c r="B224" s="12">
        <f t="shared" si="34"/>
        <v>0.24725845000000002</v>
      </c>
      <c r="C224" s="12">
        <f t="shared" si="35"/>
        <v>0.2596213725</v>
      </c>
      <c r="D224" s="23">
        <f t="array" ref="D224">MATCH(MIN(ABS(ServerTypeA!$A$106:$A$165-$C224)),ABS(ServerTypeA!$A$106:$A$165-$C224),0)</f>
        <v>3</v>
      </c>
      <c r="E224" s="23">
        <f t="array" ref="E224">INDEX(ServerTypeA!$A$106:$A$165,MATCH(MIN(ABS(ServerTypeA!$A$106:$A$165-$C224)),ABS(ServerTypeA!$A$106:$A$165-$C224),0))</f>
        <v>0.3</v>
      </c>
      <c r="F224" s="12">
        <f t="shared" ca="1" si="36"/>
        <v>0</v>
      </c>
      <c r="G224" s="80">
        <f t="shared" ca="1" si="36"/>
        <v>0.76734078687270313</v>
      </c>
      <c r="H224" s="12">
        <f t="shared" ca="1" si="36"/>
        <v>4.061799437764968E-2</v>
      </c>
      <c r="I224" s="12">
        <f t="shared" ca="1" si="36"/>
        <v>1.5765400616829517E-3</v>
      </c>
      <c r="J224" s="12">
        <f t="shared" ca="1" si="36"/>
        <v>8.3090088131676509E-5</v>
      </c>
      <c r="K224" s="12">
        <f t="shared" ca="1" si="36"/>
        <v>1.1088798038461078E-5</v>
      </c>
      <c r="L224" s="12">
        <f t="shared" ca="1" si="36"/>
        <v>1.0675049230135514E-6</v>
      </c>
      <c r="M224" s="12">
        <f t="shared" ca="1" si="36"/>
        <v>1.2832819928920713E-7</v>
      </c>
      <c r="N224" s="12">
        <f t="shared" ca="1" si="36"/>
        <v>1.8478603647231751E-8</v>
      </c>
      <c r="O224" s="12">
        <f t="shared" ca="1" si="36"/>
        <v>3.089543842982323E-9</v>
      </c>
      <c r="P224" s="12">
        <f t="shared" ca="1" si="36"/>
        <v>5.8576110628649758E-10</v>
      </c>
      <c r="Q224" s="12">
        <f t="shared" ca="1" si="36"/>
        <v>1.2364498314099137E-10</v>
      </c>
      <c r="R224" s="12">
        <f t="shared" ca="1" si="36"/>
        <v>2.8639202120928076E-11</v>
      </c>
      <c r="S224" s="12">
        <f t="shared" ca="1" si="36"/>
        <v>7.1945782664784019E-12</v>
      </c>
      <c r="T224" s="12">
        <f t="shared" ca="1" si="36"/>
        <v>1.9416690477669363E-12</v>
      </c>
      <c r="U224" s="12">
        <f t="shared" ca="1" si="36"/>
        <v>5.5844218138645374E-13</v>
      </c>
      <c r="V224" s="12">
        <f t="shared" ca="1" si="37"/>
        <v>1.7008616737257398E-13</v>
      </c>
      <c r="W224" s="12">
        <f t="shared" ca="1" si="37"/>
        <v>5.4622972811557702E-14</v>
      </c>
      <c r="X224" s="12">
        <f t="shared" ca="1" si="37"/>
        <v>1.8318679906315083E-14</v>
      </c>
      <c r="Y224" s="12">
        <f t="shared" ca="1" si="37"/>
        <v>6.4392935428259079E-15</v>
      </c>
      <c r="Z224" s="12">
        <f t="shared" ca="1" si="37"/>
        <v>3.7747582837255322E-15</v>
      </c>
      <c r="AA224" s="80">
        <f ca="1">SUMPRODUCT(F224:Z224,FailureForCPU!E$17:Y$17)</f>
        <v>1.1766976282245878E-13</v>
      </c>
      <c r="AB224" s="80">
        <f t="shared" ca="1" si="38"/>
        <v>3.0549585325716224E-14</v>
      </c>
      <c r="AC224" s="12">
        <f t="shared" ca="1" si="39"/>
        <v>0.25962137249996947</v>
      </c>
      <c r="AD224" s="12">
        <f t="shared" ca="1" si="40"/>
        <v>0.80963071834746891</v>
      </c>
    </row>
    <row r="225" spans="1:30">
      <c r="A225" s="56">
        <v>2</v>
      </c>
      <c r="B225" s="12">
        <f t="shared" si="34"/>
        <v>0.15990046666666669</v>
      </c>
      <c r="C225" s="12">
        <f t="shared" si="35"/>
        <v>0.16789549000000004</v>
      </c>
      <c r="D225" s="23">
        <f t="array" ref="D225">MATCH(MIN(ABS(ServerTypeA!$A$106:$A$165-$C225)),ABS(ServerTypeA!$A$106:$A$165-$C225),0)</f>
        <v>2</v>
      </c>
      <c r="E225" s="23">
        <f t="array" ref="E225">INDEX(ServerTypeA!$A$106:$A$165,MATCH(MIN(ABS(ServerTypeA!$A$106:$A$165-$C225)),ABS(ServerTypeA!$A$106:$A$165-$C225),0))</f>
        <v>0.2</v>
      </c>
      <c r="F225" s="12">
        <f t="shared" ca="1" si="36"/>
        <v>0</v>
      </c>
      <c r="G225" s="80">
        <f t="shared" ca="1" si="36"/>
        <v>0.66593794397121475</v>
      </c>
      <c r="H225" s="12">
        <f t="shared" ca="1" si="36"/>
        <v>3.1960042700872382E-2</v>
      </c>
      <c r="I225" s="12">
        <f t="shared" ca="1" si="36"/>
        <v>1.5994488965370701E-3</v>
      </c>
      <c r="J225" s="12">
        <f t="shared" ca="1" si="36"/>
        <v>1.1242877602224421E-4</v>
      </c>
      <c r="K225" s="12">
        <f t="shared" ca="1" si="36"/>
        <v>1.9196099576346271E-5</v>
      </c>
      <c r="L225" s="12">
        <f t="shared" ca="1" si="36"/>
        <v>2.4487933019123886E-6</v>
      </c>
      <c r="M225" s="12">
        <f t="shared" ca="1" si="36"/>
        <v>3.8368656929410605E-7</v>
      </c>
      <c r="N225" s="12">
        <f t="shared" ca="1" si="36"/>
        <v>7.0876589153279212E-8</v>
      </c>
      <c r="O225" s="12">
        <f t="shared" ca="1" si="36"/>
        <v>1.4983860263662052E-8</v>
      </c>
      <c r="P225" s="12">
        <f t="shared" ca="1" si="36"/>
        <v>3.5457425884288796E-9</v>
      </c>
      <c r="Q225" s="12">
        <f t="shared" ca="1" si="36"/>
        <v>9.2337537616060672E-10</v>
      </c>
      <c r="R225" s="12">
        <f t="shared" ca="1" si="36"/>
        <v>2.6113289308682397E-10</v>
      </c>
      <c r="S225" s="12">
        <f t="shared" ca="1" si="36"/>
        <v>7.9349748993706726E-11</v>
      </c>
      <c r="T225" s="12">
        <f t="shared" ca="1" si="36"/>
        <v>2.5685342741610384E-11</v>
      </c>
      <c r="U225" s="12">
        <f t="shared" ca="1" si="36"/>
        <v>8.79429862266079E-12</v>
      </c>
      <c r="V225" s="12">
        <f t="shared" ca="1" si="37"/>
        <v>3.1659119770210964E-12</v>
      </c>
      <c r="W225" s="12">
        <f t="shared" ca="1" si="37"/>
        <v>1.1924905507498806E-12</v>
      </c>
      <c r="X225" s="12">
        <f t="shared" ca="1" si="37"/>
        <v>4.6784798257704097E-13</v>
      </c>
      <c r="Y225" s="12">
        <f t="shared" ca="1" si="37"/>
        <v>1.9062529332813938E-13</v>
      </c>
      <c r="Z225" s="12">
        <f t="shared" ca="1" si="37"/>
        <v>1.446620601086579E-13</v>
      </c>
      <c r="AA225" s="80">
        <f ca="1">SUMPRODUCT(F225:Z225,FailureForCPU!E$17:Y$17)</f>
        <v>1.579197883572192E-12</v>
      </c>
      <c r="AB225" s="80">
        <f t="shared" ca="1" si="38"/>
        <v>2.6514020246931617E-13</v>
      </c>
      <c r="AC225" s="12">
        <f t="shared" ca="1" si="39"/>
        <v>0.16789548999973489</v>
      </c>
      <c r="AD225" s="12">
        <f t="shared" ca="1" si="40"/>
        <v>0.6996319836337852</v>
      </c>
    </row>
    <row r="226" spans="1:30">
      <c r="A226" s="56">
        <v>3</v>
      </c>
      <c r="B226" s="12">
        <f t="shared" si="34"/>
        <v>0.15634300000000001</v>
      </c>
      <c r="C226" s="12">
        <f t="shared" si="35"/>
        <v>0.16416015</v>
      </c>
      <c r="D226" s="23">
        <f t="array" ref="D226">MATCH(MIN(ABS(ServerTypeA!$A$106:$A$165-$C226)),ABS(ServerTypeA!$A$106:$A$165-$C226),0)</f>
        <v>2</v>
      </c>
      <c r="E226" s="23">
        <f t="array" ref="E226">INDEX(ServerTypeA!$A$106:$A$165,MATCH(MIN(ABS(ServerTypeA!$A$106:$A$165-$C226)),ABS(ServerTypeA!$A$106:$A$165-$C226),0))</f>
        <v>0.2</v>
      </c>
      <c r="F226" s="80">
        <f t="shared" ca="1" si="36"/>
        <v>0</v>
      </c>
      <c r="G226" s="80">
        <f t="shared" ca="1" si="36"/>
        <v>0.66593794397121475</v>
      </c>
      <c r="H226" s="80">
        <f t="shared" ca="1" si="36"/>
        <v>3.1960042700872382E-2</v>
      </c>
      <c r="I226" s="80">
        <f t="shared" ca="1" si="36"/>
        <v>1.5994488965370701E-3</v>
      </c>
      <c r="J226" s="80">
        <f t="shared" ca="1" si="36"/>
        <v>1.1242877602224421E-4</v>
      </c>
      <c r="K226" s="80">
        <f t="shared" ca="1" si="36"/>
        <v>1.9196099576346271E-5</v>
      </c>
      <c r="L226" s="80">
        <f t="shared" ca="1" si="36"/>
        <v>2.4487933019123886E-6</v>
      </c>
      <c r="M226" s="80">
        <f t="shared" ca="1" si="36"/>
        <v>3.8368656929410605E-7</v>
      </c>
      <c r="N226" s="80">
        <f t="shared" ca="1" si="36"/>
        <v>7.0876589153279212E-8</v>
      </c>
      <c r="O226" s="80">
        <f t="shared" ca="1" si="36"/>
        <v>1.4983860263662052E-8</v>
      </c>
      <c r="P226" s="80">
        <f t="shared" ca="1" si="36"/>
        <v>3.5457425884288796E-9</v>
      </c>
      <c r="Q226" s="80">
        <f t="shared" ca="1" si="36"/>
        <v>9.2337537616060672E-10</v>
      </c>
      <c r="R226" s="80">
        <f t="shared" ca="1" si="36"/>
        <v>2.6113289308682397E-10</v>
      </c>
      <c r="S226" s="80">
        <f t="shared" ca="1" si="36"/>
        <v>7.9349748993706726E-11</v>
      </c>
      <c r="T226" s="80">
        <f t="shared" ca="1" si="36"/>
        <v>2.5685342741610384E-11</v>
      </c>
      <c r="U226" s="80">
        <f t="shared" ca="1" si="36"/>
        <v>8.79429862266079E-12</v>
      </c>
      <c r="V226" s="80">
        <f t="shared" ca="1" si="37"/>
        <v>3.1659119770210964E-12</v>
      </c>
      <c r="W226" s="80">
        <f t="shared" ca="1" si="37"/>
        <v>1.1924905507498806E-12</v>
      </c>
      <c r="X226" s="80">
        <f t="shared" ca="1" si="37"/>
        <v>4.6784798257704097E-13</v>
      </c>
      <c r="Y226" s="80">
        <f t="shared" ca="1" si="37"/>
        <v>1.9062529332813938E-13</v>
      </c>
      <c r="Z226" s="80">
        <f t="shared" ca="1" si="37"/>
        <v>1.446620601086579E-13</v>
      </c>
      <c r="AA226" s="80">
        <f ca="1">SUMPRODUCT(F226:Z226,FailureForCPU!E$17:Y$17)</f>
        <v>1.579197883572192E-12</v>
      </c>
      <c r="AB226" s="80">
        <f t="shared" ca="1" si="38"/>
        <v>2.5924136144689361E-13</v>
      </c>
      <c r="AC226" s="12">
        <f t="shared" ca="1" si="39"/>
        <v>0.16416014999974077</v>
      </c>
      <c r="AD226" s="12">
        <f t="shared" ca="1" si="40"/>
        <v>0.6996319836337852</v>
      </c>
    </row>
    <row r="227" spans="1:30">
      <c r="A227" s="56">
        <v>4</v>
      </c>
      <c r="B227" s="12">
        <f t="shared" si="34"/>
        <v>0.33371846666666666</v>
      </c>
      <c r="C227" s="12">
        <f t="shared" si="35"/>
        <v>0.35040439000000001</v>
      </c>
      <c r="D227" s="23">
        <f t="array" ref="D227">MATCH(MIN(ABS(ServerTypeA!$A$106:$A$165-$C227)),ABS(ServerTypeA!$A$106:$A$165-$C227),0)</f>
        <v>4</v>
      </c>
      <c r="E227" s="23">
        <f t="array" ref="E227">INDEX(ServerTypeA!$A$106:$A$165,MATCH(MIN(ABS(ServerTypeA!$A$106:$A$165-$C227)),ABS(ServerTypeA!$A$106:$A$165-$C227),0))</f>
        <v>0.4</v>
      </c>
      <c r="F227" s="80">
        <f t="shared" ca="1" si="36"/>
        <v>0</v>
      </c>
      <c r="G227" s="80">
        <f t="shared" ca="1" si="36"/>
        <v>0.83532782695322527</v>
      </c>
      <c r="H227" s="80">
        <f t="shared" ca="1" si="36"/>
        <v>5.7203207400142508E-2</v>
      </c>
      <c r="I227" s="80">
        <f t="shared" ca="1" si="36"/>
        <v>1.9655442761017383E-3</v>
      </c>
      <c r="J227" s="80">
        <f t="shared" ca="1" si="36"/>
        <v>8.5395111756536579E-5</v>
      </c>
      <c r="K227" s="80">
        <f t="shared" ca="1" si="36"/>
        <v>9.5388457005407545E-6</v>
      </c>
      <c r="L227" s="80">
        <f t="shared" ca="1" si="36"/>
        <v>7.423410215423587E-7</v>
      </c>
      <c r="M227" s="80">
        <f t="shared" ca="1" si="36"/>
        <v>7.2652944327344926E-8</v>
      </c>
      <c r="N227" s="80">
        <f t="shared" ca="1" si="36"/>
        <v>8.593335376616551E-9</v>
      </c>
      <c r="O227" s="80">
        <f t="shared" ca="1" si="36"/>
        <v>1.1909583319535955E-9</v>
      </c>
      <c r="P227" s="80">
        <f t="shared" ca="1" si="36"/>
        <v>1.8880297325551965E-10</v>
      </c>
      <c r="Q227" s="80">
        <f t="shared" ca="1" si="36"/>
        <v>3.3594571569039999E-11</v>
      </c>
      <c r="R227" s="80">
        <f t="shared" ca="1" si="36"/>
        <v>6.6086025540812443E-12</v>
      </c>
      <c r="S227" s="80">
        <f t="shared" ca="1" si="36"/>
        <v>1.4196421815881877E-12</v>
      </c>
      <c r="T227" s="80">
        <f t="shared" ca="1" si="36"/>
        <v>3.2962521601120898E-13</v>
      </c>
      <c r="U227" s="80">
        <f t="shared" ca="1" si="36"/>
        <v>8.2045481519799068E-14</v>
      </c>
      <c r="V227" s="80">
        <f t="shared" ca="1" si="37"/>
        <v>2.1760371282653068E-14</v>
      </c>
      <c r="W227" s="80">
        <f t="shared" ca="1" si="37"/>
        <v>6.106226635438361E-15</v>
      </c>
      <c r="X227" s="80">
        <f t="shared" ca="1" si="37"/>
        <v>1.8873791418627661E-15</v>
      </c>
      <c r="Y227" s="80">
        <f t="shared" ca="1" si="37"/>
        <v>0</v>
      </c>
      <c r="Z227" s="80">
        <f t="shared" ca="1" si="37"/>
        <v>0</v>
      </c>
      <c r="AA227" s="80">
        <f ca="1">SUMPRODUCT(F227:Z227,FailureForCPU!E$17:Y$17)</f>
        <v>2.0449382927741529E-14</v>
      </c>
      <c r="AB227" s="80">
        <f t="shared" ca="1" si="38"/>
        <v>7.1655535506716851E-15</v>
      </c>
      <c r="AC227" s="12">
        <f t="shared" ca="1" si="39"/>
        <v>0.35040438999999285</v>
      </c>
      <c r="AD227" s="12">
        <f t="shared" ca="1" si="40"/>
        <v>0.89459233759605339</v>
      </c>
    </row>
    <row r="228" spans="1:30">
      <c r="A228" s="56">
        <v>5</v>
      </c>
      <c r="B228" s="12">
        <f t="shared" si="34"/>
        <v>0.89391525000000005</v>
      </c>
      <c r="C228" s="12">
        <f t="shared" si="35"/>
        <v>0.93861101250000012</v>
      </c>
      <c r="D228" s="23">
        <f t="array" ref="D228">MATCH(MIN(ABS(ServerTypeA!$A$106:$A$165-$C228)),ABS(ServerTypeA!$A$106:$A$165-$C228),0)</f>
        <v>9</v>
      </c>
      <c r="E228" s="23">
        <f t="array" ref="E228">INDEX(ServerTypeA!$A$106:$A$165,MATCH(MIN(ABS(ServerTypeA!$A$106:$A$165-$C228)),ABS(ServerTypeA!$A$106:$A$165-$C228),0))</f>
        <v>0.9</v>
      </c>
      <c r="F228" s="80">
        <f t="shared" ca="1" si="36"/>
        <v>0</v>
      </c>
      <c r="G228" s="80">
        <f t="shared" ca="1" si="36"/>
        <v>0.6478874292771819</v>
      </c>
      <c r="H228" s="80">
        <f t="shared" ca="1" si="36"/>
        <v>0.33264207036991167</v>
      </c>
      <c r="I228" s="80">
        <f t="shared" ca="1" si="36"/>
        <v>1.8220068282046253E-2</v>
      </c>
      <c r="J228" s="80">
        <f t="shared" ca="1" si="36"/>
        <v>6.504195037900784E-4</v>
      </c>
      <c r="K228" s="80">
        <f t="shared" ca="1" si="36"/>
        <v>5.0559486676760024E-5</v>
      </c>
      <c r="L228" s="80">
        <f t="shared" ca="1" si="36"/>
        <v>2.299209596934304E-6</v>
      </c>
      <c r="M228" s="80">
        <f t="shared" ca="1" si="36"/>
        <v>1.255587669390934E-7</v>
      </c>
      <c r="N228" s="80">
        <f t="shared" ca="1" si="36"/>
        <v>8.1680614494317183E-9</v>
      </c>
      <c r="O228" s="80">
        <f t="shared" ca="1" si="36"/>
        <v>6.2318250559911803E-10</v>
      </c>
      <c r="P228" s="80">
        <f t="shared" ca="1" si="36"/>
        <v>5.4854787379099434E-11</v>
      </c>
      <c r="Q228" s="80">
        <f t="shared" ca="1" si="36"/>
        <v>5.4871662769073737E-12</v>
      </c>
      <c r="R228" s="80">
        <f t="shared" ca="1" si="36"/>
        <v>6.1550764485218679E-13</v>
      </c>
      <c r="S228" s="80">
        <f t="shared" ca="1" si="36"/>
        <v>7.6494366396673286E-14</v>
      </c>
      <c r="T228" s="80">
        <f t="shared" ca="1" si="36"/>
        <v>1.0436096431476471E-14</v>
      </c>
      <c r="U228" s="80">
        <f t="shared" ca="1" si="36"/>
        <v>1.5543122344752192E-15</v>
      </c>
      <c r="V228" s="80">
        <f t="shared" ca="1" si="37"/>
        <v>0</v>
      </c>
      <c r="W228" s="80">
        <f t="shared" ca="1" si="37"/>
        <v>0</v>
      </c>
      <c r="X228" s="80">
        <f t="shared" ca="1" si="37"/>
        <v>0</v>
      </c>
      <c r="Y228" s="80">
        <f t="shared" ca="1" si="37"/>
        <v>0</v>
      </c>
      <c r="Z228" s="80">
        <f t="shared" ca="1" si="37"/>
        <v>0</v>
      </c>
      <c r="AA228" s="80">
        <f ca="1">SUMPRODUCT(F228:Z228,FailureForCPU!E$17:Y$17)</f>
        <v>8.5024579969209894E-16</v>
      </c>
      <c r="AB228" s="80">
        <f t="shared" ca="1" si="38"/>
        <v>7.9805007092287329E-16</v>
      </c>
      <c r="AC228" s="12">
        <f t="shared" ca="1" si="39"/>
        <v>0.93861101249999934</v>
      </c>
      <c r="AD228" s="12">
        <f t="shared" ca="1" si="40"/>
        <v>0.99945298054026044</v>
      </c>
    </row>
    <row r="229" spans="1:30">
      <c r="A229" s="56">
        <v>6</v>
      </c>
      <c r="B229" s="12">
        <f t="shared" si="34"/>
        <v>1.2472558666666667</v>
      </c>
      <c r="C229" s="12">
        <f t="shared" si="35"/>
        <v>1.3096186599999999</v>
      </c>
      <c r="D229" s="23">
        <f t="array" ref="D229">MATCH(MIN(ABS(ServerTypeA!$A$106:$A$165-$C229)),ABS(ServerTypeA!$A$106:$A$165-$C229),0)</f>
        <v>13</v>
      </c>
      <c r="E229" s="23">
        <f t="array" ref="E229">INDEX(ServerTypeA!$A$106:$A$165,MATCH(MIN(ABS(ServerTypeA!$A$106:$A$165-$C229)),ABS(ServerTypeA!$A$106:$A$165-$C229),0))</f>
        <v>1.3</v>
      </c>
      <c r="F229" s="80">
        <f t="shared" ca="1" si="36"/>
        <v>0</v>
      </c>
      <c r="G229" s="80">
        <f t="shared" ca="1" si="36"/>
        <v>0.24598925078970357</v>
      </c>
      <c r="H229" s="80">
        <f t="shared" ca="1" si="36"/>
        <v>0.65226017775051437</v>
      </c>
      <c r="I229" s="80">
        <f t="shared" ca="1" si="36"/>
        <v>9.6544656117788175E-2</v>
      </c>
      <c r="J229" s="80">
        <f t="shared" ca="1" si="36"/>
        <v>4.8031733490413453E-3</v>
      </c>
      <c r="K229" s="80">
        <f t="shared" ca="1" si="36"/>
        <v>3.8585633571530664E-4</v>
      </c>
      <c r="L229" s="80">
        <f t="shared" ca="1" si="36"/>
        <v>1.5673133949012374E-5</v>
      </c>
      <c r="M229" s="80">
        <f t="shared" ca="1" si="36"/>
        <v>6.9597972307544609E-7</v>
      </c>
      <c r="N229" s="80">
        <f t="shared" ca="1" si="36"/>
        <v>3.4953464345122143E-8</v>
      </c>
      <c r="O229" s="80">
        <f t="shared" ca="1" si="36"/>
        <v>1.9994971234282843E-9</v>
      </c>
      <c r="P229" s="80">
        <f t="shared" ca="1" si="36"/>
        <v>1.2985090780404107E-10</v>
      </c>
      <c r="Q229" s="80">
        <f t="shared" ca="1" si="36"/>
        <v>9.5042862469085776E-12</v>
      </c>
      <c r="R229" s="80">
        <f t="shared" ca="1" si="36"/>
        <v>7.7737816184253461E-13</v>
      </c>
      <c r="S229" s="80">
        <f t="shared" ca="1" si="36"/>
        <v>7.049916206369744E-14</v>
      </c>
      <c r="T229" s="80">
        <f t="shared" ca="1" si="36"/>
        <v>6.9944050551384862E-15</v>
      </c>
      <c r="U229" s="80">
        <f t="shared" ca="1" si="36"/>
        <v>0</v>
      </c>
      <c r="V229" s="80">
        <f t="shared" ca="1" si="37"/>
        <v>0</v>
      </c>
      <c r="W229" s="80">
        <f t="shared" ca="1" si="37"/>
        <v>0</v>
      </c>
      <c r="X229" s="80">
        <f t="shared" ca="1" si="37"/>
        <v>0</v>
      </c>
      <c r="Y229" s="80">
        <f t="shared" ca="1" si="37"/>
        <v>0</v>
      </c>
      <c r="Z229" s="80">
        <f t="shared" ca="1" si="37"/>
        <v>0</v>
      </c>
      <c r="AA229" s="80">
        <f ca="1">SUMPRODUCT(F229:Z229,FailureForCPU!E$17:Y$17)</f>
        <v>7.0406643478312012E-16</v>
      </c>
      <c r="AB229" s="80">
        <f t="shared" ca="1" si="38"/>
        <v>9.2205854087164703E-16</v>
      </c>
      <c r="AC229" s="12">
        <f t="shared" ca="1" si="39"/>
        <v>1.309618659999999</v>
      </c>
      <c r="AD229" s="12">
        <f t="shared" ca="1" si="40"/>
        <v>0.99999952054960639</v>
      </c>
    </row>
    <row r="230" spans="1:30">
      <c r="A230" s="56">
        <v>7</v>
      </c>
      <c r="B230" s="12">
        <f t="shared" si="34"/>
        <v>1.427451456896552</v>
      </c>
      <c r="C230" s="12">
        <f t="shared" si="35"/>
        <v>1.4988240297413795</v>
      </c>
      <c r="D230" s="23">
        <f t="array" ref="D230">MATCH(MIN(ABS(ServerTypeA!$A$106:$A$165-$C230)),ABS(ServerTypeA!$A$106:$A$165-$C230),0)</f>
        <v>15</v>
      </c>
      <c r="E230" s="23">
        <f t="array" ref="E230">INDEX(ServerTypeA!$A$106:$A$165,MATCH(MIN(ABS(ServerTypeA!$A$106:$A$165-$C230)),ABS(ServerTypeA!$A$106:$A$165-$C230),0))</f>
        <v>1.5</v>
      </c>
      <c r="F230" s="80">
        <f t="shared" ca="1" si="36"/>
        <v>0</v>
      </c>
      <c r="G230" s="80">
        <f t="shared" ca="1" si="36"/>
        <v>0.1119093253238798</v>
      </c>
      <c r="H230" s="80">
        <f t="shared" ca="1" si="36"/>
        <v>0.69550715681810971</v>
      </c>
      <c r="I230" s="80">
        <f t="shared" ca="1" si="36"/>
        <v>0.1800922260471941</v>
      </c>
      <c r="J230" s="80">
        <f t="shared" ca="1" si="36"/>
        <v>1.146260311444558E-2</v>
      </c>
      <c r="K230" s="80">
        <f t="shared" ca="1" si="36"/>
        <v>9.8711866178513574E-4</v>
      </c>
      <c r="L230" s="80">
        <f t="shared" ca="1" si="36"/>
        <v>3.9827292828142902E-5</v>
      </c>
      <c r="M230" s="80">
        <f t="shared" ca="1" si="36"/>
        <v>1.6572984671281432E-6</v>
      </c>
      <c r="N230" s="80">
        <f t="shared" ca="1" si="36"/>
        <v>7.5399776755524783E-8</v>
      </c>
      <c r="O230" s="80">
        <f t="shared" ca="1" si="36"/>
        <v>3.8287484294130536E-9</v>
      </c>
      <c r="P230" s="80">
        <f t="shared" ca="1" si="36"/>
        <v>2.1801438432333953E-10</v>
      </c>
      <c r="Q230" s="80">
        <f t="shared" ca="1" si="36"/>
        <v>1.3888334926548396E-11</v>
      </c>
      <c r="R230" s="80">
        <f t="shared" ca="1" si="36"/>
        <v>9.8454577823758882E-13</v>
      </c>
      <c r="S230" s="80">
        <f t="shared" ca="1" si="36"/>
        <v>7.716050021144838E-14</v>
      </c>
      <c r="T230" s="80">
        <f t="shared" ca="1" si="36"/>
        <v>6.6613381477509392E-15</v>
      </c>
      <c r="U230" s="80">
        <f t="shared" ca="1" si="36"/>
        <v>0</v>
      </c>
      <c r="V230" s="80">
        <f t="shared" ca="1" si="37"/>
        <v>0</v>
      </c>
      <c r="W230" s="80">
        <f t="shared" ca="1" si="37"/>
        <v>0</v>
      </c>
      <c r="X230" s="80">
        <f t="shared" ca="1" si="37"/>
        <v>0</v>
      </c>
      <c r="Y230" s="80">
        <f t="shared" ca="1" si="37"/>
        <v>0</v>
      </c>
      <c r="Z230" s="80">
        <f t="shared" ca="1" si="37"/>
        <v>0</v>
      </c>
      <c r="AA230" s="80">
        <f ca="1">SUMPRODUCT(F230:Z230,FailureForCPU!E$17:Y$17)</f>
        <v>7.5402647089125218E-16</v>
      </c>
      <c r="AB230" s="80">
        <f t="shared" ca="1" si="38"/>
        <v>1.1301529936328976E-15</v>
      </c>
      <c r="AC230" s="12">
        <f t="shared" ca="1" si="39"/>
        <v>1.4988240297413784</v>
      </c>
      <c r="AD230" s="12">
        <f t="shared" ca="1" si="40"/>
        <v>0.99999999401820583</v>
      </c>
    </row>
    <row r="231" spans="1:30">
      <c r="A231" s="56">
        <v>8</v>
      </c>
      <c r="B231" s="12">
        <f t="shared" si="34"/>
        <v>1.6331402586206896</v>
      </c>
      <c r="C231" s="12">
        <f t="shared" si="35"/>
        <v>1.7147972715517241</v>
      </c>
      <c r="D231" s="23">
        <f t="array" ref="D231">MATCH(MIN(ABS(ServerTypeA!$A$106:$A$165-$C231)),ABS(ServerTypeA!$A$106:$A$165-$C231),0)</f>
        <v>17</v>
      </c>
      <c r="E231" s="23">
        <f t="array" ref="E231">INDEX(ServerTypeA!$A$106:$A$165,MATCH(MIN(ABS(ServerTypeA!$A$106:$A$165-$C231)),ABS(ServerTypeA!$A$106:$A$165-$C231),0))</f>
        <v>1.7</v>
      </c>
      <c r="F231" s="80">
        <f t="shared" ca="1" si="36"/>
        <v>0</v>
      </c>
      <c r="G231" s="80">
        <f t="shared" ca="1" si="36"/>
        <v>4.1463030082338738E-2</v>
      </c>
      <c r="H231" s="80">
        <f t="shared" ca="1" si="36"/>
        <v>0.64122709160290614</v>
      </c>
      <c r="I231" s="80">
        <f t="shared" ca="1" si="36"/>
        <v>0.2905306516274746</v>
      </c>
      <c r="J231" s="80">
        <f t="shared" ca="1" si="36"/>
        <v>2.4382888062965291E-2</v>
      </c>
      <c r="K231" s="80">
        <f t="shared" ca="1" si="36"/>
        <v>2.2986485457712202E-3</v>
      </c>
      <c r="L231" s="80">
        <f t="shared" ca="1" si="36"/>
        <v>9.3823013921801035E-5</v>
      </c>
      <c r="M231" s="80">
        <f t="shared" ca="1" si="36"/>
        <v>3.7055641501915204E-6</v>
      </c>
      <c r="N231" s="80">
        <f t="shared" ca="1" si="36"/>
        <v>1.5409524256604357E-7</v>
      </c>
      <c r="O231" s="80">
        <f t="shared" ca="1" si="36"/>
        <v>6.9896542997938127E-9</v>
      </c>
      <c r="P231" s="80">
        <f t="shared" ca="1" si="36"/>
        <v>3.5048364210865657E-10</v>
      </c>
      <c r="Q231" s="80">
        <f t="shared" ca="1" si="36"/>
        <v>1.9488410885060148E-11</v>
      </c>
      <c r="R231" s="80">
        <f t="shared" ca="1" si="36"/>
        <v>1.1994849558050191E-12</v>
      </c>
      <c r="S231" s="80">
        <f t="shared" ca="1" si="36"/>
        <v>8.149037000748649E-14</v>
      </c>
      <c r="T231" s="80">
        <f t="shared" ca="1" si="36"/>
        <v>5.9952043329758453E-15</v>
      </c>
      <c r="U231" s="80">
        <f t="shared" ca="1" si="36"/>
        <v>0</v>
      </c>
      <c r="V231" s="80">
        <f t="shared" ca="1" si="37"/>
        <v>0</v>
      </c>
      <c r="W231" s="80">
        <f t="shared" ca="1" si="37"/>
        <v>0</v>
      </c>
      <c r="X231" s="80">
        <f t="shared" ca="1" si="37"/>
        <v>0</v>
      </c>
      <c r="Y231" s="80">
        <f t="shared" ca="1" si="37"/>
        <v>0</v>
      </c>
      <c r="Z231" s="80">
        <f t="shared" ca="1" si="37"/>
        <v>0</v>
      </c>
      <c r="AA231" s="80">
        <f ca="1">SUMPRODUCT(F231:Z231,FailureForCPU!E$17:Y$17)</f>
        <v>7.7900648894531817E-16</v>
      </c>
      <c r="AB231" s="80">
        <f t="shared" ca="1" si="38"/>
        <v>1.3358382017645199E-15</v>
      </c>
      <c r="AC231" s="12">
        <f t="shared" ca="1" si="39"/>
        <v>1.7147972715517228</v>
      </c>
      <c r="AD231" s="12">
        <f t="shared" ca="1" si="40"/>
        <v>0.99999999995568389</v>
      </c>
    </row>
    <row r="232" spans="1:30">
      <c r="A232" s="56">
        <v>9</v>
      </c>
      <c r="B232" s="12">
        <f t="shared" si="34"/>
        <v>1.8079739655172413</v>
      </c>
      <c r="C232" s="12">
        <f t="shared" si="35"/>
        <v>1.8983726637931035</v>
      </c>
      <c r="D232" s="23">
        <f t="array" ref="D232">MATCH(MIN(ABS(ServerTypeA!$A$106:$A$165-$C232)),ABS(ServerTypeA!$A$106:$A$165-$C232),0)</f>
        <v>19</v>
      </c>
      <c r="E232" s="23">
        <f t="array" ref="E232">INDEX(ServerTypeA!$A$106:$A$165,MATCH(MIN(ABS(ServerTypeA!$A$106:$A$165-$C232)),ABS(ServerTypeA!$A$106:$A$165-$C232),0))</f>
        <v>1.9</v>
      </c>
      <c r="F232" s="80">
        <f t="shared" ca="1" si="36"/>
        <v>0</v>
      </c>
      <c r="G232" s="80">
        <f t="shared" ca="1" si="36"/>
        <v>1.2621865999516303E-2</v>
      </c>
      <c r="H232" s="80">
        <f t="shared" ca="1" si="36"/>
        <v>0.52528878486634523</v>
      </c>
      <c r="I232" s="80">
        <f t="shared" ca="1" si="36"/>
        <v>0.41072465110529444</v>
      </c>
      <c r="J232" s="80">
        <f t="shared" ca="1" si="36"/>
        <v>4.6306751129439827E-2</v>
      </c>
      <c r="K232" s="80">
        <f t="shared" ca="1" si="36"/>
        <v>4.8475736171164074E-3</v>
      </c>
      <c r="L232" s="80">
        <f t="shared" ca="1" si="36"/>
        <v>2.0243099489947181E-4</v>
      </c>
      <c r="M232" s="80">
        <f t="shared" ca="1" si="36"/>
        <v>7.6385860107164305E-6</v>
      </c>
      <c r="N232" s="80">
        <f t="shared" ca="1" si="36"/>
        <v>2.9133435353045911E-7</v>
      </c>
      <c r="O232" s="80">
        <f t="shared" ca="1" si="36"/>
        <v>1.1818426459697662E-8</v>
      </c>
      <c r="P232" s="80">
        <f t="shared" ca="1" si="36"/>
        <v>5.2168114272888033E-10</v>
      </c>
      <c r="Q232" s="80">
        <f t="shared" ca="1" si="36"/>
        <v>2.5282886895183765E-11</v>
      </c>
      <c r="R232" s="80">
        <f t="shared" ca="1" si="36"/>
        <v>1.3480327964998651E-12</v>
      </c>
      <c r="S232" s="80">
        <f t="shared" ca="1" si="36"/>
        <v>7.893685705084863E-14</v>
      </c>
      <c r="T232" s="80">
        <f t="shared" ca="1" si="36"/>
        <v>5.1070259132757201E-15</v>
      </c>
      <c r="U232" s="80">
        <f t="shared" ca="1" si="36"/>
        <v>0</v>
      </c>
      <c r="V232" s="80">
        <f t="shared" ca="1" si="37"/>
        <v>0</v>
      </c>
      <c r="W232" s="80">
        <f t="shared" ca="1" si="37"/>
        <v>0</v>
      </c>
      <c r="X232" s="80">
        <f t="shared" ca="1" si="37"/>
        <v>0</v>
      </c>
      <c r="Y232" s="80">
        <f t="shared" ca="1" si="37"/>
        <v>0</v>
      </c>
      <c r="Z232" s="80">
        <f t="shared" ca="1" si="37"/>
        <v>0</v>
      </c>
      <c r="AA232" s="80">
        <f ca="1">SUMPRODUCT(F232:Z232,FailureForCPU!E$17:Y$17)</f>
        <v>7.4292424064500056E-16</v>
      </c>
      <c r="AB232" s="80">
        <f t="shared" ca="1" si="38"/>
        <v>1.4103470697097184E-15</v>
      </c>
      <c r="AC232" s="12">
        <f t="shared" ca="1" si="39"/>
        <v>1.8983726637931022</v>
      </c>
      <c r="AD232" s="12">
        <f t="shared" ca="1" si="40"/>
        <v>0.99999999999979849</v>
      </c>
    </row>
    <row r="233" spans="1:30">
      <c r="A233" s="56">
        <v>10</v>
      </c>
      <c r="B233" s="12">
        <f t="shared" si="34"/>
        <v>1.9315643166666667</v>
      </c>
      <c r="C233" s="12">
        <f t="shared" si="35"/>
        <v>2.0281425325</v>
      </c>
      <c r="D233" s="23">
        <f t="array" ref="D233">MATCH(MIN(ABS(ServerTypeA!$A$106:$A$165-$C233)),ABS(ServerTypeA!$A$106:$A$165-$C233),0)</f>
        <v>20</v>
      </c>
      <c r="E233" s="23">
        <f t="array" ref="E233">INDEX(ServerTypeA!$A$106:$A$165,MATCH(MIN(ABS(ServerTypeA!$A$106:$A$165-$C233)),ABS(ServerTypeA!$A$106:$A$165-$C233),0))</f>
        <v>2</v>
      </c>
      <c r="F233" s="80">
        <f t="shared" ca="1" si="36"/>
        <v>0</v>
      </c>
      <c r="G233" s="80">
        <f t="shared" ca="1" si="36"/>
        <v>6.4882558968740569E-3</v>
      </c>
      <c r="H233" s="80">
        <f t="shared" ca="1" si="36"/>
        <v>0.45773957032610912</v>
      </c>
      <c r="I233" s="80">
        <f t="shared" ca="1" si="36"/>
        <v>0.46733225910107257</v>
      </c>
      <c r="J233" s="80">
        <f t="shared" ca="1" si="36"/>
        <v>6.1346451119754675E-2</v>
      </c>
      <c r="K233" s="80">
        <f t="shared" ca="1" si="36"/>
        <v>6.7946249034726014E-3</v>
      </c>
      <c r="L233" s="80">
        <f t="shared" ca="1" si="36"/>
        <v>2.8780670345651682E-4</v>
      </c>
      <c r="M233" s="80">
        <f t="shared" ca="1" si="36"/>
        <v>1.0628172429583138E-5</v>
      </c>
      <c r="N233" s="80">
        <f t="shared" ca="1" si="36"/>
        <v>3.8824666881431824E-7</v>
      </c>
      <c r="O233" s="80">
        <f t="shared" ca="1" si="36"/>
        <v>1.4885105814599342E-8</v>
      </c>
      <c r="P233" s="80">
        <f t="shared" ca="1" si="36"/>
        <v>6.1576810317376385E-10</v>
      </c>
      <c r="Q233" s="80">
        <f t="shared" ca="1" si="36"/>
        <v>2.7819080372637472E-11</v>
      </c>
      <c r="R233" s="80">
        <f t="shared" ca="1" si="36"/>
        <v>1.3781198404672068E-12</v>
      </c>
      <c r="S233" s="80">
        <f t="shared" ca="1" si="36"/>
        <v>7.4829031859735551E-14</v>
      </c>
      <c r="T233" s="80">
        <f t="shared" ca="1" si="36"/>
        <v>4.4408920985006262E-15</v>
      </c>
      <c r="U233" s="80">
        <f t="shared" ca="1" si="36"/>
        <v>0</v>
      </c>
      <c r="V233" s="80">
        <f t="shared" ca="1" si="37"/>
        <v>0</v>
      </c>
      <c r="W233" s="80">
        <f t="shared" ca="1" si="37"/>
        <v>0</v>
      </c>
      <c r="X233" s="80">
        <f t="shared" ca="1" si="37"/>
        <v>0</v>
      </c>
      <c r="Y233" s="80">
        <f t="shared" ca="1" si="37"/>
        <v>0</v>
      </c>
      <c r="Z233" s="80">
        <f t="shared" ca="1" si="37"/>
        <v>0</v>
      </c>
      <c r="AA233" s="80">
        <f ca="1">SUMPRODUCT(F233:Z233,FailureForCPU!E$17:Y$17)</f>
        <v>6.9759013380614001E-16</v>
      </c>
      <c r="AB233" s="80">
        <f t="shared" ca="1" si="38"/>
        <v>1.4148122206245986E-15</v>
      </c>
      <c r="AC233" s="12">
        <f t="shared" ca="1" si="39"/>
        <v>2.0281425324999987</v>
      </c>
      <c r="AD233" s="12">
        <f t="shared" ca="1" si="40"/>
        <v>0.99999999999998834</v>
      </c>
    </row>
    <row r="234" spans="1:30">
      <c r="A234" s="56">
        <v>11</v>
      </c>
      <c r="B234" s="12">
        <f t="shared" si="34"/>
        <v>2.03022415</v>
      </c>
      <c r="C234" s="12">
        <f t="shared" si="35"/>
        <v>2.1317353575000002</v>
      </c>
      <c r="D234" s="23">
        <f t="array" ref="D234">MATCH(MIN(ABS(ServerTypeA!$A$106:$A$165-$C234)),ABS(ServerTypeA!$A$106:$A$165-$C234),0)</f>
        <v>21</v>
      </c>
      <c r="E234" s="23">
        <f t="array" ref="E234">INDEX(ServerTypeA!$A$106:$A$165,MATCH(MIN(ABS(ServerTypeA!$A$106:$A$165-$C234)),ABS(ServerTypeA!$A$106:$A$165-$C234),0))</f>
        <v>2.1</v>
      </c>
      <c r="F234" s="80">
        <f t="shared" ca="1" si="36"/>
        <v>0</v>
      </c>
      <c r="G234" s="80">
        <f t="shared" ca="1" si="36"/>
        <v>3.18466237266911E-3</v>
      </c>
      <c r="H234" s="80">
        <f t="shared" ca="1" si="36"/>
        <v>0.38977686698309044</v>
      </c>
      <c r="I234" s="80">
        <f t="shared" ca="1" si="36"/>
        <v>0.51796218850113263</v>
      </c>
      <c r="J234" s="80">
        <f t="shared" ca="1" si="36"/>
        <v>7.9340938760323443E-2</v>
      </c>
      <c r="K234" s="80">
        <f t="shared" ca="1" si="36"/>
        <v>9.3193138384064511E-3</v>
      </c>
      <c r="L234" s="80">
        <f t="shared" ca="1" si="36"/>
        <v>4.0100499033179915E-4</v>
      </c>
      <c r="M234" s="80">
        <f t="shared" ca="1" si="36"/>
        <v>1.4498328848588926E-5</v>
      </c>
      <c r="N234" s="80">
        <f t="shared" ca="1" si="36"/>
        <v>5.0712178423228949E-7</v>
      </c>
      <c r="O234" s="80">
        <f t="shared" ca="1" si="36"/>
        <v>1.8361006159928195E-8</v>
      </c>
      <c r="P234" s="80">
        <f t="shared" ca="1" si="36"/>
        <v>7.110533273291253E-10</v>
      </c>
      <c r="Q234" s="80">
        <f t="shared" ca="1" si="36"/>
        <v>2.9905744547420454E-11</v>
      </c>
      <c r="R234" s="80">
        <f t="shared" ca="1" si="36"/>
        <v>1.3743450821834813E-12</v>
      </c>
      <c r="S234" s="80">
        <f t="shared" ca="1" si="36"/>
        <v>6.9166894434147252E-14</v>
      </c>
      <c r="T234" s="80">
        <f t="shared" ca="1" si="36"/>
        <v>3.7747582837255322E-15</v>
      </c>
      <c r="U234" s="80">
        <f t="shared" ca="1" si="36"/>
        <v>0</v>
      </c>
      <c r="V234" s="80">
        <f t="shared" ca="1" si="37"/>
        <v>0</v>
      </c>
      <c r="W234" s="80">
        <f t="shared" ca="1" si="37"/>
        <v>0</v>
      </c>
      <c r="X234" s="80">
        <f t="shared" ca="1" si="37"/>
        <v>0</v>
      </c>
      <c r="Y234" s="80">
        <f t="shared" ca="1" si="37"/>
        <v>0</v>
      </c>
      <c r="Z234" s="80">
        <f t="shared" ca="1" si="37"/>
        <v>0</v>
      </c>
      <c r="AA234" s="80">
        <f ca="1">SUMPRODUCT(F234:Z234,FailureForCPU!E$17:Y$17)</f>
        <v>6.3930342501331926E-16</v>
      </c>
      <c r="AB234" s="80">
        <f t="shared" ca="1" si="38"/>
        <v>1.3628257152717427E-15</v>
      </c>
      <c r="AC234" s="12">
        <f t="shared" ca="1" si="39"/>
        <v>2.1317353574999989</v>
      </c>
      <c r="AD234" s="12">
        <f t="shared" ca="1" si="40"/>
        <v>0.99999999999999922</v>
      </c>
    </row>
    <row r="235" spans="1:30">
      <c r="A235" s="56">
        <v>12</v>
      </c>
      <c r="B235" s="12">
        <f t="shared" si="34"/>
        <v>2.2896160166666668</v>
      </c>
      <c r="C235" s="12">
        <f t="shared" si="35"/>
        <v>2.4040968175000001</v>
      </c>
      <c r="D235" s="23">
        <f t="array" ref="D235">MATCH(MIN(ABS(ServerTypeA!$A$106:$A$165-$C235)),ABS(ServerTypeA!$A$106:$A$165-$C235),0)</f>
        <v>24</v>
      </c>
      <c r="E235" s="23">
        <f t="array" ref="E235">INDEX(ServerTypeA!$A$106:$A$165,MATCH(MIN(ABS(ServerTypeA!$A$106:$A$165-$C235)),ABS(ServerTypeA!$A$106:$A$165-$C235),0))</f>
        <v>2.4</v>
      </c>
      <c r="F235" s="80">
        <f t="shared" ca="1" si="36"/>
        <v>0</v>
      </c>
      <c r="G235" s="80">
        <f t="shared" ca="1" si="36"/>
        <v>2.8426728755026604E-4</v>
      </c>
      <c r="H235" s="80">
        <f t="shared" ca="1" si="36"/>
        <v>0.21080743577880634</v>
      </c>
      <c r="I235" s="80">
        <f t="shared" ca="1" si="36"/>
        <v>0.61494753029451921</v>
      </c>
      <c r="J235" s="80">
        <f t="shared" ca="1" si="36"/>
        <v>0.15142184347630239</v>
      </c>
      <c r="K235" s="80">
        <f t="shared" ca="1" si="36"/>
        <v>2.1524552035688482E-2</v>
      </c>
      <c r="L235" s="80">
        <f t="shared" ca="1" si="36"/>
        <v>9.7998094599649477E-4</v>
      </c>
      <c r="M235" s="80">
        <f t="shared" ca="1" si="36"/>
        <v>3.3336683584073157E-5</v>
      </c>
      <c r="N235" s="80">
        <f t="shared" ca="1" si="36"/>
        <v>1.0215000042501643E-6</v>
      </c>
      <c r="O235" s="80">
        <f t="shared" ca="1" si="36"/>
        <v>3.0986197496751799E-8</v>
      </c>
      <c r="P235" s="80">
        <f t="shared" ca="1" si="36"/>
        <v>9.7723673597727156E-10</v>
      </c>
      <c r="Q235" s="80">
        <f t="shared" ca="1" si="36"/>
        <v>3.2870595134681935E-11</v>
      </c>
      <c r="R235" s="80">
        <f t="shared" ca="1" si="36"/>
        <v>1.1943779298917434E-12</v>
      </c>
      <c r="S235" s="80">
        <f t="shared" ca="1" si="36"/>
        <v>4.7184478546569153E-14</v>
      </c>
      <c r="T235" s="80">
        <f t="shared" ca="1" si="36"/>
        <v>1.9984014443252818E-15</v>
      </c>
      <c r="U235" s="80">
        <f t="shared" ca="1" si="36"/>
        <v>0</v>
      </c>
      <c r="V235" s="80">
        <f t="shared" ca="1" si="37"/>
        <v>0</v>
      </c>
      <c r="W235" s="80">
        <f t="shared" ca="1" si="37"/>
        <v>0</v>
      </c>
      <c r="X235" s="80">
        <f t="shared" ca="1" si="37"/>
        <v>0</v>
      </c>
      <c r="Y235" s="80">
        <f t="shared" ca="1" si="37"/>
        <v>0</v>
      </c>
      <c r="Z235" s="80">
        <f t="shared" ca="1" si="37"/>
        <v>0</v>
      </c>
      <c r="AA235" s="80">
        <f ca="1">SUMPRODUCT(F235:Z235,FailureForCPU!E$17:Y$17)</f>
        <v>4.2651067862683093E-16</v>
      </c>
      <c r="AB235" s="80">
        <f t="shared" ca="1" si="38"/>
        <v>1.0253729651165295E-15</v>
      </c>
      <c r="AC235" s="12">
        <f t="shared" ca="1" si="39"/>
        <v>2.4040968174999993</v>
      </c>
      <c r="AD235" s="12">
        <f t="shared" ca="1" si="40"/>
        <v>0.99999999999999989</v>
      </c>
    </row>
    <row r="236" spans="1:30">
      <c r="A236" s="56">
        <v>13</v>
      </c>
      <c r="B236" s="12">
        <f t="shared" si="34"/>
        <v>2.2934009304597702</v>
      </c>
      <c r="C236" s="12">
        <f t="shared" si="35"/>
        <v>2.4080709769827586</v>
      </c>
      <c r="D236" s="23">
        <f t="array" ref="D236">MATCH(MIN(ABS(ServerTypeA!$A$106:$A$165-$C236)),ABS(ServerTypeA!$A$106:$A$165-$C236),0)</f>
        <v>24</v>
      </c>
      <c r="E236" s="23">
        <f t="array" ref="E236">INDEX(ServerTypeA!$A$106:$A$165,MATCH(MIN(ABS(ServerTypeA!$A$106:$A$165-$C236)),ABS(ServerTypeA!$A$106:$A$165-$C236),0))</f>
        <v>2.4</v>
      </c>
      <c r="F236" s="80">
        <f t="shared" ca="1" si="36"/>
        <v>0</v>
      </c>
      <c r="G236" s="80">
        <f t="shared" ca="1" si="36"/>
        <v>2.8426728755026604E-4</v>
      </c>
      <c r="H236" s="80">
        <f t="shared" ca="1" si="36"/>
        <v>0.21080743577880634</v>
      </c>
      <c r="I236" s="80">
        <f t="shared" ca="1" si="36"/>
        <v>0.61494753029451921</v>
      </c>
      <c r="J236" s="80">
        <f t="shared" ca="1" si="36"/>
        <v>0.15142184347630239</v>
      </c>
      <c r="K236" s="80">
        <f t="shared" ca="1" si="36"/>
        <v>2.1524552035688482E-2</v>
      </c>
      <c r="L236" s="80">
        <f t="shared" ca="1" si="36"/>
        <v>9.7998094599649477E-4</v>
      </c>
      <c r="M236" s="80">
        <f t="shared" ca="1" si="36"/>
        <v>3.3336683584073157E-5</v>
      </c>
      <c r="N236" s="80">
        <f t="shared" ca="1" si="36"/>
        <v>1.0215000042501643E-6</v>
      </c>
      <c r="O236" s="80">
        <f t="shared" ca="1" si="36"/>
        <v>3.0986197496751799E-8</v>
      </c>
      <c r="P236" s="80">
        <f t="shared" ca="1" si="36"/>
        <v>9.7723673597727156E-10</v>
      </c>
      <c r="Q236" s="80">
        <f t="shared" ca="1" si="36"/>
        <v>3.2870595134681935E-11</v>
      </c>
      <c r="R236" s="80">
        <f t="shared" ca="1" si="36"/>
        <v>1.1943779298917434E-12</v>
      </c>
      <c r="S236" s="80">
        <f t="shared" ca="1" si="36"/>
        <v>4.7184478546569153E-14</v>
      </c>
      <c r="T236" s="80">
        <f t="shared" ca="1" si="36"/>
        <v>1.9984014443252818E-15</v>
      </c>
      <c r="U236" s="80">
        <f t="shared" ca="1" si="36"/>
        <v>0</v>
      </c>
      <c r="V236" s="80">
        <f t="shared" ca="1" si="37"/>
        <v>0</v>
      </c>
      <c r="W236" s="80">
        <f t="shared" ca="1" si="37"/>
        <v>0</v>
      </c>
      <c r="X236" s="80">
        <f t="shared" ca="1" si="37"/>
        <v>0</v>
      </c>
      <c r="Y236" s="80">
        <f t="shared" ca="1" si="37"/>
        <v>0</v>
      </c>
      <c r="Z236" s="80">
        <f t="shared" ca="1" si="37"/>
        <v>0</v>
      </c>
      <c r="AA236" s="80">
        <f ca="1">SUMPRODUCT(F236:Z236,FailureForCPU!E$17:Y$17)</f>
        <v>4.2651067862683093E-16</v>
      </c>
      <c r="AB236" s="80">
        <f t="shared" ca="1" si="38"/>
        <v>1.0270679865744921E-15</v>
      </c>
      <c r="AC236" s="12">
        <f t="shared" ca="1" si="39"/>
        <v>2.4080709769827577</v>
      </c>
      <c r="AD236" s="12">
        <f t="shared" ca="1" si="40"/>
        <v>0.99999999999999989</v>
      </c>
    </row>
    <row r="237" spans="1:30">
      <c r="A237" s="56">
        <v>14</v>
      </c>
      <c r="B237" s="12">
        <f t="shared" si="34"/>
        <v>2.3540504500000003</v>
      </c>
      <c r="C237" s="12">
        <f t="shared" si="35"/>
        <v>2.4717529725000005</v>
      </c>
      <c r="D237" s="23">
        <f t="array" ref="D237">MATCH(MIN(ABS(ServerTypeA!$A$106:$A$165-$C237)),ABS(ServerTypeA!$A$106:$A$165-$C237),0)</f>
        <v>25</v>
      </c>
      <c r="E237" s="23">
        <f t="array" ref="E237">INDEX(ServerTypeA!$A$106:$A$165,MATCH(MIN(ABS(ServerTypeA!$A$106:$A$165-$C237)),ABS(ServerTypeA!$A$106:$A$165-$C237),0))</f>
        <v>2.5</v>
      </c>
      <c r="F237" s="80">
        <f t="shared" ca="1" si="36"/>
        <v>0</v>
      </c>
      <c r="G237" s="80">
        <f t="shared" ca="1" si="36"/>
        <v>1.1499791790670066E-4</v>
      </c>
      <c r="H237" s="80">
        <f t="shared" ca="1" si="36"/>
        <v>0.16416752570049731</v>
      </c>
      <c r="I237" s="80">
        <f t="shared" ca="1" si="36"/>
        <v>0.62552516216344489</v>
      </c>
      <c r="J237" s="80">
        <f t="shared" ca="1" si="36"/>
        <v>0.1812413306300743</v>
      </c>
      <c r="K237" s="80">
        <f t="shared" ca="1" si="36"/>
        <v>2.7619976683513459E-2</v>
      </c>
      <c r="L237" s="80">
        <f t="shared" ca="1" si="36"/>
        <v>1.2867470014433779E-3</v>
      </c>
      <c r="M237" s="80">
        <f t="shared" ca="1" si="36"/>
        <v>4.2963317023358982E-5</v>
      </c>
      <c r="N237" s="80">
        <f t="shared" ca="1" si="36"/>
        <v>1.2595243311652737E-6</v>
      </c>
      <c r="O237" s="80">
        <f t="shared" ca="1" si="36"/>
        <v>3.5970585399169863E-8</v>
      </c>
      <c r="P237" s="80">
        <f t="shared" ca="1" si="36"/>
        <v>1.0571200581566131E-9</v>
      </c>
      <c r="Q237" s="80">
        <f t="shared" ca="1" si="36"/>
        <v>3.2915781211784179E-11</v>
      </c>
      <c r="R237" s="80">
        <f t="shared" ca="1" si="36"/>
        <v>1.102562485755243E-12</v>
      </c>
      <c r="S237" s="80">
        <f t="shared" ca="1" si="36"/>
        <v>3.9968028886505635E-14</v>
      </c>
      <c r="T237" s="80">
        <f t="shared" ca="1" si="36"/>
        <v>1.5543122344752192E-15</v>
      </c>
      <c r="U237" s="80">
        <f t="shared" ca="1" si="36"/>
        <v>0</v>
      </c>
      <c r="V237" s="80">
        <f t="shared" ca="1" si="37"/>
        <v>0</v>
      </c>
      <c r="W237" s="80">
        <f t="shared" ca="1" si="37"/>
        <v>0</v>
      </c>
      <c r="X237" s="80">
        <f t="shared" ca="1" si="37"/>
        <v>0</v>
      </c>
      <c r="Y237" s="80">
        <f t="shared" ca="1" si="37"/>
        <v>0</v>
      </c>
      <c r="Z237" s="80">
        <f t="shared" ca="1" si="37"/>
        <v>0</v>
      </c>
      <c r="AA237" s="80">
        <f ca="1">SUMPRODUCT(F237:Z237,FailureForCPU!E$17:Y$17)</f>
        <v>3.5897211129546729E-16</v>
      </c>
      <c r="AB237" s="80">
        <f t="shared" ca="1" si="38"/>
        <v>8.8729038313917228E-16</v>
      </c>
      <c r="AC237" s="12">
        <f t="shared" ca="1" si="39"/>
        <v>2.4717529724999996</v>
      </c>
      <c r="AD237" s="12">
        <f t="shared" ca="1" si="40"/>
        <v>0.99999999999999989</v>
      </c>
    </row>
    <row r="238" spans="1:30">
      <c r="A238" s="56">
        <v>15</v>
      </c>
      <c r="B238" s="12">
        <f t="shared" si="34"/>
        <v>2.3404022586206894</v>
      </c>
      <c r="C238" s="12">
        <f t="shared" si="35"/>
        <v>2.4574223715517238</v>
      </c>
      <c r="D238" s="23">
        <f t="array" ref="D238">MATCH(MIN(ABS(ServerTypeA!$A$106:$A$165-$C238)),ABS(ServerTypeA!$A$106:$A$165-$C238),0)</f>
        <v>25</v>
      </c>
      <c r="E238" s="23">
        <f t="array" ref="E238">INDEX(ServerTypeA!$A$106:$A$165,MATCH(MIN(ABS(ServerTypeA!$A$106:$A$165-$C238)),ABS(ServerTypeA!$A$106:$A$165-$C238),0))</f>
        <v>2.5</v>
      </c>
      <c r="F238" s="80">
        <f t="shared" ca="1" si="36"/>
        <v>0</v>
      </c>
      <c r="G238" s="80">
        <f t="shared" ca="1" si="36"/>
        <v>1.1499791790670066E-4</v>
      </c>
      <c r="H238" s="80">
        <f t="shared" ca="1" si="36"/>
        <v>0.16416752570049731</v>
      </c>
      <c r="I238" s="80">
        <f t="shared" ca="1" si="36"/>
        <v>0.62552516216344489</v>
      </c>
      <c r="J238" s="80">
        <f t="shared" ca="1" si="36"/>
        <v>0.1812413306300743</v>
      </c>
      <c r="K238" s="80">
        <f t="shared" ca="1" si="36"/>
        <v>2.7619976683513459E-2</v>
      </c>
      <c r="L238" s="80">
        <f t="shared" ca="1" si="36"/>
        <v>1.2867470014433779E-3</v>
      </c>
      <c r="M238" s="80">
        <f t="shared" ca="1" si="36"/>
        <v>4.2963317023358982E-5</v>
      </c>
      <c r="N238" s="80">
        <f t="shared" ca="1" si="36"/>
        <v>1.2595243311652737E-6</v>
      </c>
      <c r="O238" s="80">
        <f t="shared" ca="1" si="36"/>
        <v>3.5970585399169863E-8</v>
      </c>
      <c r="P238" s="80">
        <f t="shared" ca="1" si="36"/>
        <v>1.0571200581566131E-9</v>
      </c>
      <c r="Q238" s="80">
        <f t="shared" ca="1" si="36"/>
        <v>3.2915781211784179E-11</v>
      </c>
      <c r="R238" s="80">
        <f t="shared" ca="1" si="36"/>
        <v>1.102562485755243E-12</v>
      </c>
      <c r="S238" s="80">
        <f t="shared" ca="1" si="36"/>
        <v>3.9968028886505635E-14</v>
      </c>
      <c r="T238" s="80">
        <f t="shared" ca="1" si="36"/>
        <v>1.5543122344752192E-15</v>
      </c>
      <c r="U238" s="80">
        <f t="shared" ref="U238:AD251" ca="1" si="41">OFFSET($B$106,$D238-1,U$221,1,1)</f>
        <v>0</v>
      </c>
      <c r="V238" s="80">
        <f t="shared" ca="1" si="41"/>
        <v>0</v>
      </c>
      <c r="W238" s="80">
        <f t="shared" ca="1" si="41"/>
        <v>0</v>
      </c>
      <c r="X238" s="80">
        <f t="shared" ca="1" si="41"/>
        <v>0</v>
      </c>
      <c r="Y238" s="80">
        <f t="shared" ca="1" si="41"/>
        <v>0</v>
      </c>
      <c r="Z238" s="80">
        <f t="shared" ca="1" si="41"/>
        <v>0</v>
      </c>
      <c r="AA238" s="80">
        <f ca="1">SUMPRODUCT(F238:Z238,FailureForCPU!E$17:Y$17)</f>
        <v>3.5897211129546729E-16</v>
      </c>
      <c r="AB238" s="80">
        <f t="shared" ca="1" si="38"/>
        <v>8.8214609706063658E-16</v>
      </c>
      <c r="AC238" s="12">
        <f t="shared" ca="1" si="39"/>
        <v>2.4574223715517229</v>
      </c>
      <c r="AD238" s="12">
        <f t="shared" ca="1" si="40"/>
        <v>0.99999999999999989</v>
      </c>
    </row>
    <row r="239" spans="1:30">
      <c r="A239" s="56">
        <v>16</v>
      </c>
      <c r="B239" s="12">
        <f t="shared" si="34"/>
        <v>2.4359785499999997</v>
      </c>
      <c r="C239" s="12">
        <f t="shared" si="35"/>
        <v>2.5577774774999997</v>
      </c>
      <c r="D239" s="23">
        <f t="array" ref="D239">MATCH(MIN(ABS(ServerTypeA!$A$106:$A$165-$C239)),ABS(ServerTypeA!$A$106:$A$165-$C239),0)</f>
        <v>26</v>
      </c>
      <c r="E239" s="23">
        <f t="array" ref="E239">INDEX(ServerTypeA!$A$106:$A$165,MATCH(MIN(ABS(ServerTypeA!$A$106:$A$165-$C239)),ABS(ServerTypeA!$A$106:$A$165-$C239),0))</f>
        <v>2.6</v>
      </c>
      <c r="F239" s="80">
        <f t="shared" ref="F239:U252" ca="1" si="42">OFFSET($B$106,$D239-1,F$221,1,1)</f>
        <v>0</v>
      </c>
      <c r="G239" s="80">
        <f t="shared" ca="1" si="42"/>
        <v>4.400707317109287E-5</v>
      </c>
      <c r="H239" s="80">
        <f t="shared" ca="1" si="42"/>
        <v>0.12472251021374214</v>
      </c>
      <c r="I239" s="80">
        <f t="shared" ca="1" si="42"/>
        <v>0.62477632414193307</v>
      </c>
      <c r="J239" s="80">
        <f t="shared" ca="1" si="42"/>
        <v>0.21367342325327976</v>
      </c>
      <c r="K239" s="80">
        <f t="shared" ca="1" si="42"/>
        <v>3.5050931293350907E-2</v>
      </c>
      <c r="L239" s="80">
        <f t="shared" ca="1" si="42"/>
        <v>1.6761921326683416E-3</v>
      </c>
      <c r="M239" s="80">
        <f t="shared" ca="1" si="42"/>
        <v>5.5024897328670441E-5</v>
      </c>
      <c r="N239" s="80">
        <f t="shared" ca="1" si="42"/>
        <v>1.5443060948916454E-6</v>
      </c>
      <c r="O239" s="80">
        <f t="shared" ca="1" si="42"/>
        <v>4.1518360527348364E-8</v>
      </c>
      <c r="P239" s="80">
        <f t="shared" ca="1" si="42"/>
        <v>1.1363059382318852E-9</v>
      </c>
      <c r="Q239" s="80">
        <f t="shared" ca="1" si="42"/>
        <v>3.2720715026357539E-11</v>
      </c>
      <c r="R239" s="80">
        <f t="shared" ca="1" si="42"/>
        <v>1.0090817070818048E-12</v>
      </c>
      <c r="S239" s="80">
        <f t="shared" ca="1" si="42"/>
        <v>3.3639757646142243E-14</v>
      </c>
      <c r="T239" s="80">
        <f t="shared" ca="1" si="42"/>
        <v>0</v>
      </c>
      <c r="U239" s="80">
        <f t="shared" ca="1" si="42"/>
        <v>0</v>
      </c>
      <c r="V239" s="80">
        <f t="shared" ca="1" si="41"/>
        <v>0</v>
      </c>
      <c r="W239" s="80">
        <f t="shared" ca="1" si="41"/>
        <v>0</v>
      </c>
      <c r="X239" s="80">
        <f t="shared" ca="1" si="41"/>
        <v>0</v>
      </c>
      <c r="Y239" s="80">
        <f t="shared" ca="1" si="41"/>
        <v>0</v>
      </c>
      <c r="Z239" s="80">
        <f t="shared" ca="1" si="41"/>
        <v>0</v>
      </c>
      <c r="AA239" s="80">
        <f ca="1">SUMPRODUCT(F239:Z239,FailureForCPU!E$17:Y$17)</f>
        <v>2.8033131371785202E-16</v>
      </c>
      <c r="AB239" s="80">
        <f t="shared" ca="1" si="38"/>
        <v>7.1702512046550862E-16</v>
      </c>
      <c r="AC239" s="12">
        <f t="shared" ca="1" si="39"/>
        <v>2.5577774774999988</v>
      </c>
      <c r="AD239" s="12">
        <f t="shared" ca="1" si="40"/>
        <v>0.99999999999999878</v>
      </c>
    </row>
    <row r="240" spans="1:30">
      <c r="A240" s="56">
        <v>17</v>
      </c>
      <c r="B240" s="12">
        <f t="shared" si="34"/>
        <v>2.4111804999999999</v>
      </c>
      <c r="C240" s="12">
        <f t="shared" si="35"/>
        <v>2.5317395249999999</v>
      </c>
      <c r="D240" s="23">
        <f t="array" ref="D240">MATCH(MIN(ABS(ServerTypeA!$A$106:$A$165-$C240)),ABS(ServerTypeA!$A$106:$A$165-$C240),0)</f>
        <v>25</v>
      </c>
      <c r="E240" s="23">
        <f t="array" ref="E240">INDEX(ServerTypeA!$A$106:$A$165,MATCH(MIN(ABS(ServerTypeA!$A$106:$A$165-$C240)),ABS(ServerTypeA!$A$106:$A$165-$C240),0))</f>
        <v>2.5</v>
      </c>
      <c r="F240" s="80">
        <f t="shared" ca="1" si="42"/>
        <v>0</v>
      </c>
      <c r="G240" s="80">
        <f t="shared" ca="1" si="42"/>
        <v>1.1499791790670066E-4</v>
      </c>
      <c r="H240" s="80">
        <f t="shared" ca="1" si="42"/>
        <v>0.16416752570049731</v>
      </c>
      <c r="I240" s="80">
        <f t="shared" ca="1" si="42"/>
        <v>0.62552516216344489</v>
      </c>
      <c r="J240" s="80">
        <f t="shared" ca="1" si="42"/>
        <v>0.1812413306300743</v>
      </c>
      <c r="K240" s="80">
        <f t="shared" ca="1" si="42"/>
        <v>2.7619976683513459E-2</v>
      </c>
      <c r="L240" s="80">
        <f t="shared" ca="1" si="42"/>
        <v>1.2867470014433779E-3</v>
      </c>
      <c r="M240" s="80">
        <f t="shared" ca="1" si="42"/>
        <v>4.2963317023358982E-5</v>
      </c>
      <c r="N240" s="80">
        <f t="shared" ca="1" si="42"/>
        <v>1.2595243311652737E-6</v>
      </c>
      <c r="O240" s="80">
        <f t="shared" ca="1" si="42"/>
        <v>3.5970585399169863E-8</v>
      </c>
      <c r="P240" s="80">
        <f t="shared" ca="1" si="42"/>
        <v>1.0571200581566131E-9</v>
      </c>
      <c r="Q240" s="80">
        <f t="shared" ca="1" si="42"/>
        <v>3.2915781211784179E-11</v>
      </c>
      <c r="R240" s="80">
        <f t="shared" ca="1" si="42"/>
        <v>1.102562485755243E-12</v>
      </c>
      <c r="S240" s="80">
        <f t="shared" ca="1" si="42"/>
        <v>3.9968028886505635E-14</v>
      </c>
      <c r="T240" s="80">
        <f t="shared" ca="1" si="42"/>
        <v>1.5543122344752192E-15</v>
      </c>
      <c r="U240" s="80">
        <f t="shared" ca="1" si="42"/>
        <v>0</v>
      </c>
      <c r="V240" s="80">
        <f t="shared" ca="1" si="41"/>
        <v>0</v>
      </c>
      <c r="W240" s="80">
        <f t="shared" ca="1" si="41"/>
        <v>0</v>
      </c>
      <c r="X240" s="80">
        <f t="shared" ca="1" si="41"/>
        <v>0</v>
      </c>
      <c r="Y240" s="80">
        <f t="shared" ca="1" si="41"/>
        <v>0</v>
      </c>
      <c r="Z240" s="80">
        <f t="shared" ca="1" si="41"/>
        <v>0</v>
      </c>
      <c r="AA240" s="80">
        <f ca="1">SUMPRODUCT(F240:Z240,FailureForCPU!E$17:Y$17)</f>
        <v>3.5897211129546729E-16</v>
      </c>
      <c r="AB240" s="80">
        <f t="shared" ca="1" si="38"/>
        <v>9.0882388253943352E-16</v>
      </c>
      <c r="AC240" s="12">
        <f t="shared" ca="1" si="39"/>
        <v>2.531739524999999</v>
      </c>
      <c r="AD240" s="12">
        <f t="shared" ca="1" si="40"/>
        <v>0.99999999999999989</v>
      </c>
    </row>
    <row r="241" spans="1:30">
      <c r="A241" s="56">
        <v>18</v>
      </c>
      <c r="B241" s="12">
        <f t="shared" si="34"/>
        <v>3.3244928103448275</v>
      </c>
      <c r="C241" s="12">
        <f t="shared" si="35"/>
        <v>3.4907174508620691</v>
      </c>
      <c r="D241" s="23">
        <f t="array" ref="D241">MATCH(MIN(ABS(ServerTypeA!$A$106:$A$165-$C241)),ABS(ServerTypeA!$A$106:$A$165-$C241),0)</f>
        <v>35</v>
      </c>
      <c r="E241" s="23">
        <f t="array" ref="E241">INDEX(ServerTypeA!$A$106:$A$165,MATCH(MIN(ABS(ServerTypeA!$A$106:$A$165-$C241)),ABS(ServerTypeA!$A$106:$A$165-$C241),0))</f>
        <v>3.5</v>
      </c>
      <c r="F241" s="80">
        <f t="shared" ca="1" si="42"/>
        <v>0</v>
      </c>
      <c r="G241" s="80">
        <f t="shared" ca="1" si="42"/>
        <v>1.3470748290891001E-10</v>
      </c>
      <c r="H241" s="80">
        <f t="shared" ca="1" si="42"/>
        <v>1.6027682800294606E-3</v>
      </c>
      <c r="I241" s="80">
        <f t="shared" ca="1" si="42"/>
        <v>0.23146405901264766</v>
      </c>
      <c r="J241" s="80">
        <f t="shared" ca="1" si="42"/>
        <v>0.50209419343223449</v>
      </c>
      <c r="K241" s="80">
        <f t="shared" ca="1" si="42"/>
        <v>0.24247164342095961</v>
      </c>
      <c r="L241" s="80">
        <f t="shared" ca="1" si="42"/>
        <v>2.1541931336523823E-2</v>
      </c>
      <c r="M241" s="80">
        <f t="shared" ca="1" si="42"/>
        <v>8.0630889282118368E-4</v>
      </c>
      <c r="N241" s="80">
        <f t="shared" ca="1" si="42"/>
        <v>1.875134469064843E-5</v>
      </c>
      <c r="O241" s="80">
        <f t="shared" ca="1" si="42"/>
        <v>3.3865069415384141E-7</v>
      </c>
      <c r="P241" s="80">
        <f t="shared" ca="1" si="42"/>
        <v>5.4107089919597229E-9</v>
      </c>
      <c r="Q241" s="80">
        <f t="shared" ca="1" si="42"/>
        <v>8.269385176618016E-11</v>
      </c>
      <c r="R241" s="80">
        <f t="shared" ca="1" si="42"/>
        <v>1.2682077610293163E-12</v>
      </c>
      <c r="S241" s="80">
        <f t="shared" ca="1" si="42"/>
        <v>2.0095036745715333E-14</v>
      </c>
      <c r="T241" s="80">
        <f t="shared" ca="1" si="42"/>
        <v>0</v>
      </c>
      <c r="U241" s="80">
        <f t="shared" ca="1" si="42"/>
        <v>0</v>
      </c>
      <c r="V241" s="80">
        <f t="shared" ca="1" si="41"/>
        <v>0</v>
      </c>
      <c r="W241" s="80">
        <f t="shared" ca="1" si="41"/>
        <v>0</v>
      </c>
      <c r="X241" s="80">
        <f t="shared" ca="1" si="41"/>
        <v>0</v>
      </c>
      <c r="Y241" s="80">
        <f t="shared" ca="1" si="41"/>
        <v>0</v>
      </c>
      <c r="Z241" s="80">
        <f t="shared" ca="1" si="41"/>
        <v>0</v>
      </c>
      <c r="AA241" s="80">
        <f ca="1">SUMPRODUCT(F241:Z241,FailureForCPU!E$17:Y$17)</f>
        <v>1.6745863954762777E-16</v>
      </c>
      <c r="AB241" s="80">
        <f t="shared" ca="1" si="38"/>
        <v>5.8455079536652534E-16</v>
      </c>
      <c r="AC241" s="12">
        <f t="shared" ca="1" si="39"/>
        <v>3.4907174508620686</v>
      </c>
      <c r="AD241" s="12">
        <f t="shared" ca="1" si="40"/>
        <v>0.99999999999999967</v>
      </c>
    </row>
    <row r="242" spans="1:30">
      <c r="A242" s="56">
        <v>19</v>
      </c>
      <c r="B242" s="12">
        <f t="shared" si="34"/>
        <v>4.0252025333333332</v>
      </c>
      <c r="C242" s="12">
        <f t="shared" si="35"/>
        <v>4.2264626600000001</v>
      </c>
      <c r="D242" s="23">
        <f t="array" ref="D242">MATCH(MIN(ABS(ServerTypeA!$A$106:$A$165-$C242)),ABS(ServerTypeA!$A$106:$A$165-$C242),0)</f>
        <v>42</v>
      </c>
      <c r="E242" s="23">
        <f t="array" ref="E242">INDEX(ServerTypeA!$A$106:$A$165,MATCH(MIN(ABS(ServerTypeA!$A$106:$A$165-$C242)),ABS(ServerTypeA!$A$106:$A$165-$C242),0))</f>
        <v>4.2</v>
      </c>
      <c r="F242" s="80">
        <f t="shared" ca="1" si="42"/>
        <v>0</v>
      </c>
      <c r="G242" s="80">
        <f t="shared" ca="1" si="42"/>
        <v>3.0071408552579131E-20</v>
      </c>
      <c r="H242" s="80">
        <f t="shared" ca="1" si="42"/>
        <v>7.1345432819675332E-8</v>
      </c>
      <c r="I242" s="80">
        <f t="shared" ca="1" si="42"/>
        <v>3.4200027720231092E-3</v>
      </c>
      <c r="J242" s="80">
        <f t="shared" ca="1" si="42"/>
        <v>0.12371630589080373</v>
      </c>
      <c r="K242" s="80">
        <f t="shared" ca="1" si="42"/>
        <v>0.54617861868880679</v>
      </c>
      <c r="L242" s="80">
        <f t="shared" ca="1" si="42"/>
        <v>0.28771009500070199</v>
      </c>
      <c r="M242" s="80">
        <f t="shared" ca="1" si="42"/>
        <v>3.7001550342423806E-2</v>
      </c>
      <c r="N242" s="80">
        <f t="shared" ca="1" si="42"/>
        <v>1.9162198039482936E-3</v>
      </c>
      <c r="O242" s="80">
        <f t="shared" ca="1" si="42"/>
        <v>5.5972357971389997E-5</v>
      </c>
      <c r="P242" s="80">
        <f t="shared" ca="1" si="42"/>
        <v>1.1446864401909451E-6</v>
      </c>
      <c r="Q242" s="80">
        <f t="shared" ca="1" si="42"/>
        <v>1.8834618309426787E-8</v>
      </c>
      <c r="R242" s="80">
        <f t="shared" ca="1" si="42"/>
        <v>2.7307323069436507E-10</v>
      </c>
      <c r="S242" s="80">
        <f t="shared" ca="1" si="42"/>
        <v>3.7065905900135476E-12</v>
      </c>
      <c r="T242" s="80">
        <f t="shared" ca="1" si="42"/>
        <v>4.9071857688431919E-14</v>
      </c>
      <c r="U242" s="80">
        <f t="shared" ca="1" si="42"/>
        <v>0</v>
      </c>
      <c r="V242" s="80">
        <f t="shared" ca="1" si="41"/>
        <v>0</v>
      </c>
      <c r="W242" s="80">
        <f t="shared" ca="1" si="41"/>
        <v>0</v>
      </c>
      <c r="X242" s="80">
        <f t="shared" ca="1" si="41"/>
        <v>0</v>
      </c>
      <c r="Y242" s="80">
        <f t="shared" ca="1" si="41"/>
        <v>0</v>
      </c>
      <c r="Z242" s="80">
        <f t="shared" ca="1" si="41"/>
        <v>0</v>
      </c>
      <c r="AA242" s="80">
        <f ca="1">SUMPRODUCT(F242:Z242,FailureForCPU!E$17:Y$17)</f>
        <v>3.170611921158676E-14</v>
      </c>
      <c r="AB242" s="80">
        <f t="shared" ca="1" si="38"/>
        <v>1.3400472894128008E-13</v>
      </c>
      <c r="AC242" s="12">
        <f t="shared" ca="1" si="39"/>
        <v>4.226462659999866</v>
      </c>
      <c r="AD242" s="12">
        <f t="shared" ca="1" si="40"/>
        <v>0.99999999999999933</v>
      </c>
    </row>
    <row r="243" spans="1:30">
      <c r="A243" s="56">
        <v>20</v>
      </c>
      <c r="B243" s="12">
        <f t="shared" si="34"/>
        <v>3.8408287333333333</v>
      </c>
      <c r="C243" s="12">
        <f t="shared" si="35"/>
        <v>4.0328701699999998</v>
      </c>
      <c r="D243" s="23">
        <f t="array" ref="D243">MATCH(MIN(ABS(ServerTypeA!$A$106:$A$165-$C243)),ABS(ServerTypeA!$A$106:$A$165-$C243),0)</f>
        <v>40</v>
      </c>
      <c r="E243" s="23">
        <f t="array" ref="E243">INDEX(ServerTypeA!$A$106:$A$165,MATCH(MIN(ABS(ServerTypeA!$A$106:$A$165-$C243)),ABS(ServerTypeA!$A$106:$A$165-$C243),0))</f>
        <v>4</v>
      </c>
      <c r="F243" s="80">
        <f t="shared" ca="1" si="42"/>
        <v>0</v>
      </c>
      <c r="G243" s="80">
        <f t="shared" ca="1" si="42"/>
        <v>1.3350352585166262E-16</v>
      </c>
      <c r="H243" s="80">
        <f t="shared" ca="1" si="42"/>
        <v>4.1474720378961725E-6</v>
      </c>
      <c r="I243" s="80">
        <f t="shared" ca="1" si="42"/>
        <v>2.2714752882358469E-2</v>
      </c>
      <c r="J243" s="80">
        <f t="shared" ca="1" si="42"/>
        <v>0.28670236373900115</v>
      </c>
      <c r="K243" s="80">
        <f t="shared" ca="1" si="42"/>
        <v>0.53889805197101015</v>
      </c>
      <c r="L243" s="80">
        <f t="shared" ca="1" si="42"/>
        <v>0.14070801868089422</v>
      </c>
      <c r="M243" s="80">
        <f t="shared" ca="1" si="42"/>
        <v>1.0592775311355718E-2</v>
      </c>
      <c r="N243" s="80">
        <f t="shared" ca="1" si="42"/>
        <v>3.715201799947554E-4</v>
      </c>
      <c r="O243" s="80">
        <f t="shared" ca="1" si="42"/>
        <v>8.2287667558800237E-6</v>
      </c>
      <c r="P243" s="80">
        <f t="shared" ca="1" si="42"/>
        <v>1.3895549733078383E-7</v>
      </c>
      <c r="Q243" s="80">
        <f t="shared" ca="1" si="42"/>
        <v>2.0137178591284055E-9</v>
      </c>
      <c r="R243" s="80">
        <f t="shared" ca="1" si="42"/>
        <v>2.7019053661092585E-11</v>
      </c>
      <c r="S243" s="80">
        <f t="shared" ca="1" si="42"/>
        <v>3.5271785492341223E-13</v>
      </c>
      <c r="T243" s="80">
        <f t="shared" ca="1" si="42"/>
        <v>4.5519144009631418E-15</v>
      </c>
      <c r="U243" s="80">
        <f t="shared" ca="1" si="42"/>
        <v>0</v>
      </c>
      <c r="V243" s="80">
        <f t="shared" ca="1" si="41"/>
        <v>0</v>
      </c>
      <c r="W243" s="80">
        <f t="shared" ca="1" si="41"/>
        <v>0</v>
      </c>
      <c r="X243" s="80">
        <f t="shared" ca="1" si="41"/>
        <v>0</v>
      </c>
      <c r="Y243" s="80">
        <f t="shared" ca="1" si="41"/>
        <v>0</v>
      </c>
      <c r="Z243" s="80">
        <f t="shared" ca="1" si="41"/>
        <v>0</v>
      </c>
      <c r="AA243" s="80">
        <f ca="1">SUMPRODUCT(F243:Z243,FailureForCPU!E$17:Y$17)</f>
        <v>3.0151806977111541E-15</v>
      </c>
      <c r="AB243" s="80">
        <f t="shared" ca="1" si="38"/>
        <v>1.21598322929591E-14</v>
      </c>
      <c r="AC243" s="12">
        <f t="shared" ca="1" si="39"/>
        <v>4.0328701699999874</v>
      </c>
      <c r="AD243" s="12">
        <f t="shared" ca="1" si="40"/>
        <v>0.99999999999999989</v>
      </c>
    </row>
    <row r="244" spans="1:30">
      <c r="A244" s="56">
        <v>21</v>
      </c>
      <c r="B244" s="12">
        <f t="shared" si="34"/>
        <v>2.9214521000000002</v>
      </c>
      <c r="C244" s="12">
        <f t="shared" si="35"/>
        <v>3.0675247050000003</v>
      </c>
      <c r="D244" s="23">
        <f t="array" ref="D244">MATCH(MIN(ABS(ServerTypeA!$A$106:$A$165-$C244)),ABS(ServerTypeA!$A$106:$A$165-$C244),0)</f>
        <v>31</v>
      </c>
      <c r="E244" s="23">
        <f t="array" ref="E244">INDEX(ServerTypeA!$A$106:$A$165,MATCH(MIN(ABS(ServerTypeA!$A$106:$A$165-$C244)),ABS(ServerTypeA!$A$106:$A$165-$C244),0))</f>
        <v>3.1</v>
      </c>
      <c r="F244" s="80">
        <f t="shared" ca="1" si="42"/>
        <v>0</v>
      </c>
      <c r="G244" s="80">
        <f t="shared" ca="1" si="42"/>
        <v>1.2177212966810291E-7</v>
      </c>
      <c r="H244" s="80">
        <f t="shared" ca="1" si="42"/>
        <v>1.934983357130109E-2</v>
      </c>
      <c r="I244" s="80">
        <f t="shared" ca="1" si="42"/>
        <v>0.46924825072187326</v>
      </c>
      <c r="J244" s="80">
        <f t="shared" ca="1" si="42"/>
        <v>0.39992870548311377</v>
      </c>
      <c r="K244" s="80">
        <f t="shared" ca="1" si="42"/>
        <v>0.10500782791462315</v>
      </c>
      <c r="L244" s="80">
        <f t="shared" ca="1" si="42"/>
        <v>6.259808919270915E-3</v>
      </c>
      <c r="M244" s="80">
        <f t="shared" ca="1" si="42"/>
        <v>2.0064426801447155E-4</v>
      </c>
      <c r="N244" s="80">
        <f t="shared" ca="1" si="42"/>
        <v>4.7095960733489761E-6</v>
      </c>
      <c r="O244" s="80">
        <f t="shared" ca="1" si="42"/>
        <v>9.5855719028925535E-8</v>
      </c>
      <c r="P244" s="80">
        <f t="shared" ca="1" si="42"/>
        <v>1.8607256846436826E-9</v>
      </c>
      <c r="Q244" s="80">
        <f t="shared" ca="1" si="42"/>
        <v>3.6398217773125907E-11</v>
      </c>
      <c r="R244" s="80">
        <f t="shared" ca="1" si="42"/>
        <v>7.4096284663482948E-13</v>
      </c>
      <c r="S244" s="80">
        <f t="shared" ca="1" si="42"/>
        <v>1.609823385706477E-14</v>
      </c>
      <c r="T244" s="80">
        <f t="shared" ca="1" si="42"/>
        <v>0</v>
      </c>
      <c r="U244" s="80">
        <f t="shared" ca="1" si="42"/>
        <v>0</v>
      </c>
      <c r="V244" s="80">
        <f t="shared" ca="1" si="41"/>
        <v>0</v>
      </c>
      <c r="W244" s="80">
        <f t="shared" ca="1" si="41"/>
        <v>0</v>
      </c>
      <c r="X244" s="80">
        <f t="shared" ca="1" si="41"/>
        <v>0</v>
      </c>
      <c r="Y244" s="80">
        <f t="shared" ca="1" si="41"/>
        <v>0</v>
      </c>
      <c r="Z244" s="80">
        <f t="shared" ca="1" si="41"/>
        <v>0</v>
      </c>
      <c r="AA244" s="80">
        <f ca="1">SUMPRODUCT(F244:Z244,FailureForCPU!E$17:Y$17)</f>
        <v>1.3415194880887307E-16</v>
      </c>
      <c r="AB244" s="80">
        <f t="shared" ca="1" si="38"/>
        <v>4.1151441719511349E-16</v>
      </c>
      <c r="AC244" s="12">
        <f t="shared" ca="1" si="39"/>
        <v>3.0675247049999999</v>
      </c>
      <c r="AD244" s="12">
        <f t="shared" ca="1" si="40"/>
        <v>0.99999999999999967</v>
      </c>
    </row>
    <row r="245" spans="1:30">
      <c r="A245" s="56">
        <v>22</v>
      </c>
      <c r="B245" s="12">
        <f t="shared" si="34"/>
        <v>1.70428665</v>
      </c>
      <c r="C245" s="12">
        <f t="shared" si="35"/>
        <v>1.7895009825000001</v>
      </c>
      <c r="D245" s="23">
        <f t="array" ref="D245">MATCH(MIN(ABS(ServerTypeA!$A$106:$A$165-$C245)),ABS(ServerTypeA!$A$106:$A$165-$C245),0)</f>
        <v>18</v>
      </c>
      <c r="E245" s="23">
        <f t="array" ref="E245">INDEX(ServerTypeA!$A$106:$A$165,MATCH(MIN(ABS(ServerTypeA!$A$106:$A$165-$C245)),ABS(ServerTypeA!$A$106:$A$165-$C245),0))</f>
        <v>1.8</v>
      </c>
      <c r="F245" s="80">
        <f t="shared" ca="1" si="42"/>
        <v>0</v>
      </c>
      <c r="G245" s="80">
        <f t="shared" ca="1" si="42"/>
        <v>2.3430655918933323E-2</v>
      </c>
      <c r="H245" s="80">
        <f t="shared" ca="1" si="42"/>
        <v>0.58816894205402903</v>
      </c>
      <c r="I245" s="80">
        <f t="shared" ca="1" si="42"/>
        <v>0.35081229684092929</v>
      </c>
      <c r="J245" s="80">
        <f t="shared" ca="1" si="42"/>
        <v>3.406413221315896E-2</v>
      </c>
      <c r="K245" s="80">
        <f t="shared" ca="1" si="42"/>
        <v>3.3790197570999769E-3</v>
      </c>
      <c r="L245" s="80">
        <f t="shared" ca="1" si="42"/>
        <v>1.3935267989517719E-4</v>
      </c>
      <c r="M245" s="80">
        <f t="shared" ca="1" si="42"/>
        <v>5.376795014666591E-6</v>
      </c>
      <c r="N245" s="80">
        <f t="shared" ca="1" si="42"/>
        <v>2.1409693806706542E-7</v>
      </c>
      <c r="O245" s="80">
        <f t="shared" ca="1" si="42"/>
        <v>9.1847807137668269E-9</v>
      </c>
      <c r="P245" s="80">
        <f t="shared" ca="1" si="42"/>
        <v>4.3223036261252901E-10</v>
      </c>
      <c r="Q245" s="80">
        <f t="shared" ca="1" si="42"/>
        <v>2.244671115647634E-11</v>
      </c>
      <c r="R245" s="80">
        <f t="shared" ca="1" si="42"/>
        <v>1.2864154186331689E-12</v>
      </c>
      <c r="S245" s="80">
        <f t="shared" ca="1" si="42"/>
        <v>8.1157303100098943E-14</v>
      </c>
      <c r="T245" s="80">
        <f t="shared" ca="1" si="42"/>
        <v>5.6621374255882984E-15</v>
      </c>
      <c r="U245" s="80">
        <f t="shared" ca="1" si="42"/>
        <v>0</v>
      </c>
      <c r="V245" s="80">
        <f t="shared" ca="1" si="41"/>
        <v>0</v>
      </c>
      <c r="W245" s="80">
        <f t="shared" ca="1" si="41"/>
        <v>0</v>
      </c>
      <c r="X245" s="80">
        <f t="shared" ca="1" si="41"/>
        <v>0</v>
      </c>
      <c r="Y245" s="80">
        <f t="shared" ca="1" si="41"/>
        <v>0</v>
      </c>
      <c r="Z245" s="80">
        <f t="shared" ca="1" si="41"/>
        <v>0</v>
      </c>
      <c r="AA245" s="80">
        <f ca="1">SUMPRODUCT(F245:Z245,FailureForCPU!E$17:Y$17)</f>
        <v>7.7067981626062947E-16</v>
      </c>
      <c r="AB245" s="80">
        <f t="shared" ca="1" si="38"/>
        <v>1.379132288391316E-15</v>
      </c>
      <c r="AC245" s="12">
        <f t="shared" ca="1" si="39"/>
        <v>1.7895009824999988</v>
      </c>
      <c r="AD245" s="12">
        <f t="shared" ca="1" si="40"/>
        <v>0.99999999999682954</v>
      </c>
    </row>
    <row r="246" spans="1:30">
      <c r="A246" s="56">
        <v>23</v>
      </c>
      <c r="B246" s="12">
        <f t="shared" si="34"/>
        <v>0.81373062413793107</v>
      </c>
      <c r="C246" s="12">
        <f t="shared" si="35"/>
        <v>0.85441715534482765</v>
      </c>
      <c r="D246" s="23">
        <f t="array" ref="D246">MATCH(MIN(ABS(ServerTypeA!$A$106:$A$165-$C246)),ABS(ServerTypeA!$A$106:$A$165-$C246),0)</f>
        <v>9</v>
      </c>
      <c r="E246" s="23">
        <f t="array" ref="E246">INDEX(ServerTypeA!$A$106:$A$165,MATCH(MIN(ABS(ServerTypeA!$A$106:$A$165-$C246)),ABS(ServerTypeA!$A$106:$A$165-$C246),0))</f>
        <v>0.9</v>
      </c>
      <c r="F246" s="80">
        <f t="shared" ca="1" si="42"/>
        <v>0</v>
      </c>
      <c r="G246" s="80">
        <f t="shared" ca="1" si="42"/>
        <v>0.6478874292771819</v>
      </c>
      <c r="H246" s="80">
        <f t="shared" ca="1" si="42"/>
        <v>0.33264207036991167</v>
      </c>
      <c r="I246" s="80">
        <f t="shared" ca="1" si="42"/>
        <v>1.8220068282046253E-2</v>
      </c>
      <c r="J246" s="80">
        <f t="shared" ca="1" si="42"/>
        <v>6.504195037900784E-4</v>
      </c>
      <c r="K246" s="80">
        <f t="shared" ca="1" si="42"/>
        <v>5.0559486676760024E-5</v>
      </c>
      <c r="L246" s="80">
        <f t="shared" ca="1" si="42"/>
        <v>2.299209596934304E-6</v>
      </c>
      <c r="M246" s="80">
        <f t="shared" ca="1" si="42"/>
        <v>1.255587669390934E-7</v>
      </c>
      <c r="N246" s="80">
        <f t="shared" ca="1" si="42"/>
        <v>8.1680614494317183E-9</v>
      </c>
      <c r="O246" s="80">
        <f t="shared" ca="1" si="42"/>
        <v>6.2318250559911803E-10</v>
      </c>
      <c r="P246" s="80">
        <f t="shared" ca="1" si="42"/>
        <v>5.4854787379099434E-11</v>
      </c>
      <c r="Q246" s="80">
        <f t="shared" ca="1" si="42"/>
        <v>5.4871662769073737E-12</v>
      </c>
      <c r="R246" s="80">
        <f t="shared" ca="1" si="42"/>
        <v>6.1550764485218679E-13</v>
      </c>
      <c r="S246" s="80">
        <f t="shared" ca="1" si="42"/>
        <v>7.6494366396673286E-14</v>
      </c>
      <c r="T246" s="80">
        <f t="shared" ca="1" si="42"/>
        <v>1.0436096431476471E-14</v>
      </c>
      <c r="U246" s="80">
        <f t="shared" ca="1" si="42"/>
        <v>1.5543122344752192E-15</v>
      </c>
      <c r="V246" s="80">
        <f t="shared" ca="1" si="41"/>
        <v>0</v>
      </c>
      <c r="W246" s="80">
        <f t="shared" ca="1" si="41"/>
        <v>0</v>
      </c>
      <c r="X246" s="80">
        <f t="shared" ca="1" si="41"/>
        <v>0</v>
      </c>
      <c r="Y246" s="80">
        <f t="shared" ca="1" si="41"/>
        <v>0</v>
      </c>
      <c r="Z246" s="80">
        <f t="shared" ca="1" si="41"/>
        <v>0</v>
      </c>
      <c r="AA246" s="80">
        <f ca="1">SUMPRODUCT(F246:Z246,FailureForCPU!E$17:Y$17)</f>
        <v>8.5024579969209894E-16</v>
      </c>
      <c r="AB246" s="80">
        <f t="shared" ca="1" si="38"/>
        <v>7.2646459751681135E-16</v>
      </c>
      <c r="AC246" s="12">
        <f t="shared" ca="1" si="39"/>
        <v>0.85441715534482687</v>
      </c>
      <c r="AD246" s="12">
        <f t="shared" ca="1" si="40"/>
        <v>0.99945298054026044</v>
      </c>
    </row>
    <row r="247" spans="1:30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</row>
    <row r="248" spans="1:30">
      <c r="A248" s="54" t="s">
        <v>55</v>
      </c>
      <c r="B248" s="12">
        <f>SUM(B223:B246)</f>
        <v>43.062664537931042</v>
      </c>
      <c r="C248" s="12">
        <f>SUM(C223:C246)</f>
        <v>45.215797764827592</v>
      </c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25">
        <f ca="1">SUM(AB223:AB246)</f>
        <v>7.2803373826127982E-13</v>
      </c>
      <c r="AC248" s="25">
        <f ca="1">SUM(AC223:AC246)</f>
        <v>45.21579776482686</v>
      </c>
      <c r="AD248" s="54"/>
    </row>
    <row r="249" spans="1:30">
      <c r="A249" s="54" t="s">
        <v>66</v>
      </c>
      <c r="B249" s="69">
        <f ca="1">AC248/C248</f>
        <v>0.99999999999998379</v>
      </c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</row>
    <row r="250" spans="1:30">
      <c r="A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</row>
    <row r="251" spans="1:30">
      <c r="A251" s="22" t="s">
        <v>114</v>
      </c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</row>
    <row r="252" spans="1:30">
      <c r="A252" s="22" t="s">
        <v>51</v>
      </c>
      <c r="B252" s="37">
        <f>QResults!D12/QResults!B12</f>
        <v>1.0404462704089794</v>
      </c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</row>
    <row r="253" spans="1:30">
      <c r="A253" s="54"/>
      <c r="B253" s="54"/>
      <c r="C253" s="54"/>
      <c r="D253" s="54"/>
      <c r="E253" s="54" t="s">
        <v>59</v>
      </c>
      <c r="F253" s="56">
        <v>0</v>
      </c>
      <c r="G253" s="56">
        <v>1</v>
      </c>
      <c r="H253" s="56">
        <v>2</v>
      </c>
      <c r="I253" s="56">
        <v>3</v>
      </c>
      <c r="J253" s="56">
        <v>4</v>
      </c>
      <c r="K253" s="56">
        <v>5</v>
      </c>
      <c r="L253" s="56">
        <v>6</v>
      </c>
      <c r="M253" s="56">
        <v>7</v>
      </c>
      <c r="N253" s="56">
        <v>8</v>
      </c>
      <c r="O253" s="56">
        <v>9</v>
      </c>
      <c r="P253" s="56">
        <v>10</v>
      </c>
      <c r="Q253" s="56">
        <v>11</v>
      </c>
      <c r="R253" s="56">
        <v>12</v>
      </c>
      <c r="S253" s="56">
        <v>13</v>
      </c>
      <c r="T253" s="56">
        <v>14</v>
      </c>
      <c r="U253" s="56">
        <v>15</v>
      </c>
      <c r="V253" s="56">
        <v>16</v>
      </c>
      <c r="W253" s="56">
        <v>17</v>
      </c>
      <c r="X253" s="56">
        <v>18</v>
      </c>
      <c r="Y253" s="56">
        <v>19</v>
      </c>
      <c r="Z253" s="56">
        <v>20</v>
      </c>
      <c r="AA253" s="54"/>
      <c r="AB253" s="54"/>
      <c r="AC253" s="54"/>
      <c r="AD253" s="54"/>
    </row>
    <row r="254" spans="1:30" ht="45">
      <c r="A254" s="56" t="s">
        <v>52</v>
      </c>
      <c r="B254" s="56" t="s">
        <v>53</v>
      </c>
      <c r="C254" s="56" t="s">
        <v>54</v>
      </c>
      <c r="D254" s="61" t="s">
        <v>56</v>
      </c>
      <c r="E254" s="61" t="s">
        <v>57</v>
      </c>
      <c r="F254" s="56" t="s">
        <v>20</v>
      </c>
      <c r="G254" s="56" t="s">
        <v>21</v>
      </c>
      <c r="H254" s="56" t="s">
        <v>22</v>
      </c>
      <c r="I254" s="56" t="s">
        <v>23</v>
      </c>
      <c r="J254" s="56" t="s">
        <v>24</v>
      </c>
      <c r="K254" s="56" t="s">
        <v>25</v>
      </c>
      <c r="L254" s="56" t="s">
        <v>26</v>
      </c>
      <c r="M254" s="56" t="s">
        <v>27</v>
      </c>
      <c r="N254" s="56" t="s">
        <v>28</v>
      </c>
      <c r="O254" s="56" t="s">
        <v>29</v>
      </c>
      <c r="P254" s="56" t="s">
        <v>30</v>
      </c>
      <c r="Q254" s="56" t="s">
        <v>31</v>
      </c>
      <c r="R254" s="56" t="s">
        <v>32</v>
      </c>
      <c r="S254" s="56" t="s">
        <v>33</v>
      </c>
      <c r="T254" s="56" t="s">
        <v>34</v>
      </c>
      <c r="U254" s="56" t="s">
        <v>35</v>
      </c>
      <c r="V254" s="56" t="s">
        <v>36</v>
      </c>
      <c r="W254" s="56" t="s">
        <v>37</v>
      </c>
      <c r="X254" s="56" t="s">
        <v>38</v>
      </c>
      <c r="Y254" s="56" t="s">
        <v>39</v>
      </c>
      <c r="Z254" s="56" t="s">
        <v>40</v>
      </c>
      <c r="AA254" s="61" t="s">
        <v>58</v>
      </c>
      <c r="AB254" s="61" t="s">
        <v>64</v>
      </c>
      <c r="AC254" s="61" t="s">
        <v>65</v>
      </c>
      <c r="AD254" s="56" t="s">
        <v>75</v>
      </c>
    </row>
    <row r="255" spans="1:30">
      <c r="A255" s="56">
        <v>0</v>
      </c>
      <c r="B255" s="12">
        <f t="shared" ref="B255:B278" si="43">B191</f>
        <v>0.43929673333333336</v>
      </c>
      <c r="C255" s="12">
        <f t="shared" ref="C255:C278" si="44">$B$252*B255</f>
        <v>0.45706464779951467</v>
      </c>
      <c r="D255" s="23">
        <f t="array" ref="D255">MATCH(MIN(ABS(ServerTypeA!$A$106:$A$165-$C255)),ABS(ServerTypeA!$A$106:$A$165-$C255),0)</f>
        <v>5</v>
      </c>
      <c r="E255" s="23">
        <f t="array" ref="E255">INDEX(ServerTypeA!$A$106:$A$165,MATCH(MIN(ABS(ServerTypeA!$A$106:$A$165-$C255)),ABS(ServerTypeA!$A$106:$A$165-$C255),0))</f>
        <v>0.5</v>
      </c>
      <c r="F255" s="12">
        <f t="shared" ref="F255:U270" ca="1" si="45">OFFSET($B$106,$D255-1,F$221,1,1)</f>
        <v>0</v>
      </c>
      <c r="G255" s="80">
        <f t="shared" ca="1" si="45"/>
        <v>0.8627376746972435</v>
      </c>
      <c r="H255" s="12">
        <f t="shared" ca="1" si="45"/>
        <v>8.3896145232778219E-2</v>
      </c>
      <c r="I255" s="12">
        <f t="shared" ca="1" si="45"/>
        <v>2.8062638356928238E-3</v>
      </c>
      <c r="J255" s="12">
        <f t="shared" ca="1" si="45"/>
        <v>1.0751725690527625E-4</v>
      </c>
      <c r="K255" s="12">
        <f t="shared" ca="1" si="45"/>
        <v>1.0537665367849058E-5</v>
      </c>
      <c r="L255" s="12">
        <f t="shared" ca="1" si="45"/>
        <v>6.9501645871827833E-7</v>
      </c>
      <c r="M255" s="12">
        <f t="shared" ca="1" si="45"/>
        <v>5.7656018848106783E-8</v>
      </c>
      <c r="N255" s="12">
        <f t="shared" ca="1" si="45"/>
        <v>5.8025605431666349E-9</v>
      </c>
      <c r="O255" s="12">
        <f t="shared" ca="1" si="45"/>
        <v>6.8785022122597184E-10</v>
      </c>
      <c r="P255" s="12">
        <f t="shared" ca="1" si="45"/>
        <v>9.3799301659203138E-11</v>
      </c>
      <c r="Q255" s="12">
        <f t="shared" ca="1" si="45"/>
        <v>1.4437784301435386E-11</v>
      </c>
      <c r="R255" s="12">
        <f t="shared" ca="1" si="45"/>
        <v>2.4702462297909733E-12</v>
      </c>
      <c r="S255" s="12">
        <f t="shared" ca="1" si="45"/>
        <v>4.638511796883904E-13</v>
      </c>
      <c r="T255" s="12">
        <f t="shared" ca="1" si="45"/>
        <v>9.4702024000525853E-14</v>
      </c>
      <c r="U255" s="12">
        <f t="shared" ca="1" si="45"/>
        <v>2.0761170560490427E-14</v>
      </c>
      <c r="V255" s="12">
        <f t="shared" ref="V255:AD269" ca="1" si="46">OFFSET($B$106,$D255-1,V$221,1,1)</f>
        <v>4.8849813083506888E-15</v>
      </c>
      <c r="W255" s="12">
        <f t="shared" ca="1" si="46"/>
        <v>1.2212453270876722E-15</v>
      </c>
      <c r="X255" s="12">
        <f t="shared" ca="1" si="46"/>
        <v>0</v>
      </c>
      <c r="Y255" s="12">
        <f t="shared" ca="1" si="46"/>
        <v>0</v>
      </c>
      <c r="Z255" s="12">
        <f t="shared" ca="1" si="46"/>
        <v>0</v>
      </c>
      <c r="AA255" s="80">
        <f ca="1">SUMPRODUCT(F255:Z255,FailureForCPU!E$17:Y$17)</f>
        <v>6.1765407603312875E-15</v>
      </c>
      <c r="AB255" s="80">
        <f t="shared" ref="AB255:AB278" ca="1" si="47">AA255*C255</f>
        <v>2.8230784272401666E-15</v>
      </c>
      <c r="AC255" s="12">
        <f t="shared" ref="AC255:AC278" ca="1" si="48">C255-AB255</f>
        <v>0.45706464779951184</v>
      </c>
      <c r="AD255" s="12">
        <f t="shared" ref="AD255:AD278" ca="1" si="49">SUM(F255:Z255)</f>
        <v>0.94955889796216875</v>
      </c>
    </row>
    <row r="256" spans="1:30">
      <c r="A256" s="56">
        <v>1</v>
      </c>
      <c r="B256" s="12">
        <f t="shared" si="43"/>
        <v>0.24725845000000002</v>
      </c>
      <c r="C256" s="12">
        <f t="shared" si="44"/>
        <v>0.25725913212960516</v>
      </c>
      <c r="D256" s="23">
        <f t="array" ref="D256">MATCH(MIN(ABS(ServerTypeA!$A$106:$A$165-$C256)),ABS(ServerTypeA!$A$106:$A$165-$C256),0)</f>
        <v>3</v>
      </c>
      <c r="E256" s="23">
        <f t="array" ref="E256">INDEX(ServerTypeA!$A$106:$A$165,MATCH(MIN(ABS(ServerTypeA!$A$106:$A$165-$C256)),ABS(ServerTypeA!$A$106:$A$165-$C256),0))</f>
        <v>0.3</v>
      </c>
      <c r="F256" s="12">
        <f t="shared" ca="1" si="45"/>
        <v>0</v>
      </c>
      <c r="G256" s="80">
        <f t="shared" ca="1" si="45"/>
        <v>0.76734078687270313</v>
      </c>
      <c r="H256" s="12">
        <f t="shared" ca="1" si="45"/>
        <v>4.061799437764968E-2</v>
      </c>
      <c r="I256" s="12">
        <f t="shared" ca="1" si="45"/>
        <v>1.5765400616829517E-3</v>
      </c>
      <c r="J256" s="12">
        <f t="shared" ca="1" si="45"/>
        <v>8.3090088131676509E-5</v>
      </c>
      <c r="K256" s="12">
        <f t="shared" ca="1" si="45"/>
        <v>1.1088798038461078E-5</v>
      </c>
      <c r="L256" s="12">
        <f t="shared" ca="1" si="45"/>
        <v>1.0675049230135514E-6</v>
      </c>
      <c r="M256" s="12">
        <f t="shared" ca="1" si="45"/>
        <v>1.2832819928920713E-7</v>
      </c>
      <c r="N256" s="12">
        <f t="shared" ca="1" si="45"/>
        <v>1.8478603647231751E-8</v>
      </c>
      <c r="O256" s="12">
        <f t="shared" ca="1" si="45"/>
        <v>3.089543842982323E-9</v>
      </c>
      <c r="P256" s="12">
        <f t="shared" ca="1" si="45"/>
        <v>5.8576110628649758E-10</v>
      </c>
      <c r="Q256" s="12">
        <f t="shared" ca="1" si="45"/>
        <v>1.2364498314099137E-10</v>
      </c>
      <c r="R256" s="12">
        <f t="shared" ca="1" si="45"/>
        <v>2.8639202120928076E-11</v>
      </c>
      <c r="S256" s="12">
        <f t="shared" ca="1" si="45"/>
        <v>7.1945782664784019E-12</v>
      </c>
      <c r="T256" s="12">
        <f t="shared" ca="1" si="45"/>
        <v>1.9416690477669363E-12</v>
      </c>
      <c r="U256" s="12">
        <f t="shared" ca="1" si="45"/>
        <v>5.5844218138645374E-13</v>
      </c>
      <c r="V256" s="12">
        <f t="shared" ca="1" si="46"/>
        <v>1.7008616737257398E-13</v>
      </c>
      <c r="W256" s="12">
        <f t="shared" ca="1" si="46"/>
        <v>5.4622972811557702E-14</v>
      </c>
      <c r="X256" s="12">
        <f t="shared" ca="1" si="46"/>
        <v>1.8318679906315083E-14</v>
      </c>
      <c r="Y256" s="12">
        <f t="shared" ca="1" si="46"/>
        <v>6.4392935428259079E-15</v>
      </c>
      <c r="Z256" s="12">
        <f t="shared" ca="1" si="46"/>
        <v>3.7747582837255322E-15</v>
      </c>
      <c r="AA256" s="80">
        <f ca="1">SUMPRODUCT(F256:Z256,FailureForCPU!E$17:Y$17)</f>
        <v>1.1766976282245878E-13</v>
      </c>
      <c r="AB256" s="80">
        <f t="shared" ca="1" si="47"/>
        <v>3.0271621061602222E-14</v>
      </c>
      <c r="AC256" s="12">
        <f t="shared" ca="1" si="48"/>
        <v>0.25725913212957491</v>
      </c>
      <c r="AD256" s="12">
        <f t="shared" ca="1" si="49"/>
        <v>0.80963071834746891</v>
      </c>
    </row>
    <row r="257" spans="1:30">
      <c r="A257" s="56">
        <v>2</v>
      </c>
      <c r="B257" s="12">
        <f t="shared" si="43"/>
        <v>0.15990046666666669</v>
      </c>
      <c r="C257" s="12">
        <f t="shared" si="44"/>
        <v>0.16636784417998868</v>
      </c>
      <c r="D257" s="23">
        <f t="array" ref="D257">MATCH(MIN(ABS(ServerTypeA!$A$106:$A$165-$C257)),ABS(ServerTypeA!$A$106:$A$165-$C257),0)</f>
        <v>2</v>
      </c>
      <c r="E257" s="23">
        <f t="array" ref="E257">INDEX(ServerTypeA!$A$106:$A$165,MATCH(MIN(ABS(ServerTypeA!$A$106:$A$165-$C257)),ABS(ServerTypeA!$A$106:$A$165-$C257),0))</f>
        <v>0.2</v>
      </c>
      <c r="F257" s="12">
        <f t="shared" ca="1" si="45"/>
        <v>0</v>
      </c>
      <c r="G257" s="80">
        <f t="shared" ca="1" si="45"/>
        <v>0.66593794397121475</v>
      </c>
      <c r="H257" s="12">
        <f t="shared" ca="1" si="45"/>
        <v>3.1960042700872382E-2</v>
      </c>
      <c r="I257" s="12">
        <f t="shared" ca="1" si="45"/>
        <v>1.5994488965370701E-3</v>
      </c>
      <c r="J257" s="12">
        <f t="shared" ca="1" si="45"/>
        <v>1.1242877602224421E-4</v>
      </c>
      <c r="K257" s="12">
        <f t="shared" ca="1" si="45"/>
        <v>1.9196099576346271E-5</v>
      </c>
      <c r="L257" s="12">
        <f t="shared" ca="1" si="45"/>
        <v>2.4487933019123886E-6</v>
      </c>
      <c r="M257" s="12">
        <f t="shared" ca="1" si="45"/>
        <v>3.8368656929410605E-7</v>
      </c>
      <c r="N257" s="12">
        <f t="shared" ca="1" si="45"/>
        <v>7.0876589153279212E-8</v>
      </c>
      <c r="O257" s="12">
        <f t="shared" ca="1" si="45"/>
        <v>1.4983860263662052E-8</v>
      </c>
      <c r="P257" s="12">
        <f t="shared" ca="1" si="45"/>
        <v>3.5457425884288796E-9</v>
      </c>
      <c r="Q257" s="12">
        <f t="shared" ca="1" si="45"/>
        <v>9.2337537616060672E-10</v>
      </c>
      <c r="R257" s="12">
        <f t="shared" ca="1" si="45"/>
        <v>2.6113289308682397E-10</v>
      </c>
      <c r="S257" s="12">
        <f t="shared" ca="1" si="45"/>
        <v>7.9349748993706726E-11</v>
      </c>
      <c r="T257" s="12">
        <f t="shared" ca="1" si="45"/>
        <v>2.5685342741610384E-11</v>
      </c>
      <c r="U257" s="12">
        <f t="shared" ca="1" si="45"/>
        <v>8.79429862266079E-12</v>
      </c>
      <c r="V257" s="12">
        <f t="shared" ca="1" si="46"/>
        <v>3.1659119770210964E-12</v>
      </c>
      <c r="W257" s="12">
        <f t="shared" ca="1" si="46"/>
        <v>1.1924905507498806E-12</v>
      </c>
      <c r="X257" s="12">
        <f t="shared" ca="1" si="46"/>
        <v>4.6784798257704097E-13</v>
      </c>
      <c r="Y257" s="12">
        <f t="shared" ca="1" si="46"/>
        <v>1.9062529332813938E-13</v>
      </c>
      <c r="Z257" s="12">
        <f t="shared" ca="1" si="46"/>
        <v>1.446620601086579E-13</v>
      </c>
      <c r="AA257" s="80">
        <f ca="1">SUMPRODUCT(F257:Z257,FailureForCPU!E$17:Y$17)</f>
        <v>1.579197883572192E-12</v>
      </c>
      <c r="AB257" s="80">
        <f t="shared" ca="1" si="47"/>
        <v>2.6272774742350632E-13</v>
      </c>
      <c r="AC257" s="12">
        <f t="shared" ca="1" si="48"/>
        <v>0.16636784417972594</v>
      </c>
      <c r="AD257" s="12">
        <f t="shared" ca="1" si="49"/>
        <v>0.6996319836337852</v>
      </c>
    </row>
    <row r="258" spans="1:30">
      <c r="A258" s="56">
        <v>3</v>
      </c>
      <c r="B258" s="12">
        <f t="shared" si="43"/>
        <v>0.15634300000000001</v>
      </c>
      <c r="C258" s="12">
        <f t="shared" si="44"/>
        <v>0.16266649125455107</v>
      </c>
      <c r="D258" s="23">
        <f t="array" ref="D258">MATCH(MIN(ABS(ServerTypeA!$A$106:$A$165-$C258)),ABS(ServerTypeA!$A$106:$A$165-$C258),0)</f>
        <v>2</v>
      </c>
      <c r="E258" s="23">
        <f t="array" ref="E258">INDEX(ServerTypeA!$A$106:$A$165,MATCH(MIN(ABS(ServerTypeA!$A$106:$A$165-$C258)),ABS(ServerTypeA!$A$106:$A$165-$C258),0))</f>
        <v>0.2</v>
      </c>
      <c r="F258" s="80">
        <f t="shared" ca="1" si="45"/>
        <v>0</v>
      </c>
      <c r="G258" s="80">
        <f t="shared" ca="1" si="45"/>
        <v>0.66593794397121475</v>
      </c>
      <c r="H258" s="80">
        <f t="shared" ca="1" si="45"/>
        <v>3.1960042700872382E-2</v>
      </c>
      <c r="I258" s="80">
        <f t="shared" ca="1" si="45"/>
        <v>1.5994488965370701E-3</v>
      </c>
      <c r="J258" s="80">
        <f t="shared" ca="1" si="45"/>
        <v>1.1242877602224421E-4</v>
      </c>
      <c r="K258" s="80">
        <f t="shared" ca="1" si="45"/>
        <v>1.9196099576346271E-5</v>
      </c>
      <c r="L258" s="80">
        <f t="shared" ca="1" si="45"/>
        <v>2.4487933019123886E-6</v>
      </c>
      <c r="M258" s="80">
        <f t="shared" ca="1" si="45"/>
        <v>3.8368656929410605E-7</v>
      </c>
      <c r="N258" s="80">
        <f t="shared" ca="1" si="45"/>
        <v>7.0876589153279212E-8</v>
      </c>
      <c r="O258" s="80">
        <f t="shared" ca="1" si="45"/>
        <v>1.4983860263662052E-8</v>
      </c>
      <c r="P258" s="80">
        <f t="shared" ca="1" si="45"/>
        <v>3.5457425884288796E-9</v>
      </c>
      <c r="Q258" s="80">
        <f t="shared" ca="1" si="45"/>
        <v>9.2337537616060672E-10</v>
      </c>
      <c r="R258" s="80">
        <f t="shared" ca="1" si="45"/>
        <v>2.6113289308682397E-10</v>
      </c>
      <c r="S258" s="80">
        <f t="shared" ca="1" si="45"/>
        <v>7.9349748993706726E-11</v>
      </c>
      <c r="T258" s="80">
        <f t="shared" ca="1" si="45"/>
        <v>2.5685342741610384E-11</v>
      </c>
      <c r="U258" s="80">
        <f t="shared" ca="1" si="45"/>
        <v>8.79429862266079E-12</v>
      </c>
      <c r="V258" s="80">
        <f t="shared" ca="1" si="46"/>
        <v>3.1659119770210964E-12</v>
      </c>
      <c r="W258" s="80">
        <f t="shared" ca="1" si="46"/>
        <v>1.1924905507498806E-12</v>
      </c>
      <c r="X258" s="80">
        <f t="shared" ca="1" si="46"/>
        <v>4.6784798257704097E-13</v>
      </c>
      <c r="Y258" s="80">
        <f t="shared" ca="1" si="46"/>
        <v>1.9062529332813938E-13</v>
      </c>
      <c r="Z258" s="80">
        <f t="shared" ca="1" si="46"/>
        <v>1.446620601086579E-13</v>
      </c>
      <c r="AA258" s="80">
        <f ca="1">SUMPRODUCT(F258:Z258,FailureForCPU!E$17:Y$17)</f>
        <v>1.579197883572192E-12</v>
      </c>
      <c r="AB258" s="80">
        <f t="shared" ca="1" si="47"/>
        <v>2.5688257871730154E-13</v>
      </c>
      <c r="AC258" s="12">
        <f t="shared" ca="1" si="48"/>
        <v>0.16266649125429419</v>
      </c>
      <c r="AD258" s="12">
        <f t="shared" ca="1" si="49"/>
        <v>0.6996319836337852</v>
      </c>
    </row>
    <row r="259" spans="1:30">
      <c r="A259" s="56">
        <v>4</v>
      </c>
      <c r="B259" s="12">
        <f t="shared" si="43"/>
        <v>0.33371846666666666</v>
      </c>
      <c r="C259" s="12">
        <f t="shared" si="44"/>
        <v>0.34721613400993662</v>
      </c>
      <c r="D259" s="23">
        <f t="array" ref="D259">MATCH(MIN(ABS(ServerTypeA!$A$106:$A$165-$C259)),ABS(ServerTypeA!$A$106:$A$165-$C259),0)</f>
        <v>3</v>
      </c>
      <c r="E259" s="23">
        <f t="array" ref="E259">INDEX(ServerTypeA!$A$106:$A$165,MATCH(MIN(ABS(ServerTypeA!$A$106:$A$165-$C259)),ABS(ServerTypeA!$A$106:$A$165-$C259),0))</f>
        <v>0.3</v>
      </c>
      <c r="F259" s="80">
        <f t="shared" ca="1" si="45"/>
        <v>0</v>
      </c>
      <c r="G259" s="80">
        <f t="shared" ca="1" si="45"/>
        <v>0.76734078687270313</v>
      </c>
      <c r="H259" s="80">
        <f t="shared" ca="1" si="45"/>
        <v>4.061799437764968E-2</v>
      </c>
      <c r="I259" s="80">
        <f t="shared" ca="1" si="45"/>
        <v>1.5765400616829517E-3</v>
      </c>
      <c r="J259" s="80">
        <f t="shared" ca="1" si="45"/>
        <v>8.3090088131676509E-5</v>
      </c>
      <c r="K259" s="80">
        <f t="shared" ca="1" si="45"/>
        <v>1.1088798038461078E-5</v>
      </c>
      <c r="L259" s="80">
        <f t="shared" ca="1" si="45"/>
        <v>1.0675049230135514E-6</v>
      </c>
      <c r="M259" s="80">
        <f t="shared" ca="1" si="45"/>
        <v>1.2832819928920713E-7</v>
      </c>
      <c r="N259" s="80">
        <f t="shared" ca="1" si="45"/>
        <v>1.8478603647231751E-8</v>
      </c>
      <c r="O259" s="80">
        <f t="shared" ca="1" si="45"/>
        <v>3.089543842982323E-9</v>
      </c>
      <c r="P259" s="80">
        <f t="shared" ca="1" si="45"/>
        <v>5.8576110628649758E-10</v>
      </c>
      <c r="Q259" s="80">
        <f t="shared" ca="1" si="45"/>
        <v>1.2364498314099137E-10</v>
      </c>
      <c r="R259" s="80">
        <f t="shared" ca="1" si="45"/>
        <v>2.8639202120928076E-11</v>
      </c>
      <c r="S259" s="80">
        <f t="shared" ca="1" si="45"/>
        <v>7.1945782664784019E-12</v>
      </c>
      <c r="T259" s="80">
        <f t="shared" ca="1" si="45"/>
        <v>1.9416690477669363E-12</v>
      </c>
      <c r="U259" s="80">
        <f t="shared" ca="1" si="45"/>
        <v>5.5844218138645374E-13</v>
      </c>
      <c r="V259" s="80">
        <f t="shared" ca="1" si="46"/>
        <v>1.7008616737257398E-13</v>
      </c>
      <c r="W259" s="80">
        <f t="shared" ca="1" si="46"/>
        <v>5.4622972811557702E-14</v>
      </c>
      <c r="X259" s="80">
        <f t="shared" ca="1" si="46"/>
        <v>1.8318679906315083E-14</v>
      </c>
      <c r="Y259" s="80">
        <f t="shared" ca="1" si="46"/>
        <v>6.4392935428259079E-15</v>
      </c>
      <c r="Z259" s="80">
        <f t="shared" ca="1" si="46"/>
        <v>3.7747582837255322E-15</v>
      </c>
      <c r="AA259" s="80">
        <f ca="1">SUMPRODUCT(F259:Z259,FailureForCPU!E$17:Y$17)</f>
        <v>1.1766976282245878E-13</v>
      </c>
      <c r="AB259" s="80">
        <f t="shared" ca="1" si="47"/>
        <v>4.0856840137080306E-14</v>
      </c>
      <c r="AC259" s="12">
        <f t="shared" ca="1" si="48"/>
        <v>0.34721613400989576</v>
      </c>
      <c r="AD259" s="12">
        <f t="shared" ca="1" si="49"/>
        <v>0.80963071834746891</v>
      </c>
    </row>
    <row r="260" spans="1:30">
      <c r="A260" s="56">
        <v>5</v>
      </c>
      <c r="B260" s="12">
        <f t="shared" si="43"/>
        <v>0.89391525000000005</v>
      </c>
      <c r="C260" s="12">
        <f t="shared" si="44"/>
        <v>0.9300707879242105</v>
      </c>
      <c r="D260" s="23">
        <f t="array" ref="D260">MATCH(MIN(ABS(ServerTypeA!$A$106:$A$165-$C260)),ABS(ServerTypeA!$A$106:$A$165-$C260),0)</f>
        <v>9</v>
      </c>
      <c r="E260" s="23">
        <f t="array" ref="E260">INDEX(ServerTypeA!$A$106:$A$165,MATCH(MIN(ABS(ServerTypeA!$A$106:$A$165-$C260)),ABS(ServerTypeA!$A$106:$A$165-$C260),0))</f>
        <v>0.9</v>
      </c>
      <c r="F260" s="80">
        <f t="shared" ca="1" si="45"/>
        <v>0</v>
      </c>
      <c r="G260" s="80">
        <f t="shared" ca="1" si="45"/>
        <v>0.6478874292771819</v>
      </c>
      <c r="H260" s="80">
        <f t="shared" ca="1" si="45"/>
        <v>0.33264207036991167</v>
      </c>
      <c r="I260" s="80">
        <f t="shared" ca="1" si="45"/>
        <v>1.8220068282046253E-2</v>
      </c>
      <c r="J260" s="80">
        <f t="shared" ca="1" si="45"/>
        <v>6.504195037900784E-4</v>
      </c>
      <c r="K260" s="80">
        <f t="shared" ca="1" si="45"/>
        <v>5.0559486676760024E-5</v>
      </c>
      <c r="L260" s="80">
        <f t="shared" ca="1" si="45"/>
        <v>2.299209596934304E-6</v>
      </c>
      <c r="M260" s="80">
        <f t="shared" ca="1" si="45"/>
        <v>1.255587669390934E-7</v>
      </c>
      <c r="N260" s="80">
        <f t="shared" ca="1" si="45"/>
        <v>8.1680614494317183E-9</v>
      </c>
      <c r="O260" s="80">
        <f t="shared" ca="1" si="45"/>
        <v>6.2318250559911803E-10</v>
      </c>
      <c r="P260" s="80">
        <f t="shared" ca="1" si="45"/>
        <v>5.4854787379099434E-11</v>
      </c>
      <c r="Q260" s="80">
        <f t="shared" ca="1" si="45"/>
        <v>5.4871662769073737E-12</v>
      </c>
      <c r="R260" s="80">
        <f t="shared" ca="1" si="45"/>
        <v>6.1550764485218679E-13</v>
      </c>
      <c r="S260" s="80">
        <f t="shared" ca="1" si="45"/>
        <v>7.6494366396673286E-14</v>
      </c>
      <c r="T260" s="80">
        <f t="shared" ca="1" si="45"/>
        <v>1.0436096431476471E-14</v>
      </c>
      <c r="U260" s="80">
        <f t="shared" ca="1" si="45"/>
        <v>1.5543122344752192E-15</v>
      </c>
      <c r="V260" s="80">
        <f t="shared" ca="1" si="46"/>
        <v>0</v>
      </c>
      <c r="W260" s="80">
        <f t="shared" ca="1" si="46"/>
        <v>0</v>
      </c>
      <c r="X260" s="80">
        <f t="shared" ca="1" si="46"/>
        <v>0</v>
      </c>
      <c r="Y260" s="80">
        <f t="shared" ca="1" si="46"/>
        <v>0</v>
      </c>
      <c r="Z260" s="80">
        <f t="shared" ca="1" si="46"/>
        <v>0</v>
      </c>
      <c r="AA260" s="80">
        <f ca="1">SUMPRODUCT(F260:Z260,FailureForCPU!E$17:Y$17)</f>
        <v>8.5024579969209894E-16</v>
      </c>
      <c r="AB260" s="80">
        <f t="shared" ca="1" si="47"/>
        <v>7.9078878084888089E-16</v>
      </c>
      <c r="AC260" s="12">
        <f t="shared" ca="1" si="48"/>
        <v>0.93007078792420972</v>
      </c>
      <c r="AD260" s="12">
        <f t="shared" ca="1" si="49"/>
        <v>0.99945298054026044</v>
      </c>
    </row>
    <row r="261" spans="1:30">
      <c r="A261" s="56">
        <v>6</v>
      </c>
      <c r="B261" s="12">
        <f t="shared" si="43"/>
        <v>1.2472558666666667</v>
      </c>
      <c r="C261" s="12">
        <f t="shared" si="44"/>
        <v>1.2977027147190525</v>
      </c>
      <c r="D261" s="23">
        <f t="array" ref="D261">MATCH(MIN(ABS(ServerTypeA!$A$106:$A$165-$C261)),ABS(ServerTypeA!$A$106:$A$165-$C261),0)</f>
        <v>13</v>
      </c>
      <c r="E261" s="23">
        <f t="array" ref="E261">INDEX(ServerTypeA!$A$106:$A$165,MATCH(MIN(ABS(ServerTypeA!$A$106:$A$165-$C261)),ABS(ServerTypeA!$A$106:$A$165-$C261),0))</f>
        <v>1.3</v>
      </c>
      <c r="F261" s="80">
        <f t="shared" ca="1" si="45"/>
        <v>0</v>
      </c>
      <c r="G261" s="80">
        <f t="shared" ca="1" si="45"/>
        <v>0.24598925078970357</v>
      </c>
      <c r="H261" s="80">
        <f t="shared" ca="1" si="45"/>
        <v>0.65226017775051437</v>
      </c>
      <c r="I261" s="80">
        <f t="shared" ca="1" si="45"/>
        <v>9.6544656117788175E-2</v>
      </c>
      <c r="J261" s="80">
        <f t="shared" ca="1" si="45"/>
        <v>4.8031733490413453E-3</v>
      </c>
      <c r="K261" s="80">
        <f t="shared" ca="1" si="45"/>
        <v>3.8585633571530664E-4</v>
      </c>
      <c r="L261" s="80">
        <f t="shared" ca="1" si="45"/>
        <v>1.5673133949012374E-5</v>
      </c>
      <c r="M261" s="80">
        <f t="shared" ca="1" si="45"/>
        <v>6.9597972307544609E-7</v>
      </c>
      <c r="N261" s="80">
        <f t="shared" ca="1" si="45"/>
        <v>3.4953464345122143E-8</v>
      </c>
      <c r="O261" s="80">
        <f t="shared" ca="1" si="45"/>
        <v>1.9994971234282843E-9</v>
      </c>
      <c r="P261" s="80">
        <f t="shared" ca="1" si="45"/>
        <v>1.2985090780404107E-10</v>
      </c>
      <c r="Q261" s="80">
        <f t="shared" ca="1" si="45"/>
        <v>9.5042862469085776E-12</v>
      </c>
      <c r="R261" s="80">
        <f t="shared" ca="1" si="45"/>
        <v>7.7737816184253461E-13</v>
      </c>
      <c r="S261" s="80">
        <f t="shared" ca="1" si="45"/>
        <v>7.049916206369744E-14</v>
      </c>
      <c r="T261" s="80">
        <f t="shared" ca="1" si="45"/>
        <v>6.9944050551384862E-15</v>
      </c>
      <c r="U261" s="80">
        <f t="shared" ca="1" si="45"/>
        <v>0</v>
      </c>
      <c r="V261" s="80">
        <f t="shared" ca="1" si="46"/>
        <v>0</v>
      </c>
      <c r="W261" s="80">
        <f t="shared" ca="1" si="46"/>
        <v>0</v>
      </c>
      <c r="X261" s="80">
        <f t="shared" ca="1" si="46"/>
        <v>0</v>
      </c>
      <c r="Y261" s="80">
        <f t="shared" ca="1" si="46"/>
        <v>0</v>
      </c>
      <c r="Z261" s="80">
        <f t="shared" ca="1" si="46"/>
        <v>0</v>
      </c>
      <c r="AA261" s="80">
        <f ca="1">SUMPRODUCT(F261:Z261,FailureForCPU!E$17:Y$17)</f>
        <v>7.0406643478312012E-16</v>
      </c>
      <c r="AB261" s="80">
        <f t="shared" ca="1" si="47"/>
        <v>9.1366892376061975E-16</v>
      </c>
      <c r="AC261" s="12">
        <f t="shared" ca="1" si="48"/>
        <v>1.2977027147190516</v>
      </c>
      <c r="AD261" s="12">
        <f t="shared" ca="1" si="49"/>
        <v>0.99999952054960639</v>
      </c>
    </row>
    <row r="262" spans="1:30">
      <c r="A262" s="56">
        <v>7</v>
      </c>
      <c r="B262" s="12">
        <f t="shared" si="43"/>
        <v>1.427451456896552</v>
      </c>
      <c r="C262" s="12">
        <f t="shared" si="44"/>
        <v>1.4851865445178816</v>
      </c>
      <c r="D262" s="23">
        <f t="array" ref="D262">MATCH(MIN(ABS(ServerTypeA!$A$106:$A$165-$C262)),ABS(ServerTypeA!$A$106:$A$165-$C262),0)</f>
        <v>15</v>
      </c>
      <c r="E262" s="23">
        <f t="array" ref="E262">INDEX(ServerTypeA!$A$106:$A$165,MATCH(MIN(ABS(ServerTypeA!$A$106:$A$165-$C262)),ABS(ServerTypeA!$A$106:$A$165-$C262),0))</f>
        <v>1.5</v>
      </c>
      <c r="F262" s="80">
        <f t="shared" ca="1" si="45"/>
        <v>0</v>
      </c>
      <c r="G262" s="80">
        <f t="shared" ca="1" si="45"/>
        <v>0.1119093253238798</v>
      </c>
      <c r="H262" s="80">
        <f t="shared" ca="1" si="45"/>
        <v>0.69550715681810971</v>
      </c>
      <c r="I262" s="80">
        <f t="shared" ca="1" si="45"/>
        <v>0.1800922260471941</v>
      </c>
      <c r="J262" s="80">
        <f t="shared" ca="1" si="45"/>
        <v>1.146260311444558E-2</v>
      </c>
      <c r="K262" s="80">
        <f t="shared" ca="1" si="45"/>
        <v>9.8711866178513574E-4</v>
      </c>
      <c r="L262" s="80">
        <f t="shared" ca="1" si="45"/>
        <v>3.9827292828142902E-5</v>
      </c>
      <c r="M262" s="80">
        <f t="shared" ca="1" si="45"/>
        <v>1.6572984671281432E-6</v>
      </c>
      <c r="N262" s="80">
        <f t="shared" ca="1" si="45"/>
        <v>7.5399776755524783E-8</v>
      </c>
      <c r="O262" s="80">
        <f t="shared" ca="1" si="45"/>
        <v>3.8287484294130536E-9</v>
      </c>
      <c r="P262" s="80">
        <f t="shared" ca="1" si="45"/>
        <v>2.1801438432333953E-10</v>
      </c>
      <c r="Q262" s="80">
        <f t="shared" ca="1" si="45"/>
        <v>1.3888334926548396E-11</v>
      </c>
      <c r="R262" s="80">
        <f t="shared" ca="1" si="45"/>
        <v>9.8454577823758882E-13</v>
      </c>
      <c r="S262" s="80">
        <f t="shared" ca="1" si="45"/>
        <v>7.716050021144838E-14</v>
      </c>
      <c r="T262" s="80">
        <f t="shared" ca="1" si="45"/>
        <v>6.6613381477509392E-15</v>
      </c>
      <c r="U262" s="80">
        <f t="shared" ca="1" si="45"/>
        <v>0</v>
      </c>
      <c r="V262" s="80">
        <f t="shared" ca="1" si="46"/>
        <v>0</v>
      </c>
      <c r="W262" s="80">
        <f t="shared" ca="1" si="46"/>
        <v>0</v>
      </c>
      <c r="X262" s="80">
        <f t="shared" ca="1" si="46"/>
        <v>0</v>
      </c>
      <c r="Y262" s="80">
        <f t="shared" ca="1" si="46"/>
        <v>0</v>
      </c>
      <c r="Z262" s="80">
        <f t="shared" ca="1" si="46"/>
        <v>0</v>
      </c>
      <c r="AA262" s="80">
        <f ca="1">SUMPRODUCT(F262:Z262,FailureForCPU!E$17:Y$17)</f>
        <v>7.5402647089125218E-16</v>
      </c>
      <c r="AB262" s="80">
        <f t="shared" ca="1" si="47"/>
        <v>1.1198699687779919E-15</v>
      </c>
      <c r="AC262" s="12">
        <f t="shared" ca="1" si="48"/>
        <v>1.4851865445178805</v>
      </c>
      <c r="AD262" s="12">
        <f t="shared" ca="1" si="49"/>
        <v>0.99999999401820583</v>
      </c>
    </row>
    <row r="263" spans="1:30">
      <c r="A263" s="56">
        <v>8</v>
      </c>
      <c r="B263" s="12">
        <f t="shared" si="43"/>
        <v>1.6331402586206896</v>
      </c>
      <c r="C263" s="12">
        <f t="shared" si="44"/>
        <v>1.6991946911366524</v>
      </c>
      <c r="D263" s="23">
        <f t="array" ref="D263">MATCH(MIN(ABS(ServerTypeA!$A$106:$A$165-$C263)),ABS(ServerTypeA!$A$106:$A$165-$C263),0)</f>
        <v>17</v>
      </c>
      <c r="E263" s="23">
        <f t="array" ref="E263">INDEX(ServerTypeA!$A$106:$A$165,MATCH(MIN(ABS(ServerTypeA!$A$106:$A$165-$C263)),ABS(ServerTypeA!$A$106:$A$165-$C263),0))</f>
        <v>1.7</v>
      </c>
      <c r="F263" s="80">
        <f t="shared" ca="1" si="45"/>
        <v>0</v>
      </c>
      <c r="G263" s="80">
        <f t="shared" ca="1" si="45"/>
        <v>4.1463030082338738E-2</v>
      </c>
      <c r="H263" s="80">
        <f t="shared" ca="1" si="45"/>
        <v>0.64122709160290614</v>
      </c>
      <c r="I263" s="80">
        <f t="shared" ca="1" si="45"/>
        <v>0.2905306516274746</v>
      </c>
      <c r="J263" s="80">
        <f t="shared" ca="1" si="45"/>
        <v>2.4382888062965291E-2</v>
      </c>
      <c r="K263" s="80">
        <f t="shared" ca="1" si="45"/>
        <v>2.2986485457712202E-3</v>
      </c>
      <c r="L263" s="80">
        <f t="shared" ca="1" si="45"/>
        <v>9.3823013921801035E-5</v>
      </c>
      <c r="M263" s="80">
        <f t="shared" ca="1" si="45"/>
        <v>3.7055641501915204E-6</v>
      </c>
      <c r="N263" s="80">
        <f t="shared" ca="1" si="45"/>
        <v>1.5409524256604357E-7</v>
      </c>
      <c r="O263" s="80">
        <f t="shared" ca="1" si="45"/>
        <v>6.9896542997938127E-9</v>
      </c>
      <c r="P263" s="80">
        <f t="shared" ca="1" si="45"/>
        <v>3.5048364210865657E-10</v>
      </c>
      <c r="Q263" s="80">
        <f t="shared" ca="1" si="45"/>
        <v>1.9488410885060148E-11</v>
      </c>
      <c r="R263" s="80">
        <f t="shared" ca="1" si="45"/>
        <v>1.1994849558050191E-12</v>
      </c>
      <c r="S263" s="80">
        <f t="shared" ca="1" si="45"/>
        <v>8.149037000748649E-14</v>
      </c>
      <c r="T263" s="80">
        <f t="shared" ca="1" si="45"/>
        <v>5.9952043329758453E-15</v>
      </c>
      <c r="U263" s="80">
        <f t="shared" ca="1" si="45"/>
        <v>0</v>
      </c>
      <c r="V263" s="80">
        <f t="shared" ca="1" si="46"/>
        <v>0</v>
      </c>
      <c r="W263" s="80">
        <f t="shared" ca="1" si="46"/>
        <v>0</v>
      </c>
      <c r="X263" s="80">
        <f t="shared" ca="1" si="46"/>
        <v>0</v>
      </c>
      <c r="Y263" s="80">
        <f t="shared" ca="1" si="46"/>
        <v>0</v>
      </c>
      <c r="Z263" s="80">
        <f t="shared" ca="1" si="46"/>
        <v>0</v>
      </c>
      <c r="AA263" s="80">
        <f ca="1">SUMPRODUCT(F263:Z263,FailureForCPU!E$17:Y$17)</f>
        <v>7.7900648894531817E-16</v>
      </c>
      <c r="AB263" s="80">
        <f t="shared" ca="1" si="47"/>
        <v>1.3236836903768879E-15</v>
      </c>
      <c r="AC263" s="12">
        <f t="shared" ca="1" si="48"/>
        <v>1.6991946911366511</v>
      </c>
      <c r="AD263" s="12">
        <f t="shared" ca="1" si="49"/>
        <v>0.99999999995568389</v>
      </c>
    </row>
    <row r="264" spans="1:30">
      <c r="A264" s="56">
        <v>9</v>
      </c>
      <c r="B264" s="12">
        <f t="shared" si="43"/>
        <v>1.8079739655172413</v>
      </c>
      <c r="C264" s="12">
        <f t="shared" si="44"/>
        <v>1.8810997694189464</v>
      </c>
      <c r="D264" s="23">
        <f t="array" ref="D264">MATCH(MIN(ABS(ServerTypeA!$A$106:$A$165-$C264)),ABS(ServerTypeA!$A$106:$A$165-$C264),0)</f>
        <v>19</v>
      </c>
      <c r="E264" s="23">
        <f t="array" ref="E264">INDEX(ServerTypeA!$A$106:$A$165,MATCH(MIN(ABS(ServerTypeA!$A$106:$A$165-$C264)),ABS(ServerTypeA!$A$106:$A$165-$C264),0))</f>
        <v>1.9</v>
      </c>
      <c r="F264" s="80">
        <f t="shared" ca="1" si="45"/>
        <v>0</v>
      </c>
      <c r="G264" s="80">
        <f t="shared" ca="1" si="45"/>
        <v>1.2621865999516303E-2</v>
      </c>
      <c r="H264" s="80">
        <f t="shared" ca="1" si="45"/>
        <v>0.52528878486634523</v>
      </c>
      <c r="I264" s="80">
        <f t="shared" ca="1" si="45"/>
        <v>0.41072465110529444</v>
      </c>
      <c r="J264" s="80">
        <f t="shared" ca="1" si="45"/>
        <v>4.6306751129439827E-2</v>
      </c>
      <c r="K264" s="80">
        <f t="shared" ca="1" si="45"/>
        <v>4.8475736171164074E-3</v>
      </c>
      <c r="L264" s="80">
        <f t="shared" ca="1" si="45"/>
        <v>2.0243099489947181E-4</v>
      </c>
      <c r="M264" s="80">
        <f t="shared" ca="1" si="45"/>
        <v>7.6385860107164305E-6</v>
      </c>
      <c r="N264" s="80">
        <f t="shared" ca="1" si="45"/>
        <v>2.9133435353045911E-7</v>
      </c>
      <c r="O264" s="80">
        <f t="shared" ca="1" si="45"/>
        <v>1.1818426459697662E-8</v>
      </c>
      <c r="P264" s="80">
        <f t="shared" ca="1" si="45"/>
        <v>5.2168114272888033E-10</v>
      </c>
      <c r="Q264" s="80">
        <f t="shared" ca="1" si="45"/>
        <v>2.5282886895183765E-11</v>
      </c>
      <c r="R264" s="80">
        <f t="shared" ca="1" si="45"/>
        <v>1.3480327964998651E-12</v>
      </c>
      <c r="S264" s="80">
        <f t="shared" ca="1" si="45"/>
        <v>7.893685705084863E-14</v>
      </c>
      <c r="T264" s="80">
        <f t="shared" ca="1" si="45"/>
        <v>5.1070259132757201E-15</v>
      </c>
      <c r="U264" s="80">
        <f t="shared" ca="1" si="45"/>
        <v>0</v>
      </c>
      <c r="V264" s="80">
        <f t="shared" ca="1" si="46"/>
        <v>0</v>
      </c>
      <c r="W264" s="80">
        <f t="shared" ca="1" si="46"/>
        <v>0</v>
      </c>
      <c r="X264" s="80">
        <f t="shared" ca="1" si="46"/>
        <v>0</v>
      </c>
      <c r="Y264" s="80">
        <f t="shared" ca="1" si="46"/>
        <v>0</v>
      </c>
      <c r="Z264" s="80">
        <f t="shared" ca="1" si="46"/>
        <v>0</v>
      </c>
      <c r="AA264" s="80">
        <f ca="1">SUMPRODUCT(F264:Z264,FailureForCPU!E$17:Y$17)</f>
        <v>7.4292424064500056E-16</v>
      </c>
      <c r="AB264" s="80">
        <f t="shared" ca="1" si="47"/>
        <v>1.3975146177730564E-15</v>
      </c>
      <c r="AC264" s="12">
        <f t="shared" ca="1" si="48"/>
        <v>1.8810997694189451</v>
      </c>
      <c r="AD264" s="12">
        <f t="shared" ca="1" si="49"/>
        <v>0.99999999999979849</v>
      </c>
    </row>
    <row r="265" spans="1:30">
      <c r="A265" s="56">
        <v>10</v>
      </c>
      <c r="B265" s="12">
        <f t="shared" si="43"/>
        <v>1.9315643166666667</v>
      </c>
      <c r="C265" s="12">
        <f t="shared" si="44"/>
        <v>2.0096888893309024</v>
      </c>
      <c r="D265" s="23">
        <f t="array" ref="D265">MATCH(MIN(ABS(ServerTypeA!$A$106:$A$165-$C265)),ABS(ServerTypeA!$A$106:$A$165-$C265),0)</f>
        <v>20</v>
      </c>
      <c r="E265" s="23">
        <f t="array" ref="E265">INDEX(ServerTypeA!$A$106:$A$165,MATCH(MIN(ABS(ServerTypeA!$A$106:$A$165-$C265)),ABS(ServerTypeA!$A$106:$A$165-$C265),0))</f>
        <v>2</v>
      </c>
      <c r="F265" s="80">
        <f t="shared" ca="1" si="45"/>
        <v>0</v>
      </c>
      <c r="G265" s="80">
        <f t="shared" ca="1" si="45"/>
        <v>6.4882558968740569E-3</v>
      </c>
      <c r="H265" s="80">
        <f t="shared" ca="1" si="45"/>
        <v>0.45773957032610912</v>
      </c>
      <c r="I265" s="80">
        <f t="shared" ca="1" si="45"/>
        <v>0.46733225910107257</v>
      </c>
      <c r="J265" s="80">
        <f t="shared" ca="1" si="45"/>
        <v>6.1346451119754675E-2</v>
      </c>
      <c r="K265" s="80">
        <f t="shared" ca="1" si="45"/>
        <v>6.7946249034726014E-3</v>
      </c>
      <c r="L265" s="80">
        <f t="shared" ca="1" si="45"/>
        <v>2.8780670345651682E-4</v>
      </c>
      <c r="M265" s="80">
        <f t="shared" ca="1" si="45"/>
        <v>1.0628172429583138E-5</v>
      </c>
      <c r="N265" s="80">
        <f t="shared" ca="1" si="45"/>
        <v>3.8824666881431824E-7</v>
      </c>
      <c r="O265" s="80">
        <f t="shared" ca="1" si="45"/>
        <v>1.4885105814599342E-8</v>
      </c>
      <c r="P265" s="80">
        <f t="shared" ca="1" si="45"/>
        <v>6.1576810317376385E-10</v>
      </c>
      <c r="Q265" s="80">
        <f t="shared" ca="1" si="45"/>
        <v>2.7819080372637472E-11</v>
      </c>
      <c r="R265" s="80">
        <f t="shared" ca="1" si="45"/>
        <v>1.3781198404672068E-12</v>
      </c>
      <c r="S265" s="80">
        <f t="shared" ca="1" si="45"/>
        <v>7.4829031859735551E-14</v>
      </c>
      <c r="T265" s="80">
        <f t="shared" ca="1" si="45"/>
        <v>4.4408920985006262E-15</v>
      </c>
      <c r="U265" s="80">
        <f t="shared" ca="1" si="45"/>
        <v>0</v>
      </c>
      <c r="V265" s="80">
        <f t="shared" ca="1" si="46"/>
        <v>0</v>
      </c>
      <c r="W265" s="80">
        <f t="shared" ca="1" si="46"/>
        <v>0</v>
      </c>
      <c r="X265" s="80">
        <f t="shared" ca="1" si="46"/>
        <v>0</v>
      </c>
      <c r="Y265" s="80">
        <f t="shared" ca="1" si="46"/>
        <v>0</v>
      </c>
      <c r="Z265" s="80">
        <f t="shared" ca="1" si="46"/>
        <v>0</v>
      </c>
      <c r="AA265" s="80">
        <f ca="1">SUMPRODUCT(F265:Z265,FailureForCPU!E$17:Y$17)</f>
        <v>6.9759013380614001E-16</v>
      </c>
      <c r="AB265" s="80">
        <f t="shared" ca="1" si="47"/>
        <v>1.4019391412170572E-15</v>
      </c>
      <c r="AC265" s="12">
        <f t="shared" ca="1" si="48"/>
        <v>2.0096888893309011</v>
      </c>
      <c r="AD265" s="12">
        <f t="shared" ca="1" si="49"/>
        <v>0.99999999999998834</v>
      </c>
    </row>
    <row r="266" spans="1:30">
      <c r="A266" s="56">
        <v>11</v>
      </c>
      <c r="B266" s="12">
        <f t="shared" si="43"/>
        <v>2.03022415</v>
      </c>
      <c r="C266" s="12">
        <f t="shared" si="44"/>
        <v>2.1123391449617404</v>
      </c>
      <c r="D266" s="23">
        <f t="array" ref="D266">MATCH(MIN(ABS(ServerTypeA!$A$106:$A$165-$C266)),ABS(ServerTypeA!$A$106:$A$165-$C266),0)</f>
        <v>21</v>
      </c>
      <c r="E266" s="23">
        <f t="array" ref="E266">INDEX(ServerTypeA!$A$106:$A$165,MATCH(MIN(ABS(ServerTypeA!$A$106:$A$165-$C266)),ABS(ServerTypeA!$A$106:$A$165-$C266),0))</f>
        <v>2.1</v>
      </c>
      <c r="F266" s="80">
        <f t="shared" ca="1" si="45"/>
        <v>0</v>
      </c>
      <c r="G266" s="80">
        <f t="shared" ca="1" si="45"/>
        <v>3.18466237266911E-3</v>
      </c>
      <c r="H266" s="80">
        <f t="shared" ca="1" si="45"/>
        <v>0.38977686698309044</v>
      </c>
      <c r="I266" s="80">
        <f t="shared" ca="1" si="45"/>
        <v>0.51796218850113263</v>
      </c>
      <c r="J266" s="80">
        <f t="shared" ca="1" si="45"/>
        <v>7.9340938760323443E-2</v>
      </c>
      <c r="K266" s="80">
        <f t="shared" ca="1" si="45"/>
        <v>9.3193138384064511E-3</v>
      </c>
      <c r="L266" s="80">
        <f t="shared" ca="1" si="45"/>
        <v>4.0100499033179915E-4</v>
      </c>
      <c r="M266" s="80">
        <f t="shared" ca="1" si="45"/>
        <v>1.4498328848588926E-5</v>
      </c>
      <c r="N266" s="80">
        <f t="shared" ca="1" si="45"/>
        <v>5.0712178423228949E-7</v>
      </c>
      <c r="O266" s="80">
        <f t="shared" ca="1" si="45"/>
        <v>1.8361006159928195E-8</v>
      </c>
      <c r="P266" s="80">
        <f t="shared" ca="1" si="45"/>
        <v>7.110533273291253E-10</v>
      </c>
      <c r="Q266" s="80">
        <f t="shared" ca="1" si="45"/>
        <v>2.9905744547420454E-11</v>
      </c>
      <c r="R266" s="80">
        <f t="shared" ca="1" si="45"/>
        <v>1.3743450821834813E-12</v>
      </c>
      <c r="S266" s="80">
        <f t="shared" ca="1" si="45"/>
        <v>6.9166894434147252E-14</v>
      </c>
      <c r="T266" s="80">
        <f t="shared" ca="1" si="45"/>
        <v>3.7747582837255322E-15</v>
      </c>
      <c r="U266" s="80">
        <f t="shared" ca="1" si="45"/>
        <v>0</v>
      </c>
      <c r="V266" s="80">
        <f t="shared" ca="1" si="46"/>
        <v>0</v>
      </c>
      <c r="W266" s="80">
        <f t="shared" ca="1" si="46"/>
        <v>0</v>
      </c>
      <c r="X266" s="80">
        <f t="shared" ca="1" si="46"/>
        <v>0</v>
      </c>
      <c r="Y266" s="80">
        <f t="shared" ca="1" si="46"/>
        <v>0</v>
      </c>
      <c r="Z266" s="80">
        <f t="shared" ca="1" si="46"/>
        <v>0</v>
      </c>
      <c r="AA266" s="80">
        <f ca="1">SUMPRODUCT(F266:Z266,FailureForCPU!E$17:Y$17)</f>
        <v>6.3930342501331926E-16</v>
      </c>
      <c r="AB266" s="80">
        <f t="shared" ca="1" si="47"/>
        <v>1.3504256501637469E-15</v>
      </c>
      <c r="AC266" s="12">
        <f t="shared" ca="1" si="48"/>
        <v>2.112339144961739</v>
      </c>
      <c r="AD266" s="12">
        <f t="shared" ca="1" si="49"/>
        <v>0.99999999999999922</v>
      </c>
    </row>
    <row r="267" spans="1:30">
      <c r="A267" s="56">
        <v>12</v>
      </c>
      <c r="B267" s="12">
        <f t="shared" si="43"/>
        <v>2.2896160166666668</v>
      </c>
      <c r="C267" s="12">
        <f t="shared" si="44"/>
        <v>2.3822224452094973</v>
      </c>
      <c r="D267" s="23">
        <f t="array" ref="D267">MATCH(MIN(ABS(ServerTypeA!$A$106:$A$165-$C267)),ABS(ServerTypeA!$A$106:$A$165-$C267),0)</f>
        <v>24</v>
      </c>
      <c r="E267" s="23">
        <f t="array" ref="E267">INDEX(ServerTypeA!$A$106:$A$165,MATCH(MIN(ABS(ServerTypeA!$A$106:$A$165-$C267)),ABS(ServerTypeA!$A$106:$A$165-$C267),0))</f>
        <v>2.4</v>
      </c>
      <c r="F267" s="80">
        <f t="shared" ca="1" si="45"/>
        <v>0</v>
      </c>
      <c r="G267" s="80">
        <f t="shared" ca="1" si="45"/>
        <v>2.8426728755026604E-4</v>
      </c>
      <c r="H267" s="80">
        <f t="shared" ca="1" si="45"/>
        <v>0.21080743577880634</v>
      </c>
      <c r="I267" s="80">
        <f t="shared" ca="1" si="45"/>
        <v>0.61494753029451921</v>
      </c>
      <c r="J267" s="80">
        <f t="shared" ca="1" si="45"/>
        <v>0.15142184347630239</v>
      </c>
      <c r="K267" s="80">
        <f t="shared" ca="1" si="45"/>
        <v>2.1524552035688482E-2</v>
      </c>
      <c r="L267" s="80">
        <f t="shared" ca="1" si="45"/>
        <v>9.7998094599649477E-4</v>
      </c>
      <c r="M267" s="80">
        <f t="shared" ca="1" si="45"/>
        <v>3.3336683584073157E-5</v>
      </c>
      <c r="N267" s="80">
        <f t="shared" ca="1" si="45"/>
        <v>1.0215000042501643E-6</v>
      </c>
      <c r="O267" s="80">
        <f t="shared" ca="1" si="45"/>
        <v>3.0986197496751799E-8</v>
      </c>
      <c r="P267" s="80">
        <f t="shared" ca="1" si="45"/>
        <v>9.7723673597727156E-10</v>
      </c>
      <c r="Q267" s="80">
        <f t="shared" ca="1" si="45"/>
        <v>3.2870595134681935E-11</v>
      </c>
      <c r="R267" s="80">
        <f t="shared" ca="1" si="45"/>
        <v>1.1943779298917434E-12</v>
      </c>
      <c r="S267" s="80">
        <f t="shared" ca="1" si="45"/>
        <v>4.7184478546569153E-14</v>
      </c>
      <c r="T267" s="80">
        <f t="shared" ca="1" si="45"/>
        <v>1.9984014443252818E-15</v>
      </c>
      <c r="U267" s="80">
        <f t="shared" ca="1" si="45"/>
        <v>0</v>
      </c>
      <c r="V267" s="80">
        <f t="shared" ca="1" si="46"/>
        <v>0</v>
      </c>
      <c r="W267" s="80">
        <f t="shared" ca="1" si="46"/>
        <v>0</v>
      </c>
      <c r="X267" s="80">
        <f t="shared" ca="1" si="46"/>
        <v>0</v>
      </c>
      <c r="Y267" s="80">
        <f t="shared" ca="1" si="46"/>
        <v>0</v>
      </c>
      <c r="Z267" s="80">
        <f t="shared" ca="1" si="46"/>
        <v>0</v>
      </c>
      <c r="AA267" s="80">
        <f ca="1">SUMPRODUCT(F267:Z267,FailureForCPU!E$17:Y$17)</f>
        <v>4.2651067862683093E-16</v>
      </c>
      <c r="AB267" s="80">
        <f t="shared" ca="1" si="47"/>
        <v>1.0160433117463712E-15</v>
      </c>
      <c r="AC267" s="12">
        <f t="shared" ca="1" si="48"/>
        <v>2.3822224452094964</v>
      </c>
      <c r="AD267" s="12">
        <f t="shared" ca="1" si="49"/>
        <v>0.99999999999999989</v>
      </c>
    </row>
    <row r="268" spans="1:30">
      <c r="A268" s="56">
        <v>13</v>
      </c>
      <c r="B268" s="12">
        <f t="shared" si="43"/>
        <v>2.2934009304597702</v>
      </c>
      <c r="C268" s="12">
        <f t="shared" si="44"/>
        <v>2.386160444649351</v>
      </c>
      <c r="D268" s="23">
        <f t="array" ref="D268">MATCH(MIN(ABS(ServerTypeA!$A$106:$A$165-$C268)),ABS(ServerTypeA!$A$106:$A$165-$C268),0)</f>
        <v>24</v>
      </c>
      <c r="E268" s="23">
        <f t="array" ref="E268">INDEX(ServerTypeA!$A$106:$A$165,MATCH(MIN(ABS(ServerTypeA!$A$106:$A$165-$C268)),ABS(ServerTypeA!$A$106:$A$165-$C268),0))</f>
        <v>2.4</v>
      </c>
      <c r="F268" s="80">
        <f t="shared" ca="1" si="45"/>
        <v>0</v>
      </c>
      <c r="G268" s="80">
        <f t="shared" ca="1" si="45"/>
        <v>2.8426728755026604E-4</v>
      </c>
      <c r="H268" s="80">
        <f t="shared" ca="1" si="45"/>
        <v>0.21080743577880634</v>
      </c>
      <c r="I268" s="80">
        <f t="shared" ca="1" si="45"/>
        <v>0.61494753029451921</v>
      </c>
      <c r="J268" s="80">
        <f t="shared" ca="1" si="45"/>
        <v>0.15142184347630239</v>
      </c>
      <c r="K268" s="80">
        <f t="shared" ca="1" si="45"/>
        <v>2.1524552035688482E-2</v>
      </c>
      <c r="L268" s="80">
        <f t="shared" ca="1" si="45"/>
        <v>9.7998094599649477E-4</v>
      </c>
      <c r="M268" s="80">
        <f t="shared" ca="1" si="45"/>
        <v>3.3336683584073157E-5</v>
      </c>
      <c r="N268" s="80">
        <f t="shared" ca="1" si="45"/>
        <v>1.0215000042501643E-6</v>
      </c>
      <c r="O268" s="80">
        <f t="shared" ca="1" si="45"/>
        <v>3.0986197496751799E-8</v>
      </c>
      <c r="P268" s="80">
        <f t="shared" ca="1" si="45"/>
        <v>9.7723673597727156E-10</v>
      </c>
      <c r="Q268" s="80">
        <f t="shared" ca="1" si="45"/>
        <v>3.2870595134681935E-11</v>
      </c>
      <c r="R268" s="80">
        <f t="shared" ca="1" si="45"/>
        <v>1.1943779298917434E-12</v>
      </c>
      <c r="S268" s="80">
        <f t="shared" ca="1" si="45"/>
        <v>4.7184478546569153E-14</v>
      </c>
      <c r="T268" s="80">
        <f t="shared" ca="1" si="45"/>
        <v>1.9984014443252818E-15</v>
      </c>
      <c r="U268" s="80">
        <f t="shared" ca="1" si="45"/>
        <v>0</v>
      </c>
      <c r="V268" s="80">
        <f t="shared" ca="1" si="46"/>
        <v>0</v>
      </c>
      <c r="W268" s="80">
        <f t="shared" ca="1" si="46"/>
        <v>0</v>
      </c>
      <c r="X268" s="80">
        <f t="shared" ca="1" si="46"/>
        <v>0</v>
      </c>
      <c r="Y268" s="80">
        <f t="shared" ca="1" si="46"/>
        <v>0</v>
      </c>
      <c r="Z268" s="80">
        <f t="shared" ca="1" si="46"/>
        <v>0</v>
      </c>
      <c r="AA268" s="80">
        <f ca="1">SUMPRODUCT(F268:Z268,FailureForCPU!E$17:Y$17)</f>
        <v>4.2651067862683093E-16</v>
      </c>
      <c r="AB268" s="80">
        <f t="shared" ca="1" si="47"/>
        <v>1.0177229105598954E-15</v>
      </c>
      <c r="AC268" s="12">
        <f t="shared" ca="1" si="48"/>
        <v>2.3861604446493501</v>
      </c>
      <c r="AD268" s="12">
        <f t="shared" ca="1" si="49"/>
        <v>0.99999999999999989</v>
      </c>
    </row>
    <row r="269" spans="1:30">
      <c r="A269" s="56">
        <v>14</v>
      </c>
      <c r="B269" s="12">
        <f t="shared" si="43"/>
        <v>2.3540504500000003</v>
      </c>
      <c r="C269" s="12">
        <f t="shared" si="44"/>
        <v>2.4492630110570799</v>
      </c>
      <c r="D269" s="23">
        <f t="array" ref="D269">MATCH(MIN(ABS(ServerTypeA!$A$106:$A$165-$C269)),ABS(ServerTypeA!$A$106:$A$165-$C269),0)</f>
        <v>24</v>
      </c>
      <c r="E269" s="23">
        <f t="array" ref="E269">INDEX(ServerTypeA!$A$106:$A$165,MATCH(MIN(ABS(ServerTypeA!$A$106:$A$165-$C269)),ABS(ServerTypeA!$A$106:$A$165-$C269),0))</f>
        <v>2.4</v>
      </c>
      <c r="F269" s="80">
        <f t="shared" ca="1" si="45"/>
        <v>0</v>
      </c>
      <c r="G269" s="80">
        <f t="shared" ca="1" si="45"/>
        <v>2.8426728755026604E-4</v>
      </c>
      <c r="H269" s="80">
        <f t="shared" ca="1" si="45"/>
        <v>0.21080743577880634</v>
      </c>
      <c r="I269" s="80">
        <f t="shared" ca="1" si="45"/>
        <v>0.61494753029451921</v>
      </c>
      <c r="J269" s="80">
        <f t="shared" ca="1" si="45"/>
        <v>0.15142184347630239</v>
      </c>
      <c r="K269" s="80">
        <f t="shared" ca="1" si="45"/>
        <v>2.1524552035688482E-2</v>
      </c>
      <c r="L269" s="80">
        <f t="shared" ca="1" si="45"/>
        <v>9.7998094599649477E-4</v>
      </c>
      <c r="M269" s="80">
        <f t="shared" ca="1" si="45"/>
        <v>3.3336683584073157E-5</v>
      </c>
      <c r="N269" s="80">
        <f t="shared" ca="1" si="45"/>
        <v>1.0215000042501643E-6</v>
      </c>
      <c r="O269" s="80">
        <f t="shared" ca="1" si="45"/>
        <v>3.0986197496751799E-8</v>
      </c>
      <c r="P269" s="80">
        <f t="shared" ca="1" si="45"/>
        <v>9.7723673597727156E-10</v>
      </c>
      <c r="Q269" s="80">
        <f t="shared" ca="1" si="45"/>
        <v>3.2870595134681935E-11</v>
      </c>
      <c r="R269" s="80">
        <f t="shared" ca="1" si="45"/>
        <v>1.1943779298917434E-12</v>
      </c>
      <c r="S269" s="80">
        <f t="shared" ca="1" si="45"/>
        <v>4.7184478546569153E-14</v>
      </c>
      <c r="T269" s="80">
        <f t="shared" ca="1" si="45"/>
        <v>1.9984014443252818E-15</v>
      </c>
      <c r="U269" s="80">
        <f t="shared" ca="1" si="45"/>
        <v>0</v>
      </c>
      <c r="V269" s="80">
        <f t="shared" ca="1" si="46"/>
        <v>0</v>
      </c>
      <c r="W269" s="80">
        <f t="shared" ca="1" si="46"/>
        <v>0</v>
      </c>
      <c r="X269" s="80">
        <f t="shared" ca="1" si="46"/>
        <v>0</v>
      </c>
      <c r="Y269" s="80">
        <f t="shared" ca="1" si="46"/>
        <v>0</v>
      </c>
      <c r="Z269" s="80">
        <f t="shared" ca="1" si="46"/>
        <v>0</v>
      </c>
      <c r="AA269" s="80">
        <f ca="1">SUMPRODUCT(F269:Z269,FailureForCPU!E$17:Y$17)</f>
        <v>4.2651067862683093E-16</v>
      </c>
      <c r="AB269" s="80">
        <f t="shared" ca="1" si="47"/>
        <v>1.0446368289815505E-15</v>
      </c>
      <c r="AC269" s="12">
        <f t="shared" ca="1" si="48"/>
        <v>2.449263011057079</v>
      </c>
      <c r="AD269" s="12">
        <f t="shared" ca="1" si="49"/>
        <v>0.99999999999999989</v>
      </c>
    </row>
    <row r="270" spans="1:30">
      <c r="A270" s="56">
        <v>15</v>
      </c>
      <c r="B270" s="12">
        <f t="shared" si="43"/>
        <v>2.3404022586206894</v>
      </c>
      <c r="C270" s="12">
        <f t="shared" si="44"/>
        <v>2.4350628012386482</v>
      </c>
      <c r="D270" s="23">
        <f t="array" ref="D270">MATCH(MIN(ABS(ServerTypeA!$A$106:$A$165-$C270)),ABS(ServerTypeA!$A$106:$A$165-$C270),0)</f>
        <v>24</v>
      </c>
      <c r="E270" s="23">
        <f t="array" ref="E270">INDEX(ServerTypeA!$A$106:$A$165,MATCH(MIN(ABS(ServerTypeA!$A$106:$A$165-$C270)),ABS(ServerTypeA!$A$106:$A$165-$C270),0))</f>
        <v>2.4</v>
      </c>
      <c r="F270" s="80">
        <f t="shared" ca="1" si="45"/>
        <v>0</v>
      </c>
      <c r="G270" s="80">
        <f t="shared" ca="1" si="45"/>
        <v>2.8426728755026604E-4</v>
      </c>
      <c r="H270" s="80">
        <f t="shared" ca="1" si="45"/>
        <v>0.21080743577880634</v>
      </c>
      <c r="I270" s="80">
        <f t="shared" ca="1" si="45"/>
        <v>0.61494753029451921</v>
      </c>
      <c r="J270" s="80">
        <f t="shared" ca="1" si="45"/>
        <v>0.15142184347630239</v>
      </c>
      <c r="K270" s="80">
        <f t="shared" ca="1" si="45"/>
        <v>2.1524552035688482E-2</v>
      </c>
      <c r="L270" s="80">
        <f t="shared" ca="1" si="45"/>
        <v>9.7998094599649477E-4</v>
      </c>
      <c r="M270" s="80">
        <f t="shared" ca="1" si="45"/>
        <v>3.3336683584073157E-5</v>
      </c>
      <c r="N270" s="80">
        <f t="shared" ca="1" si="45"/>
        <v>1.0215000042501643E-6</v>
      </c>
      <c r="O270" s="80">
        <f t="shared" ca="1" si="45"/>
        <v>3.0986197496751799E-8</v>
      </c>
      <c r="P270" s="80">
        <f t="shared" ca="1" si="45"/>
        <v>9.7723673597727156E-10</v>
      </c>
      <c r="Q270" s="80">
        <f t="shared" ca="1" si="45"/>
        <v>3.2870595134681935E-11</v>
      </c>
      <c r="R270" s="80">
        <f t="shared" ca="1" si="45"/>
        <v>1.1943779298917434E-12</v>
      </c>
      <c r="S270" s="80">
        <f t="shared" ca="1" si="45"/>
        <v>4.7184478546569153E-14</v>
      </c>
      <c r="T270" s="80">
        <f t="shared" ca="1" si="45"/>
        <v>1.9984014443252818E-15</v>
      </c>
      <c r="U270" s="80">
        <f t="shared" ref="U270:AD283" ca="1" si="50">OFFSET($B$106,$D270-1,U$221,1,1)</f>
        <v>0</v>
      </c>
      <c r="V270" s="80">
        <f t="shared" ca="1" si="50"/>
        <v>0</v>
      </c>
      <c r="W270" s="80">
        <f t="shared" ca="1" si="50"/>
        <v>0</v>
      </c>
      <c r="X270" s="80">
        <f t="shared" ca="1" si="50"/>
        <v>0</v>
      </c>
      <c r="Y270" s="80">
        <f t="shared" ca="1" si="50"/>
        <v>0</v>
      </c>
      <c r="Z270" s="80">
        <f t="shared" ca="1" si="50"/>
        <v>0</v>
      </c>
      <c r="AA270" s="80">
        <f ca="1">SUMPRODUCT(F270:Z270,FailureForCPU!E$17:Y$17)</f>
        <v>4.2651067862683093E-16</v>
      </c>
      <c r="AB270" s="80">
        <f t="shared" ca="1" si="47"/>
        <v>1.0385802878552477E-15</v>
      </c>
      <c r="AC270" s="12">
        <f t="shared" ca="1" si="48"/>
        <v>2.4350628012386473</v>
      </c>
      <c r="AD270" s="12">
        <f t="shared" ca="1" si="49"/>
        <v>0.99999999999999989</v>
      </c>
    </row>
    <row r="271" spans="1:30">
      <c r="A271" s="56">
        <v>16</v>
      </c>
      <c r="B271" s="12">
        <f t="shared" si="43"/>
        <v>2.4359785499999997</v>
      </c>
      <c r="C271" s="12">
        <f t="shared" si="44"/>
        <v>2.5345047971437733</v>
      </c>
      <c r="D271" s="23">
        <f t="array" ref="D271">MATCH(MIN(ABS(ServerTypeA!$A$106:$A$165-$C271)),ABS(ServerTypeA!$A$106:$A$165-$C271),0)</f>
        <v>25</v>
      </c>
      <c r="E271" s="23">
        <f t="array" ref="E271">INDEX(ServerTypeA!$A$106:$A$165,MATCH(MIN(ABS(ServerTypeA!$A$106:$A$165-$C271)),ABS(ServerTypeA!$A$106:$A$165-$C271),0))</f>
        <v>2.5</v>
      </c>
      <c r="F271" s="80">
        <f t="shared" ref="F271:U284" ca="1" si="51">OFFSET($B$106,$D271-1,F$221,1,1)</f>
        <v>0</v>
      </c>
      <c r="G271" s="80">
        <f t="shared" ca="1" si="51"/>
        <v>1.1499791790670066E-4</v>
      </c>
      <c r="H271" s="80">
        <f t="shared" ca="1" si="51"/>
        <v>0.16416752570049731</v>
      </c>
      <c r="I271" s="80">
        <f t="shared" ca="1" si="51"/>
        <v>0.62552516216344489</v>
      </c>
      <c r="J271" s="80">
        <f t="shared" ca="1" si="51"/>
        <v>0.1812413306300743</v>
      </c>
      <c r="K271" s="80">
        <f t="shared" ca="1" si="51"/>
        <v>2.7619976683513459E-2</v>
      </c>
      <c r="L271" s="80">
        <f t="shared" ca="1" si="51"/>
        <v>1.2867470014433779E-3</v>
      </c>
      <c r="M271" s="80">
        <f t="shared" ca="1" si="51"/>
        <v>4.2963317023358982E-5</v>
      </c>
      <c r="N271" s="80">
        <f t="shared" ca="1" si="51"/>
        <v>1.2595243311652737E-6</v>
      </c>
      <c r="O271" s="80">
        <f t="shared" ca="1" si="51"/>
        <v>3.5970585399169863E-8</v>
      </c>
      <c r="P271" s="80">
        <f t="shared" ca="1" si="51"/>
        <v>1.0571200581566131E-9</v>
      </c>
      <c r="Q271" s="80">
        <f t="shared" ca="1" si="51"/>
        <v>3.2915781211784179E-11</v>
      </c>
      <c r="R271" s="80">
        <f t="shared" ca="1" si="51"/>
        <v>1.102562485755243E-12</v>
      </c>
      <c r="S271" s="80">
        <f t="shared" ca="1" si="51"/>
        <v>3.9968028886505635E-14</v>
      </c>
      <c r="T271" s="80">
        <f t="shared" ca="1" si="51"/>
        <v>1.5543122344752192E-15</v>
      </c>
      <c r="U271" s="80">
        <f t="shared" ca="1" si="51"/>
        <v>0</v>
      </c>
      <c r="V271" s="80">
        <f t="shared" ca="1" si="50"/>
        <v>0</v>
      </c>
      <c r="W271" s="80">
        <f t="shared" ca="1" si="50"/>
        <v>0</v>
      </c>
      <c r="X271" s="80">
        <f t="shared" ca="1" si="50"/>
        <v>0</v>
      </c>
      <c r="Y271" s="80">
        <f t="shared" ca="1" si="50"/>
        <v>0</v>
      </c>
      <c r="Z271" s="80">
        <f t="shared" ca="1" si="50"/>
        <v>0</v>
      </c>
      <c r="AA271" s="80">
        <f ca="1">SUMPRODUCT(F271:Z271,FailureForCPU!E$17:Y$17)</f>
        <v>3.5897211129546729E-16</v>
      </c>
      <c r="AB271" s="80">
        <f t="shared" ca="1" si="47"/>
        <v>9.0981653811919043E-16</v>
      </c>
      <c r="AC271" s="12">
        <f t="shared" ca="1" si="48"/>
        <v>2.5345047971437724</v>
      </c>
      <c r="AD271" s="12">
        <f t="shared" ca="1" si="49"/>
        <v>0.99999999999999989</v>
      </c>
    </row>
    <row r="272" spans="1:30">
      <c r="A272" s="56">
        <v>17</v>
      </c>
      <c r="B272" s="12">
        <f t="shared" si="43"/>
        <v>2.4111804999999999</v>
      </c>
      <c r="C272" s="12">
        <f t="shared" si="44"/>
        <v>2.508703758507858</v>
      </c>
      <c r="D272" s="23">
        <f t="array" ref="D272">MATCH(MIN(ABS(ServerTypeA!$A$106:$A$165-$C272)),ABS(ServerTypeA!$A$106:$A$165-$C272),0)</f>
        <v>25</v>
      </c>
      <c r="E272" s="23">
        <f t="array" ref="E272">INDEX(ServerTypeA!$A$106:$A$165,MATCH(MIN(ABS(ServerTypeA!$A$106:$A$165-$C272)),ABS(ServerTypeA!$A$106:$A$165-$C272),0))</f>
        <v>2.5</v>
      </c>
      <c r="F272" s="80">
        <f t="shared" ca="1" si="51"/>
        <v>0</v>
      </c>
      <c r="G272" s="80">
        <f t="shared" ca="1" si="51"/>
        <v>1.1499791790670066E-4</v>
      </c>
      <c r="H272" s="80">
        <f t="shared" ca="1" si="51"/>
        <v>0.16416752570049731</v>
      </c>
      <c r="I272" s="80">
        <f t="shared" ca="1" si="51"/>
        <v>0.62552516216344489</v>
      </c>
      <c r="J272" s="80">
        <f t="shared" ca="1" si="51"/>
        <v>0.1812413306300743</v>
      </c>
      <c r="K272" s="80">
        <f t="shared" ca="1" si="51"/>
        <v>2.7619976683513459E-2</v>
      </c>
      <c r="L272" s="80">
        <f t="shared" ca="1" si="51"/>
        <v>1.2867470014433779E-3</v>
      </c>
      <c r="M272" s="80">
        <f t="shared" ca="1" si="51"/>
        <v>4.2963317023358982E-5</v>
      </c>
      <c r="N272" s="80">
        <f t="shared" ca="1" si="51"/>
        <v>1.2595243311652737E-6</v>
      </c>
      <c r="O272" s="80">
        <f t="shared" ca="1" si="51"/>
        <v>3.5970585399169863E-8</v>
      </c>
      <c r="P272" s="80">
        <f t="shared" ca="1" si="51"/>
        <v>1.0571200581566131E-9</v>
      </c>
      <c r="Q272" s="80">
        <f t="shared" ca="1" si="51"/>
        <v>3.2915781211784179E-11</v>
      </c>
      <c r="R272" s="80">
        <f t="shared" ca="1" si="51"/>
        <v>1.102562485755243E-12</v>
      </c>
      <c r="S272" s="80">
        <f t="shared" ca="1" si="51"/>
        <v>3.9968028886505635E-14</v>
      </c>
      <c r="T272" s="80">
        <f t="shared" ca="1" si="51"/>
        <v>1.5543122344752192E-15</v>
      </c>
      <c r="U272" s="80">
        <f t="shared" ca="1" si="51"/>
        <v>0</v>
      </c>
      <c r="V272" s="80">
        <f t="shared" ca="1" si="50"/>
        <v>0</v>
      </c>
      <c r="W272" s="80">
        <f t="shared" ca="1" si="50"/>
        <v>0</v>
      </c>
      <c r="X272" s="80">
        <f t="shared" ca="1" si="50"/>
        <v>0</v>
      </c>
      <c r="Y272" s="80">
        <f t="shared" ca="1" si="50"/>
        <v>0</v>
      </c>
      <c r="Z272" s="80">
        <f t="shared" ca="1" si="50"/>
        <v>0</v>
      </c>
      <c r="AA272" s="80">
        <f ca="1">SUMPRODUCT(F272:Z272,FailureForCPU!E$17:Y$17)</f>
        <v>3.5897211129546729E-16</v>
      </c>
      <c r="AB272" s="80">
        <f t="shared" ca="1" si="47"/>
        <v>9.0055468480643992E-16</v>
      </c>
      <c r="AC272" s="12">
        <f t="shared" ca="1" si="48"/>
        <v>2.5087037585078571</v>
      </c>
      <c r="AD272" s="12">
        <f t="shared" ca="1" si="49"/>
        <v>0.99999999999999989</v>
      </c>
    </row>
    <row r="273" spans="1:30">
      <c r="A273" s="56">
        <v>18</v>
      </c>
      <c r="B273" s="12">
        <f t="shared" si="43"/>
        <v>3.3244928103448275</v>
      </c>
      <c r="C273" s="12">
        <f t="shared" si="44"/>
        <v>3.4589561455247422</v>
      </c>
      <c r="D273" s="23">
        <f t="array" ref="D273">MATCH(MIN(ABS(ServerTypeA!$A$106:$A$165-$C273)),ABS(ServerTypeA!$A$106:$A$165-$C273),0)</f>
        <v>35</v>
      </c>
      <c r="E273" s="23">
        <f t="array" ref="E273">INDEX(ServerTypeA!$A$106:$A$165,MATCH(MIN(ABS(ServerTypeA!$A$106:$A$165-$C273)),ABS(ServerTypeA!$A$106:$A$165-$C273),0))</f>
        <v>3.5</v>
      </c>
      <c r="F273" s="80">
        <f t="shared" ca="1" si="51"/>
        <v>0</v>
      </c>
      <c r="G273" s="80">
        <f t="shared" ca="1" si="51"/>
        <v>1.3470748290891001E-10</v>
      </c>
      <c r="H273" s="80">
        <f t="shared" ca="1" si="51"/>
        <v>1.6027682800294606E-3</v>
      </c>
      <c r="I273" s="80">
        <f t="shared" ca="1" si="51"/>
        <v>0.23146405901264766</v>
      </c>
      <c r="J273" s="80">
        <f t="shared" ca="1" si="51"/>
        <v>0.50209419343223449</v>
      </c>
      <c r="K273" s="80">
        <f t="shared" ca="1" si="51"/>
        <v>0.24247164342095961</v>
      </c>
      <c r="L273" s="80">
        <f t="shared" ca="1" si="51"/>
        <v>2.1541931336523823E-2</v>
      </c>
      <c r="M273" s="80">
        <f t="shared" ca="1" si="51"/>
        <v>8.0630889282118368E-4</v>
      </c>
      <c r="N273" s="80">
        <f t="shared" ca="1" si="51"/>
        <v>1.875134469064843E-5</v>
      </c>
      <c r="O273" s="80">
        <f t="shared" ca="1" si="51"/>
        <v>3.3865069415384141E-7</v>
      </c>
      <c r="P273" s="80">
        <f t="shared" ca="1" si="51"/>
        <v>5.4107089919597229E-9</v>
      </c>
      <c r="Q273" s="80">
        <f t="shared" ca="1" si="51"/>
        <v>8.269385176618016E-11</v>
      </c>
      <c r="R273" s="80">
        <f t="shared" ca="1" si="51"/>
        <v>1.2682077610293163E-12</v>
      </c>
      <c r="S273" s="80">
        <f t="shared" ca="1" si="51"/>
        <v>2.0095036745715333E-14</v>
      </c>
      <c r="T273" s="80">
        <f t="shared" ca="1" si="51"/>
        <v>0</v>
      </c>
      <c r="U273" s="80">
        <f t="shared" ca="1" si="51"/>
        <v>0</v>
      </c>
      <c r="V273" s="80">
        <f t="shared" ca="1" si="50"/>
        <v>0</v>
      </c>
      <c r="W273" s="80">
        <f t="shared" ca="1" si="50"/>
        <v>0</v>
      </c>
      <c r="X273" s="80">
        <f t="shared" ca="1" si="50"/>
        <v>0</v>
      </c>
      <c r="Y273" s="80">
        <f t="shared" ca="1" si="50"/>
        <v>0</v>
      </c>
      <c r="Z273" s="80">
        <f t="shared" ca="1" si="50"/>
        <v>0</v>
      </c>
      <c r="AA273" s="80">
        <f ca="1">SUMPRODUCT(F273:Z273,FailureForCPU!E$17:Y$17)</f>
        <v>1.6745863954762777E-16</v>
      </c>
      <c r="AB273" s="80">
        <f t="shared" ca="1" si="47"/>
        <v>5.7923209038447973E-16</v>
      </c>
      <c r="AC273" s="12">
        <f t="shared" ca="1" si="48"/>
        <v>3.4589561455247417</v>
      </c>
      <c r="AD273" s="12">
        <f t="shared" ca="1" si="49"/>
        <v>0.99999999999999967</v>
      </c>
    </row>
    <row r="274" spans="1:30">
      <c r="A274" s="56">
        <v>19</v>
      </c>
      <c r="B274" s="12">
        <f t="shared" si="43"/>
        <v>4.0252025333333332</v>
      </c>
      <c r="C274" s="12">
        <f t="shared" si="44"/>
        <v>4.1880069634474424</v>
      </c>
      <c r="D274" s="23">
        <f t="array" ref="D274">MATCH(MIN(ABS(ServerTypeA!$A$106:$A$165-$C274)),ABS(ServerTypeA!$A$106:$A$165-$C274),0)</f>
        <v>42</v>
      </c>
      <c r="E274" s="23">
        <f t="array" ref="E274">INDEX(ServerTypeA!$A$106:$A$165,MATCH(MIN(ABS(ServerTypeA!$A$106:$A$165-$C274)),ABS(ServerTypeA!$A$106:$A$165-$C274),0))</f>
        <v>4.2</v>
      </c>
      <c r="F274" s="80">
        <f t="shared" ca="1" si="51"/>
        <v>0</v>
      </c>
      <c r="G274" s="80">
        <f t="shared" ca="1" si="51"/>
        <v>3.0071408552579131E-20</v>
      </c>
      <c r="H274" s="80">
        <f t="shared" ca="1" si="51"/>
        <v>7.1345432819675332E-8</v>
      </c>
      <c r="I274" s="80">
        <f t="shared" ca="1" si="51"/>
        <v>3.4200027720231092E-3</v>
      </c>
      <c r="J274" s="80">
        <f t="shared" ca="1" si="51"/>
        <v>0.12371630589080373</v>
      </c>
      <c r="K274" s="80">
        <f t="shared" ca="1" si="51"/>
        <v>0.54617861868880679</v>
      </c>
      <c r="L274" s="80">
        <f t="shared" ca="1" si="51"/>
        <v>0.28771009500070199</v>
      </c>
      <c r="M274" s="80">
        <f t="shared" ca="1" si="51"/>
        <v>3.7001550342423806E-2</v>
      </c>
      <c r="N274" s="80">
        <f t="shared" ca="1" si="51"/>
        <v>1.9162198039482936E-3</v>
      </c>
      <c r="O274" s="80">
        <f t="shared" ca="1" si="51"/>
        <v>5.5972357971389997E-5</v>
      </c>
      <c r="P274" s="80">
        <f t="shared" ca="1" si="51"/>
        <v>1.1446864401909451E-6</v>
      </c>
      <c r="Q274" s="80">
        <f t="shared" ca="1" si="51"/>
        <v>1.8834618309426787E-8</v>
      </c>
      <c r="R274" s="80">
        <f t="shared" ca="1" si="51"/>
        <v>2.7307323069436507E-10</v>
      </c>
      <c r="S274" s="80">
        <f t="shared" ca="1" si="51"/>
        <v>3.7065905900135476E-12</v>
      </c>
      <c r="T274" s="80">
        <f t="shared" ca="1" si="51"/>
        <v>4.9071857688431919E-14</v>
      </c>
      <c r="U274" s="80">
        <f t="shared" ca="1" si="51"/>
        <v>0</v>
      </c>
      <c r="V274" s="80">
        <f t="shared" ca="1" si="50"/>
        <v>0</v>
      </c>
      <c r="W274" s="80">
        <f t="shared" ca="1" si="50"/>
        <v>0</v>
      </c>
      <c r="X274" s="80">
        <f t="shared" ca="1" si="50"/>
        <v>0</v>
      </c>
      <c r="Y274" s="80">
        <f t="shared" ca="1" si="50"/>
        <v>0</v>
      </c>
      <c r="Z274" s="80">
        <f t="shared" ca="1" si="50"/>
        <v>0</v>
      </c>
      <c r="AA274" s="80">
        <f ca="1">SUMPRODUCT(F274:Z274,FailureForCPU!E$17:Y$17)</f>
        <v>3.170611921158676E-14</v>
      </c>
      <c r="AB274" s="80">
        <f t="shared" ca="1" si="47"/>
        <v>1.3278544804202008E-13</v>
      </c>
      <c r="AC274" s="12">
        <f t="shared" ca="1" si="48"/>
        <v>4.1880069634473092</v>
      </c>
      <c r="AD274" s="12">
        <f t="shared" ca="1" si="49"/>
        <v>0.99999999999999933</v>
      </c>
    </row>
    <row r="275" spans="1:30">
      <c r="A275" s="56">
        <v>20</v>
      </c>
      <c r="B275" s="12">
        <f t="shared" si="43"/>
        <v>3.8408287333333333</v>
      </c>
      <c r="C275" s="12">
        <f t="shared" si="44"/>
        <v>3.9961759308763112</v>
      </c>
      <c r="D275" s="23">
        <f t="array" ref="D275">MATCH(MIN(ABS(ServerTypeA!$A$106:$A$165-$C275)),ABS(ServerTypeA!$A$106:$A$165-$C275),0)</f>
        <v>40</v>
      </c>
      <c r="E275" s="23">
        <f t="array" ref="E275">INDEX(ServerTypeA!$A$106:$A$165,MATCH(MIN(ABS(ServerTypeA!$A$106:$A$165-$C275)),ABS(ServerTypeA!$A$106:$A$165-$C275),0))</f>
        <v>4</v>
      </c>
      <c r="F275" s="80">
        <f t="shared" ca="1" si="51"/>
        <v>0</v>
      </c>
      <c r="G275" s="80">
        <f t="shared" ca="1" si="51"/>
        <v>1.3350352585166262E-16</v>
      </c>
      <c r="H275" s="80">
        <f t="shared" ca="1" si="51"/>
        <v>4.1474720378961725E-6</v>
      </c>
      <c r="I275" s="80">
        <f t="shared" ca="1" si="51"/>
        <v>2.2714752882358469E-2</v>
      </c>
      <c r="J275" s="80">
        <f t="shared" ca="1" si="51"/>
        <v>0.28670236373900115</v>
      </c>
      <c r="K275" s="80">
        <f t="shared" ca="1" si="51"/>
        <v>0.53889805197101015</v>
      </c>
      <c r="L275" s="80">
        <f t="shared" ca="1" si="51"/>
        <v>0.14070801868089422</v>
      </c>
      <c r="M275" s="80">
        <f t="shared" ca="1" si="51"/>
        <v>1.0592775311355718E-2</v>
      </c>
      <c r="N275" s="80">
        <f t="shared" ca="1" si="51"/>
        <v>3.715201799947554E-4</v>
      </c>
      <c r="O275" s="80">
        <f t="shared" ca="1" si="51"/>
        <v>8.2287667558800237E-6</v>
      </c>
      <c r="P275" s="80">
        <f t="shared" ca="1" si="51"/>
        <v>1.3895549733078383E-7</v>
      </c>
      <c r="Q275" s="80">
        <f t="shared" ca="1" si="51"/>
        <v>2.0137178591284055E-9</v>
      </c>
      <c r="R275" s="80">
        <f t="shared" ca="1" si="51"/>
        <v>2.7019053661092585E-11</v>
      </c>
      <c r="S275" s="80">
        <f t="shared" ca="1" si="51"/>
        <v>3.5271785492341223E-13</v>
      </c>
      <c r="T275" s="80">
        <f t="shared" ca="1" si="51"/>
        <v>4.5519144009631418E-15</v>
      </c>
      <c r="U275" s="80">
        <f t="shared" ca="1" si="51"/>
        <v>0</v>
      </c>
      <c r="V275" s="80">
        <f t="shared" ca="1" si="50"/>
        <v>0</v>
      </c>
      <c r="W275" s="80">
        <f t="shared" ca="1" si="50"/>
        <v>0</v>
      </c>
      <c r="X275" s="80">
        <f t="shared" ca="1" si="50"/>
        <v>0</v>
      </c>
      <c r="Y275" s="80">
        <f t="shared" ca="1" si="50"/>
        <v>0</v>
      </c>
      <c r="Z275" s="80">
        <f t="shared" ca="1" si="50"/>
        <v>0</v>
      </c>
      <c r="AA275" s="80">
        <f ca="1">SUMPRODUCT(F275:Z275,FailureForCPU!E$17:Y$17)</f>
        <v>3.0151806977111541E-15</v>
      </c>
      <c r="AB275" s="80">
        <f t="shared" ca="1" si="47"/>
        <v>1.2049192531436156E-14</v>
      </c>
      <c r="AC275" s="12">
        <f t="shared" ca="1" si="48"/>
        <v>3.9961759308762992</v>
      </c>
      <c r="AD275" s="12">
        <f t="shared" ca="1" si="49"/>
        <v>0.99999999999999989</v>
      </c>
    </row>
    <row r="276" spans="1:30">
      <c r="A276" s="56">
        <v>21</v>
      </c>
      <c r="B276" s="12">
        <f t="shared" si="43"/>
        <v>2.9214521000000002</v>
      </c>
      <c r="C276" s="12">
        <f t="shared" si="44"/>
        <v>3.0396139416234811</v>
      </c>
      <c r="D276" s="23">
        <f t="array" ref="D276">MATCH(MIN(ABS(ServerTypeA!$A$106:$A$165-$C276)),ABS(ServerTypeA!$A$106:$A$165-$C276),0)</f>
        <v>30</v>
      </c>
      <c r="E276" s="23">
        <f t="array" ref="E276">INDEX(ServerTypeA!$A$106:$A$165,MATCH(MIN(ABS(ServerTypeA!$A$106:$A$165-$C276)),ABS(ServerTypeA!$A$106:$A$165-$C276),0))</f>
        <v>3</v>
      </c>
      <c r="F276" s="80">
        <f t="shared" ca="1" si="51"/>
        <v>0</v>
      </c>
      <c r="G276" s="80">
        <f t="shared" ca="1" si="51"/>
        <v>4.7279021586632552E-7</v>
      </c>
      <c r="H276" s="80">
        <f t="shared" ca="1" si="51"/>
        <v>3.048494773534105E-2</v>
      </c>
      <c r="I276" s="80">
        <f t="shared" ca="1" si="51"/>
        <v>0.51782719825851498</v>
      </c>
      <c r="J276" s="80">
        <f t="shared" ca="1" si="51"/>
        <v>0.36188864050700664</v>
      </c>
      <c r="K276" s="80">
        <f t="shared" ca="1" si="51"/>
        <v>8.4884436176291156E-2</v>
      </c>
      <c r="L276" s="80">
        <f t="shared" ca="1" si="51"/>
        <v>4.7592286406399342E-3</v>
      </c>
      <c r="M276" s="80">
        <f t="shared" ca="1" si="51"/>
        <v>1.5134774577052479E-4</v>
      </c>
      <c r="N276" s="80">
        <f t="shared" ca="1" si="51"/>
        <v>3.6484920330481785E-6</v>
      </c>
      <c r="O276" s="80">
        <f t="shared" ca="1" si="51"/>
        <v>7.8004804171527553E-8</v>
      </c>
      <c r="P276" s="80">
        <f t="shared" ca="1" si="51"/>
        <v>1.614594902221711E-9</v>
      </c>
      <c r="Q276" s="80">
        <f t="shared" ca="1" si="51"/>
        <v>3.4018565742144347E-11</v>
      </c>
      <c r="R276" s="80">
        <f t="shared" ca="1" si="51"/>
        <v>7.510658761589184E-13</v>
      </c>
      <c r="S276" s="80">
        <f t="shared" ca="1" si="51"/>
        <v>1.7652546091539989E-14</v>
      </c>
      <c r="T276" s="80">
        <f t="shared" ca="1" si="51"/>
        <v>0</v>
      </c>
      <c r="U276" s="80">
        <f t="shared" ca="1" si="51"/>
        <v>0</v>
      </c>
      <c r="V276" s="80">
        <f t="shared" ca="1" si="50"/>
        <v>0</v>
      </c>
      <c r="W276" s="80">
        <f t="shared" ca="1" si="50"/>
        <v>0</v>
      </c>
      <c r="X276" s="80">
        <f t="shared" ca="1" si="50"/>
        <v>0</v>
      </c>
      <c r="Y276" s="80">
        <f t="shared" ca="1" si="50"/>
        <v>0</v>
      </c>
      <c r="Z276" s="80">
        <f t="shared" ca="1" si="50"/>
        <v>0</v>
      </c>
      <c r="AA276" s="80">
        <f ca="1">SUMPRODUCT(F276:Z276,FailureForCPU!E$17:Y$17)</f>
        <v>1.4710455076283324E-16</v>
      </c>
      <c r="AB276" s="80">
        <f t="shared" ca="1" si="47"/>
        <v>4.4714104337496696E-16</v>
      </c>
      <c r="AC276" s="12">
        <f t="shared" ca="1" si="48"/>
        <v>3.0396139416234806</v>
      </c>
      <c r="AD276" s="12">
        <f t="shared" ca="1" si="49"/>
        <v>0.99999999999999956</v>
      </c>
    </row>
    <row r="277" spans="1:30">
      <c r="A277" s="56">
        <v>22</v>
      </c>
      <c r="B277" s="12">
        <f t="shared" si="43"/>
        <v>1.70428665</v>
      </c>
      <c r="C277" s="12">
        <f t="shared" si="44"/>
        <v>1.7732186887003136</v>
      </c>
      <c r="D277" s="23">
        <f t="array" ref="D277">MATCH(MIN(ABS(ServerTypeA!$A$106:$A$165-$C277)),ABS(ServerTypeA!$A$106:$A$165-$C277),0)</f>
        <v>18</v>
      </c>
      <c r="E277" s="23">
        <f t="array" ref="E277">INDEX(ServerTypeA!$A$106:$A$165,MATCH(MIN(ABS(ServerTypeA!$A$106:$A$165-$C277)),ABS(ServerTypeA!$A$106:$A$165-$C277),0))</f>
        <v>1.8</v>
      </c>
      <c r="F277" s="80">
        <f t="shared" ca="1" si="51"/>
        <v>0</v>
      </c>
      <c r="G277" s="80">
        <f t="shared" ca="1" si="51"/>
        <v>2.3430655918933323E-2</v>
      </c>
      <c r="H277" s="80">
        <f t="shared" ca="1" si="51"/>
        <v>0.58816894205402903</v>
      </c>
      <c r="I277" s="80">
        <f t="shared" ca="1" si="51"/>
        <v>0.35081229684092929</v>
      </c>
      <c r="J277" s="80">
        <f t="shared" ca="1" si="51"/>
        <v>3.406413221315896E-2</v>
      </c>
      <c r="K277" s="80">
        <f t="shared" ca="1" si="51"/>
        <v>3.3790197570999769E-3</v>
      </c>
      <c r="L277" s="80">
        <f t="shared" ca="1" si="51"/>
        <v>1.3935267989517719E-4</v>
      </c>
      <c r="M277" s="80">
        <f t="shared" ca="1" si="51"/>
        <v>5.376795014666591E-6</v>
      </c>
      <c r="N277" s="80">
        <f t="shared" ca="1" si="51"/>
        <v>2.1409693806706542E-7</v>
      </c>
      <c r="O277" s="80">
        <f t="shared" ca="1" si="51"/>
        <v>9.1847807137668269E-9</v>
      </c>
      <c r="P277" s="80">
        <f t="shared" ca="1" si="51"/>
        <v>4.3223036261252901E-10</v>
      </c>
      <c r="Q277" s="80">
        <f t="shared" ca="1" si="51"/>
        <v>2.244671115647634E-11</v>
      </c>
      <c r="R277" s="80">
        <f t="shared" ca="1" si="51"/>
        <v>1.2864154186331689E-12</v>
      </c>
      <c r="S277" s="80">
        <f t="shared" ca="1" si="51"/>
        <v>8.1157303100098943E-14</v>
      </c>
      <c r="T277" s="80">
        <f t="shared" ca="1" si="51"/>
        <v>5.6621374255882984E-15</v>
      </c>
      <c r="U277" s="80">
        <f t="shared" ca="1" si="51"/>
        <v>0</v>
      </c>
      <c r="V277" s="80">
        <f t="shared" ca="1" si="50"/>
        <v>0</v>
      </c>
      <c r="W277" s="80">
        <f t="shared" ca="1" si="50"/>
        <v>0</v>
      </c>
      <c r="X277" s="80">
        <f t="shared" ca="1" si="50"/>
        <v>0</v>
      </c>
      <c r="Y277" s="80">
        <f t="shared" ca="1" si="50"/>
        <v>0</v>
      </c>
      <c r="Z277" s="80">
        <f t="shared" ca="1" si="50"/>
        <v>0</v>
      </c>
      <c r="AA277" s="80">
        <f ca="1">SUMPRODUCT(F277:Z277,FailureForCPU!E$17:Y$17)</f>
        <v>7.7067981626062947E-16</v>
      </c>
      <c r="AB277" s="80">
        <f t="shared" ca="1" si="47"/>
        <v>1.3665838531974721E-15</v>
      </c>
      <c r="AC277" s="12">
        <f t="shared" ca="1" si="48"/>
        <v>1.7732186887003123</v>
      </c>
      <c r="AD277" s="12">
        <f t="shared" ca="1" si="49"/>
        <v>0.99999999999682954</v>
      </c>
    </row>
    <row r="278" spans="1:30">
      <c r="A278" s="56">
        <v>23</v>
      </c>
      <c r="B278" s="12">
        <f t="shared" si="43"/>
        <v>0.81373062413793107</v>
      </c>
      <c r="C278" s="12">
        <f t="shared" si="44"/>
        <v>0.84664299300188139</v>
      </c>
      <c r="D278" s="23">
        <f t="array" ref="D278">MATCH(MIN(ABS(ServerTypeA!$A$106:$A$165-$C278)),ABS(ServerTypeA!$A$106:$A$165-$C278),0)</f>
        <v>8</v>
      </c>
      <c r="E278" s="23">
        <f t="array" ref="E278">INDEX(ServerTypeA!$A$106:$A$165,MATCH(MIN(ABS(ServerTypeA!$A$106:$A$165-$C278)),ABS(ServerTypeA!$A$106:$A$165-$C278),0))</f>
        <v>0.8</v>
      </c>
      <c r="F278" s="80">
        <f t="shared" ca="1" si="51"/>
        <v>0</v>
      </c>
      <c r="G278" s="80">
        <f t="shared" ca="1" si="51"/>
        <v>0.73724419583861855</v>
      </c>
      <c r="H278" s="80">
        <f t="shared" ca="1" si="51"/>
        <v>0.24890049818901161</v>
      </c>
      <c r="I278" s="80">
        <f t="shared" ca="1" si="51"/>
        <v>1.1275352216014611E-2</v>
      </c>
      <c r="J278" s="80">
        <f t="shared" ca="1" si="51"/>
        <v>3.8994363531075216E-4</v>
      </c>
      <c r="K278" s="80">
        <f t="shared" ca="1" si="51"/>
        <v>3.1087425415243786E-5</v>
      </c>
      <c r="L278" s="80">
        <f t="shared" ca="1" si="51"/>
        <v>1.5021115147284547E-6</v>
      </c>
      <c r="M278" s="80">
        <f t="shared" ca="1" si="51"/>
        <v>8.8665416231314964E-8</v>
      </c>
      <c r="N278" s="80">
        <f t="shared" ca="1" si="51"/>
        <v>6.2879536022464322E-9</v>
      </c>
      <c r="O278" s="80">
        <f t="shared" ca="1" si="51"/>
        <v>5.2509552261881254E-10</v>
      </c>
      <c r="P278" s="80">
        <f t="shared" ca="1" si="51"/>
        <v>5.0668913509355207E-11</v>
      </c>
      <c r="Q278" s="80">
        <f t="shared" ca="1" si="51"/>
        <v>5.5568882828538335E-12</v>
      </c>
      <c r="R278" s="80">
        <f t="shared" ca="1" si="51"/>
        <v>6.8289818244693379E-13</v>
      </c>
      <c r="S278" s="80">
        <f t="shared" ca="1" si="51"/>
        <v>9.2925667161125602E-14</v>
      </c>
      <c r="T278" s="80">
        <f t="shared" ca="1" si="51"/>
        <v>1.3766765505351941E-14</v>
      </c>
      <c r="U278" s="80">
        <f t="shared" ca="1" si="51"/>
        <v>2.3314683517128287E-15</v>
      </c>
      <c r="V278" s="80">
        <f t="shared" ca="1" si="50"/>
        <v>0</v>
      </c>
      <c r="W278" s="80">
        <f t="shared" ca="1" si="50"/>
        <v>0</v>
      </c>
      <c r="X278" s="80">
        <f t="shared" ca="1" si="50"/>
        <v>0</v>
      </c>
      <c r="Y278" s="80">
        <f t="shared" ca="1" si="50"/>
        <v>0</v>
      </c>
      <c r="Z278" s="80">
        <f t="shared" ca="1" si="50"/>
        <v>0</v>
      </c>
      <c r="AA278" s="80">
        <f ca="1">SUMPRODUCT(F278:Z278,FailureForCPU!E$17:Y$17)</f>
        <v>1.0621133602247331E-15</v>
      </c>
      <c r="AB278" s="80">
        <f t="shared" ca="1" si="47"/>
        <v>8.9923083420795335E-16</v>
      </c>
      <c r="AC278" s="12">
        <f t="shared" ca="1" si="48"/>
        <v>0.84664299300188051</v>
      </c>
      <c r="AD278" s="12">
        <f t="shared" ca="1" si="49"/>
        <v>0.99784267495136858</v>
      </c>
    </row>
    <row r="279" spans="1:30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</row>
    <row r="280" spans="1:30">
      <c r="A280" s="54" t="s">
        <v>55</v>
      </c>
      <c r="B280" s="12">
        <f>SUM(B255:B278)</f>
        <v>43.062664537931042</v>
      </c>
      <c r="C280" s="12">
        <f>SUM(C255:C278)</f>
        <v>44.804388712363348</v>
      </c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25">
        <f ca="1">SUM(AB255:AB278)</f>
        <v>7.5591393949633842E-13</v>
      </c>
      <c r="AC280" s="25">
        <f ca="1">SUM(AC255:AC278)</f>
        <v>44.804388712362602</v>
      </c>
      <c r="AD280" s="54"/>
    </row>
    <row r="281" spans="1:30">
      <c r="A281" s="54" t="s">
        <v>66</v>
      </c>
      <c r="B281" s="69">
        <f ca="1">AC280/C280</f>
        <v>0.99999999999998335</v>
      </c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</row>
    <row r="282" spans="1:30">
      <c r="A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</row>
    <row r="283" spans="1:30">
      <c r="A283" s="22" t="s">
        <v>115</v>
      </c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</row>
    <row r="284" spans="1:30">
      <c r="A284" s="22" t="s">
        <v>51</v>
      </c>
      <c r="B284" s="37">
        <f>QResults!E12/QResults!B12</f>
        <v>1.0342559412910766</v>
      </c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</row>
    <row r="285" spans="1:30">
      <c r="A285" s="54"/>
      <c r="B285" s="54"/>
      <c r="C285" s="54"/>
      <c r="D285" s="54"/>
      <c r="E285" s="54" t="s">
        <v>59</v>
      </c>
      <c r="F285" s="56">
        <v>0</v>
      </c>
      <c r="G285" s="56">
        <v>1</v>
      </c>
      <c r="H285" s="56">
        <v>2</v>
      </c>
      <c r="I285" s="56">
        <v>3</v>
      </c>
      <c r="J285" s="56">
        <v>4</v>
      </c>
      <c r="K285" s="56">
        <v>5</v>
      </c>
      <c r="L285" s="56">
        <v>6</v>
      </c>
      <c r="M285" s="56">
        <v>7</v>
      </c>
      <c r="N285" s="56">
        <v>8</v>
      </c>
      <c r="O285" s="56">
        <v>9</v>
      </c>
      <c r="P285" s="56">
        <v>10</v>
      </c>
      <c r="Q285" s="56">
        <v>11</v>
      </c>
      <c r="R285" s="56">
        <v>12</v>
      </c>
      <c r="S285" s="56">
        <v>13</v>
      </c>
      <c r="T285" s="56">
        <v>14</v>
      </c>
      <c r="U285" s="56">
        <v>15</v>
      </c>
      <c r="V285" s="56">
        <v>16</v>
      </c>
      <c r="W285" s="56">
        <v>17</v>
      </c>
      <c r="X285" s="56">
        <v>18</v>
      </c>
      <c r="Y285" s="56">
        <v>19</v>
      </c>
      <c r="Z285" s="56">
        <v>20</v>
      </c>
      <c r="AA285" s="54"/>
      <c r="AB285" s="54"/>
      <c r="AC285" s="54"/>
      <c r="AD285" s="54"/>
    </row>
    <row r="286" spans="1:30" ht="45">
      <c r="A286" s="56" t="s">
        <v>52</v>
      </c>
      <c r="B286" s="56" t="s">
        <v>53</v>
      </c>
      <c r="C286" s="56" t="s">
        <v>54</v>
      </c>
      <c r="D286" s="61" t="s">
        <v>56</v>
      </c>
      <c r="E286" s="61" t="s">
        <v>57</v>
      </c>
      <c r="F286" s="56" t="s">
        <v>20</v>
      </c>
      <c r="G286" s="56" t="s">
        <v>21</v>
      </c>
      <c r="H286" s="56" t="s">
        <v>22</v>
      </c>
      <c r="I286" s="56" t="s">
        <v>23</v>
      </c>
      <c r="J286" s="56" t="s">
        <v>24</v>
      </c>
      <c r="K286" s="56" t="s">
        <v>25</v>
      </c>
      <c r="L286" s="56" t="s">
        <v>26</v>
      </c>
      <c r="M286" s="56" t="s">
        <v>27</v>
      </c>
      <c r="N286" s="56" t="s">
        <v>28</v>
      </c>
      <c r="O286" s="56" t="s">
        <v>29</v>
      </c>
      <c r="P286" s="56" t="s">
        <v>30</v>
      </c>
      <c r="Q286" s="56" t="s">
        <v>31</v>
      </c>
      <c r="R286" s="56" t="s">
        <v>32</v>
      </c>
      <c r="S286" s="56" t="s">
        <v>33</v>
      </c>
      <c r="T286" s="56" t="s">
        <v>34</v>
      </c>
      <c r="U286" s="56" t="s">
        <v>35</v>
      </c>
      <c r="V286" s="56" t="s">
        <v>36</v>
      </c>
      <c r="W286" s="56" t="s">
        <v>37</v>
      </c>
      <c r="X286" s="56" t="s">
        <v>38</v>
      </c>
      <c r="Y286" s="56" t="s">
        <v>39</v>
      </c>
      <c r="Z286" s="56" t="s">
        <v>40</v>
      </c>
      <c r="AA286" s="61" t="s">
        <v>58</v>
      </c>
      <c r="AB286" s="61" t="s">
        <v>64</v>
      </c>
      <c r="AC286" s="61" t="s">
        <v>65</v>
      </c>
      <c r="AD286" s="56" t="s">
        <v>75</v>
      </c>
    </row>
    <row r="287" spans="1:30">
      <c r="A287" s="56">
        <v>0</v>
      </c>
      <c r="B287" s="12">
        <f t="shared" ref="B287:B310" si="52">B191</f>
        <v>0.43929673333333336</v>
      </c>
      <c r="C287" s="12">
        <f t="shared" ref="C287:C310" si="53">$B$284*B287</f>
        <v>0.45434525643976176</v>
      </c>
      <c r="D287" s="23">
        <f t="array" ref="D287">MATCH(MIN(ABS(ServerTypeA!$A$106:$A$165-$C287)),ABS(ServerTypeA!$A$106:$A$165-$C287),0)</f>
        <v>5</v>
      </c>
      <c r="E287" s="23">
        <f t="array" ref="E287">INDEX(ServerTypeA!$A$106:$A$165,MATCH(MIN(ABS(ServerTypeA!$A$106:$A$165-$C287)),ABS(ServerTypeA!$A$106:$A$165-$C287),0))</f>
        <v>0.5</v>
      </c>
      <c r="F287" s="12">
        <f t="shared" ref="F287:U302" ca="1" si="54">OFFSET($B$106,$D287-1,F$221,1,1)</f>
        <v>0</v>
      </c>
      <c r="G287" s="80">
        <f t="shared" ca="1" si="54"/>
        <v>0.8627376746972435</v>
      </c>
      <c r="H287" s="12">
        <f t="shared" ca="1" si="54"/>
        <v>8.3896145232778219E-2</v>
      </c>
      <c r="I287" s="12">
        <f t="shared" ca="1" si="54"/>
        <v>2.8062638356928238E-3</v>
      </c>
      <c r="J287" s="12">
        <f t="shared" ca="1" si="54"/>
        <v>1.0751725690527625E-4</v>
      </c>
      <c r="K287" s="12">
        <f t="shared" ca="1" si="54"/>
        <v>1.0537665367849058E-5</v>
      </c>
      <c r="L287" s="12">
        <f t="shared" ca="1" si="54"/>
        <v>6.9501645871827833E-7</v>
      </c>
      <c r="M287" s="12">
        <f t="shared" ca="1" si="54"/>
        <v>5.7656018848106783E-8</v>
      </c>
      <c r="N287" s="12">
        <f t="shared" ca="1" si="54"/>
        <v>5.8025605431666349E-9</v>
      </c>
      <c r="O287" s="12">
        <f t="shared" ca="1" si="54"/>
        <v>6.8785022122597184E-10</v>
      </c>
      <c r="P287" s="12">
        <f t="shared" ca="1" si="54"/>
        <v>9.3799301659203138E-11</v>
      </c>
      <c r="Q287" s="12">
        <f t="shared" ca="1" si="54"/>
        <v>1.4437784301435386E-11</v>
      </c>
      <c r="R287" s="12">
        <f t="shared" ca="1" si="54"/>
        <v>2.4702462297909733E-12</v>
      </c>
      <c r="S287" s="12">
        <f t="shared" ca="1" si="54"/>
        <v>4.638511796883904E-13</v>
      </c>
      <c r="T287" s="12">
        <f t="shared" ca="1" si="54"/>
        <v>9.4702024000525853E-14</v>
      </c>
      <c r="U287" s="12">
        <f t="shared" ca="1" si="54"/>
        <v>2.0761170560490427E-14</v>
      </c>
      <c r="V287" s="12">
        <f t="shared" ref="V287:AD301" ca="1" si="55">OFFSET($B$106,$D287-1,V$221,1,1)</f>
        <v>4.8849813083506888E-15</v>
      </c>
      <c r="W287" s="12">
        <f t="shared" ca="1" si="55"/>
        <v>1.2212453270876722E-15</v>
      </c>
      <c r="X287" s="12">
        <f t="shared" ca="1" si="55"/>
        <v>0</v>
      </c>
      <c r="Y287" s="12">
        <f t="shared" ca="1" si="55"/>
        <v>0</v>
      </c>
      <c r="Z287" s="12">
        <f t="shared" ca="1" si="55"/>
        <v>0</v>
      </c>
      <c r="AA287" s="80">
        <f ca="1">SUMPRODUCT(F287:Z287,FailureForCPU!E$17:Y$17)</f>
        <v>6.1765407603312875E-15</v>
      </c>
      <c r="AB287" s="80">
        <f t="shared" ref="AB287:AB310" ca="1" si="56">AA287*C287</f>
        <v>2.8062819956633598E-15</v>
      </c>
      <c r="AC287" s="12">
        <f t="shared" ref="AC287:AC310" ca="1" si="57">C287-AB287</f>
        <v>0.45434525643975893</v>
      </c>
      <c r="AD287" s="12">
        <f t="shared" ref="AD287:AD310" ca="1" si="58">SUM(F287:Z287)</f>
        <v>0.94955889796216875</v>
      </c>
    </row>
    <row r="288" spans="1:30">
      <c r="A288" s="56">
        <v>1</v>
      </c>
      <c r="B288" s="12">
        <f t="shared" si="52"/>
        <v>0.24725845000000002</v>
      </c>
      <c r="C288" s="12">
        <f t="shared" si="53"/>
        <v>0.25572852094692261</v>
      </c>
      <c r="D288" s="23">
        <f t="array" ref="D288">MATCH(MIN(ABS(ServerTypeA!$A$106:$A$165-$C288)),ABS(ServerTypeA!$A$106:$A$165-$C288),0)</f>
        <v>3</v>
      </c>
      <c r="E288" s="23">
        <f t="array" ref="E288">INDEX(ServerTypeA!$A$106:$A$165,MATCH(MIN(ABS(ServerTypeA!$A$106:$A$165-$C288)),ABS(ServerTypeA!$A$106:$A$165-$C288),0))</f>
        <v>0.3</v>
      </c>
      <c r="F288" s="12">
        <f t="shared" ca="1" si="54"/>
        <v>0</v>
      </c>
      <c r="G288" s="80">
        <f t="shared" ca="1" si="54"/>
        <v>0.76734078687270313</v>
      </c>
      <c r="H288" s="12">
        <f t="shared" ca="1" si="54"/>
        <v>4.061799437764968E-2</v>
      </c>
      <c r="I288" s="12">
        <f t="shared" ca="1" si="54"/>
        <v>1.5765400616829517E-3</v>
      </c>
      <c r="J288" s="12">
        <f t="shared" ca="1" si="54"/>
        <v>8.3090088131676509E-5</v>
      </c>
      <c r="K288" s="12">
        <f t="shared" ca="1" si="54"/>
        <v>1.1088798038461078E-5</v>
      </c>
      <c r="L288" s="12">
        <f t="shared" ca="1" si="54"/>
        <v>1.0675049230135514E-6</v>
      </c>
      <c r="M288" s="12">
        <f t="shared" ca="1" si="54"/>
        <v>1.2832819928920713E-7</v>
      </c>
      <c r="N288" s="12">
        <f t="shared" ca="1" si="54"/>
        <v>1.8478603647231751E-8</v>
      </c>
      <c r="O288" s="12">
        <f t="shared" ca="1" si="54"/>
        <v>3.089543842982323E-9</v>
      </c>
      <c r="P288" s="12">
        <f t="shared" ca="1" si="54"/>
        <v>5.8576110628649758E-10</v>
      </c>
      <c r="Q288" s="12">
        <f t="shared" ca="1" si="54"/>
        <v>1.2364498314099137E-10</v>
      </c>
      <c r="R288" s="12">
        <f t="shared" ca="1" si="54"/>
        <v>2.8639202120928076E-11</v>
      </c>
      <c r="S288" s="12">
        <f t="shared" ca="1" si="54"/>
        <v>7.1945782664784019E-12</v>
      </c>
      <c r="T288" s="12">
        <f t="shared" ca="1" si="54"/>
        <v>1.9416690477669363E-12</v>
      </c>
      <c r="U288" s="12">
        <f t="shared" ca="1" si="54"/>
        <v>5.5844218138645374E-13</v>
      </c>
      <c r="V288" s="12">
        <f t="shared" ca="1" si="55"/>
        <v>1.7008616737257398E-13</v>
      </c>
      <c r="W288" s="12">
        <f t="shared" ca="1" si="55"/>
        <v>5.4622972811557702E-14</v>
      </c>
      <c r="X288" s="12">
        <f t="shared" ca="1" si="55"/>
        <v>1.8318679906315083E-14</v>
      </c>
      <c r="Y288" s="12">
        <f t="shared" ca="1" si="55"/>
        <v>6.4392935428259079E-15</v>
      </c>
      <c r="Z288" s="12">
        <f t="shared" ca="1" si="55"/>
        <v>3.7747582837255322E-15</v>
      </c>
      <c r="AA288" s="80">
        <f ca="1">SUMPRODUCT(F288:Z288,FailureForCPU!E$17:Y$17)</f>
        <v>1.1766976282245878E-13</v>
      </c>
      <c r="AB288" s="80">
        <f t="shared" ca="1" si="56"/>
        <v>3.0091514406762563E-14</v>
      </c>
      <c r="AC288" s="12">
        <f t="shared" ca="1" si="57"/>
        <v>0.25572852094689252</v>
      </c>
      <c r="AD288" s="12">
        <f t="shared" ca="1" si="58"/>
        <v>0.80963071834746891</v>
      </c>
    </row>
    <row r="289" spans="1:30">
      <c r="A289" s="56">
        <v>2</v>
      </c>
      <c r="B289" s="12">
        <f t="shared" si="52"/>
        <v>0.15990046666666669</v>
      </c>
      <c r="C289" s="12">
        <f t="shared" si="53"/>
        <v>0.16537800766521576</v>
      </c>
      <c r="D289" s="23">
        <f t="array" ref="D289">MATCH(MIN(ABS(ServerTypeA!$A$106:$A$165-$C289)),ABS(ServerTypeA!$A$106:$A$165-$C289),0)</f>
        <v>2</v>
      </c>
      <c r="E289" s="23">
        <f t="array" ref="E289">INDEX(ServerTypeA!$A$106:$A$165,MATCH(MIN(ABS(ServerTypeA!$A$106:$A$165-$C289)),ABS(ServerTypeA!$A$106:$A$165-$C289),0))</f>
        <v>0.2</v>
      </c>
      <c r="F289" s="12">
        <f t="shared" ca="1" si="54"/>
        <v>0</v>
      </c>
      <c r="G289" s="80">
        <f t="shared" ca="1" si="54"/>
        <v>0.66593794397121475</v>
      </c>
      <c r="H289" s="12">
        <f t="shared" ca="1" si="54"/>
        <v>3.1960042700872382E-2</v>
      </c>
      <c r="I289" s="12">
        <f t="shared" ca="1" si="54"/>
        <v>1.5994488965370701E-3</v>
      </c>
      <c r="J289" s="12">
        <f t="shared" ca="1" si="54"/>
        <v>1.1242877602224421E-4</v>
      </c>
      <c r="K289" s="12">
        <f t="shared" ca="1" si="54"/>
        <v>1.9196099576346271E-5</v>
      </c>
      <c r="L289" s="12">
        <f t="shared" ca="1" si="54"/>
        <v>2.4487933019123886E-6</v>
      </c>
      <c r="M289" s="12">
        <f t="shared" ca="1" si="54"/>
        <v>3.8368656929410605E-7</v>
      </c>
      <c r="N289" s="12">
        <f t="shared" ca="1" si="54"/>
        <v>7.0876589153279212E-8</v>
      </c>
      <c r="O289" s="12">
        <f t="shared" ca="1" si="54"/>
        <v>1.4983860263662052E-8</v>
      </c>
      <c r="P289" s="12">
        <f t="shared" ca="1" si="54"/>
        <v>3.5457425884288796E-9</v>
      </c>
      <c r="Q289" s="12">
        <f t="shared" ca="1" si="54"/>
        <v>9.2337537616060672E-10</v>
      </c>
      <c r="R289" s="12">
        <f t="shared" ca="1" si="54"/>
        <v>2.6113289308682397E-10</v>
      </c>
      <c r="S289" s="12">
        <f t="shared" ca="1" si="54"/>
        <v>7.9349748993706726E-11</v>
      </c>
      <c r="T289" s="12">
        <f t="shared" ca="1" si="54"/>
        <v>2.5685342741610384E-11</v>
      </c>
      <c r="U289" s="12">
        <f t="shared" ca="1" si="54"/>
        <v>8.79429862266079E-12</v>
      </c>
      <c r="V289" s="12">
        <f t="shared" ca="1" si="55"/>
        <v>3.1659119770210964E-12</v>
      </c>
      <c r="W289" s="12">
        <f t="shared" ca="1" si="55"/>
        <v>1.1924905507498806E-12</v>
      </c>
      <c r="X289" s="12">
        <f t="shared" ca="1" si="55"/>
        <v>4.6784798257704097E-13</v>
      </c>
      <c r="Y289" s="12">
        <f t="shared" ca="1" si="55"/>
        <v>1.9062529332813938E-13</v>
      </c>
      <c r="Z289" s="12">
        <f t="shared" ca="1" si="55"/>
        <v>1.446620601086579E-13</v>
      </c>
      <c r="AA289" s="80">
        <f ca="1">SUMPRODUCT(F289:Z289,FailureForCPU!E$17:Y$17)</f>
        <v>1.579197883572192E-12</v>
      </c>
      <c r="AB289" s="80">
        <f t="shared" ca="1" si="56"/>
        <v>2.6116459969429446E-13</v>
      </c>
      <c r="AC289" s="12">
        <f t="shared" ca="1" si="57"/>
        <v>0.16537800766495461</v>
      </c>
      <c r="AD289" s="12">
        <f t="shared" ca="1" si="58"/>
        <v>0.6996319836337852</v>
      </c>
    </row>
    <row r="290" spans="1:30">
      <c r="A290" s="56">
        <v>3</v>
      </c>
      <c r="B290" s="12">
        <f t="shared" si="52"/>
        <v>0.15634300000000001</v>
      </c>
      <c r="C290" s="12">
        <f t="shared" si="53"/>
        <v>0.16169867662927079</v>
      </c>
      <c r="D290" s="23">
        <f t="array" ref="D290">MATCH(MIN(ABS(ServerTypeA!$A$106:$A$165-$C290)),ABS(ServerTypeA!$A$106:$A$165-$C290),0)</f>
        <v>2</v>
      </c>
      <c r="E290" s="23">
        <f t="array" ref="E290">INDEX(ServerTypeA!$A$106:$A$165,MATCH(MIN(ABS(ServerTypeA!$A$106:$A$165-$C290)),ABS(ServerTypeA!$A$106:$A$165-$C290),0))</f>
        <v>0.2</v>
      </c>
      <c r="F290" s="80">
        <f t="shared" ca="1" si="54"/>
        <v>0</v>
      </c>
      <c r="G290" s="80">
        <f t="shared" ca="1" si="54"/>
        <v>0.66593794397121475</v>
      </c>
      <c r="H290" s="80">
        <f t="shared" ca="1" si="54"/>
        <v>3.1960042700872382E-2</v>
      </c>
      <c r="I290" s="80">
        <f t="shared" ca="1" si="54"/>
        <v>1.5994488965370701E-3</v>
      </c>
      <c r="J290" s="80">
        <f t="shared" ca="1" si="54"/>
        <v>1.1242877602224421E-4</v>
      </c>
      <c r="K290" s="80">
        <f t="shared" ca="1" si="54"/>
        <v>1.9196099576346271E-5</v>
      </c>
      <c r="L290" s="80">
        <f t="shared" ca="1" si="54"/>
        <v>2.4487933019123886E-6</v>
      </c>
      <c r="M290" s="80">
        <f t="shared" ca="1" si="54"/>
        <v>3.8368656929410605E-7</v>
      </c>
      <c r="N290" s="80">
        <f t="shared" ca="1" si="54"/>
        <v>7.0876589153279212E-8</v>
      </c>
      <c r="O290" s="80">
        <f t="shared" ca="1" si="54"/>
        <v>1.4983860263662052E-8</v>
      </c>
      <c r="P290" s="80">
        <f t="shared" ca="1" si="54"/>
        <v>3.5457425884288796E-9</v>
      </c>
      <c r="Q290" s="80">
        <f t="shared" ca="1" si="54"/>
        <v>9.2337537616060672E-10</v>
      </c>
      <c r="R290" s="80">
        <f t="shared" ca="1" si="54"/>
        <v>2.6113289308682397E-10</v>
      </c>
      <c r="S290" s="80">
        <f t="shared" ca="1" si="54"/>
        <v>7.9349748993706726E-11</v>
      </c>
      <c r="T290" s="80">
        <f t="shared" ca="1" si="54"/>
        <v>2.5685342741610384E-11</v>
      </c>
      <c r="U290" s="80">
        <f t="shared" ca="1" si="54"/>
        <v>8.79429862266079E-12</v>
      </c>
      <c r="V290" s="80">
        <f t="shared" ca="1" si="55"/>
        <v>3.1659119770210964E-12</v>
      </c>
      <c r="W290" s="80">
        <f t="shared" ca="1" si="55"/>
        <v>1.1924905507498806E-12</v>
      </c>
      <c r="X290" s="80">
        <f t="shared" ca="1" si="55"/>
        <v>4.6784798257704097E-13</v>
      </c>
      <c r="Y290" s="80">
        <f t="shared" ca="1" si="55"/>
        <v>1.9062529332813938E-13</v>
      </c>
      <c r="Z290" s="80">
        <f t="shared" ca="1" si="55"/>
        <v>1.446620601086579E-13</v>
      </c>
      <c r="AA290" s="80">
        <f ca="1">SUMPRODUCT(F290:Z290,FailureForCPU!E$17:Y$17)</f>
        <v>1.579197883572192E-12</v>
      </c>
      <c r="AB290" s="80">
        <f t="shared" ca="1" si="56"/>
        <v>2.5535420790936871E-13</v>
      </c>
      <c r="AC290" s="12">
        <f t="shared" ca="1" si="57"/>
        <v>0.16169867662901544</v>
      </c>
      <c r="AD290" s="12">
        <f t="shared" ca="1" si="58"/>
        <v>0.6996319836337852</v>
      </c>
    </row>
    <row r="291" spans="1:30">
      <c r="A291" s="56">
        <v>4</v>
      </c>
      <c r="B291" s="12">
        <f t="shared" si="52"/>
        <v>0.33371846666666666</v>
      </c>
      <c r="C291" s="12">
        <f t="shared" si="53"/>
        <v>0.34515030686854808</v>
      </c>
      <c r="D291" s="23">
        <f t="array" ref="D291">MATCH(MIN(ABS(ServerTypeA!$A$106:$A$165-$C291)),ABS(ServerTypeA!$A$106:$A$165-$C291),0)</f>
        <v>3</v>
      </c>
      <c r="E291" s="23">
        <f t="array" ref="E291">INDEX(ServerTypeA!$A$106:$A$165,MATCH(MIN(ABS(ServerTypeA!$A$106:$A$165-$C291)),ABS(ServerTypeA!$A$106:$A$165-$C291),0))</f>
        <v>0.3</v>
      </c>
      <c r="F291" s="80">
        <f t="shared" ca="1" si="54"/>
        <v>0</v>
      </c>
      <c r="G291" s="80">
        <f t="shared" ca="1" si="54"/>
        <v>0.76734078687270313</v>
      </c>
      <c r="H291" s="80">
        <f t="shared" ca="1" si="54"/>
        <v>4.061799437764968E-2</v>
      </c>
      <c r="I291" s="80">
        <f t="shared" ca="1" si="54"/>
        <v>1.5765400616829517E-3</v>
      </c>
      <c r="J291" s="80">
        <f t="shared" ca="1" si="54"/>
        <v>8.3090088131676509E-5</v>
      </c>
      <c r="K291" s="80">
        <f t="shared" ca="1" si="54"/>
        <v>1.1088798038461078E-5</v>
      </c>
      <c r="L291" s="80">
        <f t="shared" ca="1" si="54"/>
        <v>1.0675049230135514E-6</v>
      </c>
      <c r="M291" s="80">
        <f t="shared" ca="1" si="54"/>
        <v>1.2832819928920713E-7</v>
      </c>
      <c r="N291" s="80">
        <f t="shared" ca="1" si="54"/>
        <v>1.8478603647231751E-8</v>
      </c>
      <c r="O291" s="80">
        <f t="shared" ca="1" si="54"/>
        <v>3.089543842982323E-9</v>
      </c>
      <c r="P291" s="80">
        <f t="shared" ca="1" si="54"/>
        <v>5.8576110628649758E-10</v>
      </c>
      <c r="Q291" s="80">
        <f t="shared" ca="1" si="54"/>
        <v>1.2364498314099137E-10</v>
      </c>
      <c r="R291" s="80">
        <f t="shared" ca="1" si="54"/>
        <v>2.8639202120928076E-11</v>
      </c>
      <c r="S291" s="80">
        <f t="shared" ca="1" si="54"/>
        <v>7.1945782664784019E-12</v>
      </c>
      <c r="T291" s="80">
        <f t="shared" ca="1" si="54"/>
        <v>1.9416690477669363E-12</v>
      </c>
      <c r="U291" s="80">
        <f t="shared" ca="1" si="54"/>
        <v>5.5844218138645374E-13</v>
      </c>
      <c r="V291" s="80">
        <f t="shared" ca="1" si="55"/>
        <v>1.7008616737257398E-13</v>
      </c>
      <c r="W291" s="80">
        <f t="shared" ca="1" si="55"/>
        <v>5.4622972811557702E-14</v>
      </c>
      <c r="X291" s="80">
        <f t="shared" ca="1" si="55"/>
        <v>1.8318679906315083E-14</v>
      </c>
      <c r="Y291" s="80">
        <f t="shared" ca="1" si="55"/>
        <v>6.4392935428259079E-15</v>
      </c>
      <c r="Z291" s="80">
        <f t="shared" ca="1" si="55"/>
        <v>3.7747582837255322E-15</v>
      </c>
      <c r="AA291" s="80">
        <f ca="1">SUMPRODUCT(F291:Z291,FailureForCPU!E$17:Y$17)</f>
        <v>1.1766976282245878E-13</v>
      </c>
      <c r="AB291" s="80">
        <f t="shared" ca="1" si="56"/>
        <v>4.0613754747320919E-14</v>
      </c>
      <c r="AC291" s="12">
        <f t="shared" ca="1" si="57"/>
        <v>0.34515030686850745</v>
      </c>
      <c r="AD291" s="12">
        <f t="shared" ca="1" si="58"/>
        <v>0.80963071834746891</v>
      </c>
    </row>
    <row r="292" spans="1:30">
      <c r="A292" s="56">
        <v>5</v>
      </c>
      <c r="B292" s="12">
        <f t="shared" si="52"/>
        <v>0.89391525000000005</v>
      </c>
      <c r="C292" s="12">
        <f t="shared" si="53"/>
        <v>0.92453715832319805</v>
      </c>
      <c r="D292" s="23">
        <f t="array" ref="D292">MATCH(MIN(ABS(ServerTypeA!$A$106:$A$165-$C292)),ABS(ServerTypeA!$A$106:$A$165-$C292),0)</f>
        <v>9</v>
      </c>
      <c r="E292" s="23">
        <f t="array" ref="E292">INDEX(ServerTypeA!$A$106:$A$165,MATCH(MIN(ABS(ServerTypeA!$A$106:$A$165-$C292)),ABS(ServerTypeA!$A$106:$A$165-$C292),0))</f>
        <v>0.9</v>
      </c>
      <c r="F292" s="80">
        <f t="shared" ca="1" si="54"/>
        <v>0</v>
      </c>
      <c r="G292" s="80">
        <f t="shared" ca="1" si="54"/>
        <v>0.6478874292771819</v>
      </c>
      <c r="H292" s="80">
        <f t="shared" ca="1" si="54"/>
        <v>0.33264207036991167</v>
      </c>
      <c r="I292" s="80">
        <f t="shared" ca="1" si="54"/>
        <v>1.8220068282046253E-2</v>
      </c>
      <c r="J292" s="80">
        <f t="shared" ca="1" si="54"/>
        <v>6.504195037900784E-4</v>
      </c>
      <c r="K292" s="80">
        <f t="shared" ca="1" si="54"/>
        <v>5.0559486676760024E-5</v>
      </c>
      <c r="L292" s="80">
        <f t="shared" ca="1" si="54"/>
        <v>2.299209596934304E-6</v>
      </c>
      <c r="M292" s="80">
        <f t="shared" ca="1" si="54"/>
        <v>1.255587669390934E-7</v>
      </c>
      <c r="N292" s="80">
        <f t="shared" ca="1" si="54"/>
        <v>8.1680614494317183E-9</v>
      </c>
      <c r="O292" s="80">
        <f t="shared" ca="1" si="54"/>
        <v>6.2318250559911803E-10</v>
      </c>
      <c r="P292" s="80">
        <f t="shared" ca="1" si="54"/>
        <v>5.4854787379099434E-11</v>
      </c>
      <c r="Q292" s="80">
        <f t="shared" ca="1" si="54"/>
        <v>5.4871662769073737E-12</v>
      </c>
      <c r="R292" s="80">
        <f t="shared" ca="1" si="54"/>
        <v>6.1550764485218679E-13</v>
      </c>
      <c r="S292" s="80">
        <f t="shared" ca="1" si="54"/>
        <v>7.6494366396673286E-14</v>
      </c>
      <c r="T292" s="80">
        <f t="shared" ca="1" si="54"/>
        <v>1.0436096431476471E-14</v>
      </c>
      <c r="U292" s="80">
        <f t="shared" ca="1" si="54"/>
        <v>1.5543122344752192E-15</v>
      </c>
      <c r="V292" s="80">
        <f t="shared" ca="1" si="55"/>
        <v>0</v>
      </c>
      <c r="W292" s="80">
        <f t="shared" ca="1" si="55"/>
        <v>0</v>
      </c>
      <c r="X292" s="80">
        <f t="shared" ca="1" si="55"/>
        <v>0</v>
      </c>
      <c r="Y292" s="80">
        <f t="shared" ca="1" si="55"/>
        <v>0</v>
      </c>
      <c r="Z292" s="80">
        <f t="shared" ca="1" si="55"/>
        <v>0</v>
      </c>
      <c r="AA292" s="80">
        <f ca="1">SUMPRODUCT(F292:Z292,FailureForCPU!E$17:Y$17)</f>
        <v>8.5024579969209894E-16</v>
      </c>
      <c r="AB292" s="80">
        <f t="shared" ca="1" si="56"/>
        <v>7.8608383552356821E-16</v>
      </c>
      <c r="AC292" s="12">
        <f t="shared" ca="1" si="57"/>
        <v>0.92453715832319727</v>
      </c>
      <c r="AD292" s="12">
        <f t="shared" ca="1" si="58"/>
        <v>0.99945298054026044</v>
      </c>
    </row>
    <row r="293" spans="1:30">
      <c r="A293" s="56">
        <v>6</v>
      </c>
      <c r="B293" s="12">
        <f t="shared" si="52"/>
        <v>1.2472558666666667</v>
      </c>
      <c r="C293" s="12">
        <f t="shared" si="53"/>
        <v>1.2899817904101507</v>
      </c>
      <c r="D293" s="23">
        <f t="array" ref="D293">MATCH(MIN(ABS(ServerTypeA!$A$106:$A$165-$C293)),ABS(ServerTypeA!$A$106:$A$165-$C293),0)</f>
        <v>13</v>
      </c>
      <c r="E293" s="23">
        <f t="array" ref="E293">INDEX(ServerTypeA!$A$106:$A$165,MATCH(MIN(ABS(ServerTypeA!$A$106:$A$165-$C293)),ABS(ServerTypeA!$A$106:$A$165-$C293),0))</f>
        <v>1.3</v>
      </c>
      <c r="F293" s="80">
        <f t="shared" ca="1" si="54"/>
        <v>0</v>
      </c>
      <c r="G293" s="80">
        <f t="shared" ca="1" si="54"/>
        <v>0.24598925078970357</v>
      </c>
      <c r="H293" s="80">
        <f t="shared" ca="1" si="54"/>
        <v>0.65226017775051437</v>
      </c>
      <c r="I293" s="80">
        <f t="shared" ca="1" si="54"/>
        <v>9.6544656117788175E-2</v>
      </c>
      <c r="J293" s="80">
        <f t="shared" ca="1" si="54"/>
        <v>4.8031733490413453E-3</v>
      </c>
      <c r="K293" s="80">
        <f t="shared" ca="1" si="54"/>
        <v>3.8585633571530664E-4</v>
      </c>
      <c r="L293" s="80">
        <f t="shared" ca="1" si="54"/>
        <v>1.5673133949012374E-5</v>
      </c>
      <c r="M293" s="80">
        <f t="shared" ca="1" si="54"/>
        <v>6.9597972307544609E-7</v>
      </c>
      <c r="N293" s="80">
        <f t="shared" ca="1" si="54"/>
        <v>3.4953464345122143E-8</v>
      </c>
      <c r="O293" s="80">
        <f t="shared" ca="1" si="54"/>
        <v>1.9994971234282843E-9</v>
      </c>
      <c r="P293" s="80">
        <f t="shared" ca="1" si="54"/>
        <v>1.2985090780404107E-10</v>
      </c>
      <c r="Q293" s="80">
        <f t="shared" ca="1" si="54"/>
        <v>9.5042862469085776E-12</v>
      </c>
      <c r="R293" s="80">
        <f t="shared" ca="1" si="54"/>
        <v>7.7737816184253461E-13</v>
      </c>
      <c r="S293" s="80">
        <f t="shared" ca="1" si="54"/>
        <v>7.049916206369744E-14</v>
      </c>
      <c r="T293" s="80">
        <f t="shared" ca="1" si="54"/>
        <v>6.9944050551384862E-15</v>
      </c>
      <c r="U293" s="80">
        <f t="shared" ca="1" si="54"/>
        <v>0</v>
      </c>
      <c r="V293" s="80">
        <f t="shared" ca="1" si="55"/>
        <v>0</v>
      </c>
      <c r="W293" s="80">
        <f t="shared" ca="1" si="55"/>
        <v>0</v>
      </c>
      <c r="X293" s="80">
        <f t="shared" ca="1" si="55"/>
        <v>0</v>
      </c>
      <c r="Y293" s="80">
        <f t="shared" ca="1" si="55"/>
        <v>0</v>
      </c>
      <c r="Z293" s="80">
        <f t="shared" ca="1" si="55"/>
        <v>0</v>
      </c>
      <c r="AA293" s="80">
        <f ca="1">SUMPRODUCT(F293:Z293,FailureForCPU!E$17:Y$17)</f>
        <v>7.0406643478312012E-16</v>
      </c>
      <c r="AB293" s="80">
        <f t="shared" ca="1" si="56"/>
        <v>9.0823288010922099E-16</v>
      </c>
      <c r="AC293" s="12">
        <f t="shared" ca="1" si="57"/>
        <v>1.2899817904101498</v>
      </c>
      <c r="AD293" s="12">
        <f t="shared" ca="1" si="58"/>
        <v>0.99999952054960639</v>
      </c>
    </row>
    <row r="294" spans="1:30">
      <c r="A294" s="56">
        <v>7</v>
      </c>
      <c r="B294" s="12">
        <f t="shared" si="52"/>
        <v>1.427451456896552</v>
      </c>
      <c r="C294" s="12">
        <f t="shared" si="53"/>
        <v>1.4763501501998619</v>
      </c>
      <c r="D294" s="23">
        <f t="array" ref="D294">MATCH(MIN(ABS(ServerTypeA!$A$106:$A$165-$C294)),ABS(ServerTypeA!$A$106:$A$165-$C294),0)</f>
        <v>15</v>
      </c>
      <c r="E294" s="23">
        <f t="array" ref="E294">INDEX(ServerTypeA!$A$106:$A$165,MATCH(MIN(ABS(ServerTypeA!$A$106:$A$165-$C294)),ABS(ServerTypeA!$A$106:$A$165-$C294),0))</f>
        <v>1.5</v>
      </c>
      <c r="F294" s="80">
        <f t="shared" ca="1" si="54"/>
        <v>0</v>
      </c>
      <c r="G294" s="80">
        <f t="shared" ca="1" si="54"/>
        <v>0.1119093253238798</v>
      </c>
      <c r="H294" s="80">
        <f t="shared" ca="1" si="54"/>
        <v>0.69550715681810971</v>
      </c>
      <c r="I294" s="80">
        <f t="shared" ca="1" si="54"/>
        <v>0.1800922260471941</v>
      </c>
      <c r="J294" s="80">
        <f t="shared" ca="1" si="54"/>
        <v>1.146260311444558E-2</v>
      </c>
      <c r="K294" s="80">
        <f t="shared" ca="1" si="54"/>
        <v>9.8711866178513574E-4</v>
      </c>
      <c r="L294" s="80">
        <f t="shared" ca="1" si="54"/>
        <v>3.9827292828142902E-5</v>
      </c>
      <c r="M294" s="80">
        <f t="shared" ca="1" si="54"/>
        <v>1.6572984671281432E-6</v>
      </c>
      <c r="N294" s="80">
        <f t="shared" ca="1" si="54"/>
        <v>7.5399776755524783E-8</v>
      </c>
      <c r="O294" s="80">
        <f t="shared" ca="1" si="54"/>
        <v>3.8287484294130536E-9</v>
      </c>
      <c r="P294" s="80">
        <f t="shared" ca="1" si="54"/>
        <v>2.1801438432333953E-10</v>
      </c>
      <c r="Q294" s="80">
        <f t="shared" ca="1" si="54"/>
        <v>1.3888334926548396E-11</v>
      </c>
      <c r="R294" s="80">
        <f t="shared" ca="1" si="54"/>
        <v>9.8454577823758882E-13</v>
      </c>
      <c r="S294" s="80">
        <f t="shared" ca="1" si="54"/>
        <v>7.716050021144838E-14</v>
      </c>
      <c r="T294" s="80">
        <f t="shared" ca="1" si="54"/>
        <v>6.6613381477509392E-15</v>
      </c>
      <c r="U294" s="80">
        <f t="shared" ca="1" si="54"/>
        <v>0</v>
      </c>
      <c r="V294" s="80">
        <f t="shared" ca="1" si="55"/>
        <v>0</v>
      </c>
      <c r="W294" s="80">
        <f t="shared" ca="1" si="55"/>
        <v>0</v>
      </c>
      <c r="X294" s="80">
        <f t="shared" ca="1" si="55"/>
        <v>0</v>
      </c>
      <c r="Y294" s="80">
        <f t="shared" ca="1" si="55"/>
        <v>0</v>
      </c>
      <c r="Z294" s="80">
        <f t="shared" ca="1" si="55"/>
        <v>0</v>
      </c>
      <c r="AA294" s="80">
        <f ca="1">SUMPRODUCT(F294:Z294,FailureForCPU!E$17:Y$17)</f>
        <v>7.5402647089125218E-16</v>
      </c>
      <c r="AB294" s="80">
        <f t="shared" ca="1" si="56"/>
        <v>1.113207093554972E-15</v>
      </c>
      <c r="AC294" s="12">
        <f t="shared" ca="1" si="57"/>
        <v>1.4763501501998608</v>
      </c>
      <c r="AD294" s="12">
        <f t="shared" ca="1" si="58"/>
        <v>0.99999999401820583</v>
      </c>
    </row>
    <row r="295" spans="1:30">
      <c r="A295" s="56">
        <v>8</v>
      </c>
      <c r="B295" s="12">
        <f t="shared" si="52"/>
        <v>1.6331402586206896</v>
      </c>
      <c r="C295" s="12">
        <f t="shared" si="53"/>
        <v>1.6890850154400936</v>
      </c>
      <c r="D295" s="23">
        <f t="array" ref="D295">MATCH(MIN(ABS(ServerTypeA!$A$106:$A$165-$C295)),ABS(ServerTypeA!$A$106:$A$165-$C295),0)</f>
        <v>17</v>
      </c>
      <c r="E295" s="23">
        <f t="array" ref="E295">INDEX(ServerTypeA!$A$106:$A$165,MATCH(MIN(ABS(ServerTypeA!$A$106:$A$165-$C295)),ABS(ServerTypeA!$A$106:$A$165-$C295),0))</f>
        <v>1.7</v>
      </c>
      <c r="F295" s="80">
        <f t="shared" ca="1" si="54"/>
        <v>0</v>
      </c>
      <c r="G295" s="80">
        <f t="shared" ca="1" si="54"/>
        <v>4.1463030082338738E-2</v>
      </c>
      <c r="H295" s="80">
        <f t="shared" ca="1" si="54"/>
        <v>0.64122709160290614</v>
      </c>
      <c r="I295" s="80">
        <f t="shared" ca="1" si="54"/>
        <v>0.2905306516274746</v>
      </c>
      <c r="J295" s="80">
        <f t="shared" ca="1" si="54"/>
        <v>2.4382888062965291E-2</v>
      </c>
      <c r="K295" s="80">
        <f t="shared" ca="1" si="54"/>
        <v>2.2986485457712202E-3</v>
      </c>
      <c r="L295" s="80">
        <f t="shared" ca="1" si="54"/>
        <v>9.3823013921801035E-5</v>
      </c>
      <c r="M295" s="80">
        <f t="shared" ca="1" si="54"/>
        <v>3.7055641501915204E-6</v>
      </c>
      <c r="N295" s="80">
        <f t="shared" ca="1" si="54"/>
        <v>1.5409524256604357E-7</v>
      </c>
      <c r="O295" s="80">
        <f t="shared" ca="1" si="54"/>
        <v>6.9896542997938127E-9</v>
      </c>
      <c r="P295" s="80">
        <f t="shared" ca="1" si="54"/>
        <v>3.5048364210865657E-10</v>
      </c>
      <c r="Q295" s="80">
        <f t="shared" ca="1" si="54"/>
        <v>1.9488410885060148E-11</v>
      </c>
      <c r="R295" s="80">
        <f t="shared" ca="1" si="54"/>
        <v>1.1994849558050191E-12</v>
      </c>
      <c r="S295" s="80">
        <f t="shared" ca="1" si="54"/>
        <v>8.149037000748649E-14</v>
      </c>
      <c r="T295" s="80">
        <f t="shared" ca="1" si="54"/>
        <v>5.9952043329758453E-15</v>
      </c>
      <c r="U295" s="80">
        <f t="shared" ca="1" si="54"/>
        <v>0</v>
      </c>
      <c r="V295" s="80">
        <f t="shared" ca="1" si="55"/>
        <v>0</v>
      </c>
      <c r="W295" s="80">
        <f t="shared" ca="1" si="55"/>
        <v>0</v>
      </c>
      <c r="X295" s="80">
        <f t="shared" ca="1" si="55"/>
        <v>0</v>
      </c>
      <c r="Y295" s="80">
        <f t="shared" ca="1" si="55"/>
        <v>0</v>
      </c>
      <c r="Z295" s="80">
        <f t="shared" ca="1" si="55"/>
        <v>0</v>
      </c>
      <c r="AA295" s="80">
        <f ca="1">SUMPRODUCT(F295:Z295,FailureForCPU!E$17:Y$17)</f>
        <v>7.7900648894531817E-16</v>
      </c>
      <c r="AB295" s="80">
        <f t="shared" ca="1" si="56"/>
        <v>1.3158081874081359E-15</v>
      </c>
      <c r="AC295" s="12">
        <f t="shared" ca="1" si="57"/>
        <v>1.6890850154400923</v>
      </c>
      <c r="AD295" s="12">
        <f t="shared" ca="1" si="58"/>
        <v>0.99999999995568389</v>
      </c>
    </row>
    <row r="296" spans="1:30">
      <c r="A296" s="56">
        <v>9</v>
      </c>
      <c r="B296" s="12">
        <f t="shared" si="52"/>
        <v>1.8079739655172413</v>
      </c>
      <c r="C296" s="12">
        <f t="shared" si="53"/>
        <v>1.8699078155357949</v>
      </c>
      <c r="D296" s="23">
        <f t="array" ref="D296">MATCH(MIN(ABS(ServerTypeA!$A$106:$A$165-$C296)),ABS(ServerTypeA!$A$106:$A$165-$C296),0)</f>
        <v>19</v>
      </c>
      <c r="E296" s="23">
        <f t="array" ref="E296">INDEX(ServerTypeA!$A$106:$A$165,MATCH(MIN(ABS(ServerTypeA!$A$106:$A$165-$C296)),ABS(ServerTypeA!$A$106:$A$165-$C296),0))</f>
        <v>1.9</v>
      </c>
      <c r="F296" s="80">
        <f t="shared" ca="1" si="54"/>
        <v>0</v>
      </c>
      <c r="G296" s="80">
        <f t="shared" ca="1" si="54"/>
        <v>1.2621865999516303E-2</v>
      </c>
      <c r="H296" s="80">
        <f t="shared" ca="1" si="54"/>
        <v>0.52528878486634523</v>
      </c>
      <c r="I296" s="80">
        <f t="shared" ca="1" si="54"/>
        <v>0.41072465110529444</v>
      </c>
      <c r="J296" s="80">
        <f t="shared" ca="1" si="54"/>
        <v>4.6306751129439827E-2</v>
      </c>
      <c r="K296" s="80">
        <f t="shared" ca="1" si="54"/>
        <v>4.8475736171164074E-3</v>
      </c>
      <c r="L296" s="80">
        <f t="shared" ca="1" si="54"/>
        <v>2.0243099489947181E-4</v>
      </c>
      <c r="M296" s="80">
        <f t="shared" ca="1" si="54"/>
        <v>7.6385860107164305E-6</v>
      </c>
      <c r="N296" s="80">
        <f t="shared" ca="1" si="54"/>
        <v>2.9133435353045911E-7</v>
      </c>
      <c r="O296" s="80">
        <f t="shared" ca="1" si="54"/>
        <v>1.1818426459697662E-8</v>
      </c>
      <c r="P296" s="80">
        <f t="shared" ca="1" si="54"/>
        <v>5.2168114272888033E-10</v>
      </c>
      <c r="Q296" s="80">
        <f t="shared" ca="1" si="54"/>
        <v>2.5282886895183765E-11</v>
      </c>
      <c r="R296" s="80">
        <f t="shared" ca="1" si="54"/>
        <v>1.3480327964998651E-12</v>
      </c>
      <c r="S296" s="80">
        <f t="shared" ca="1" si="54"/>
        <v>7.893685705084863E-14</v>
      </c>
      <c r="T296" s="80">
        <f t="shared" ca="1" si="54"/>
        <v>5.1070259132757201E-15</v>
      </c>
      <c r="U296" s="80">
        <f t="shared" ca="1" si="54"/>
        <v>0</v>
      </c>
      <c r="V296" s="80">
        <f t="shared" ca="1" si="55"/>
        <v>0</v>
      </c>
      <c r="W296" s="80">
        <f t="shared" ca="1" si="55"/>
        <v>0</v>
      </c>
      <c r="X296" s="80">
        <f t="shared" ca="1" si="55"/>
        <v>0</v>
      </c>
      <c r="Y296" s="80">
        <f t="shared" ca="1" si="55"/>
        <v>0</v>
      </c>
      <c r="Z296" s="80">
        <f t="shared" ca="1" si="55"/>
        <v>0</v>
      </c>
      <c r="AA296" s="80">
        <f ca="1">SUMPRODUCT(F296:Z296,FailureForCPU!E$17:Y$17)</f>
        <v>7.4292424064500056E-16</v>
      </c>
      <c r="AB296" s="80">
        <f t="shared" ca="1" si="56"/>
        <v>1.3891998439330822E-15</v>
      </c>
      <c r="AC296" s="12">
        <f t="shared" ca="1" si="57"/>
        <v>1.8699078155357935</v>
      </c>
      <c r="AD296" s="12">
        <f t="shared" ca="1" si="58"/>
        <v>0.99999999999979849</v>
      </c>
    </row>
    <row r="297" spans="1:30">
      <c r="A297" s="56">
        <v>10</v>
      </c>
      <c r="B297" s="12">
        <f t="shared" si="52"/>
        <v>1.9315643166666667</v>
      </c>
      <c r="C297" s="12">
        <f t="shared" si="53"/>
        <v>1.9977318704983384</v>
      </c>
      <c r="D297" s="23">
        <f t="array" ref="D297">MATCH(MIN(ABS(ServerTypeA!$A$106:$A$165-$C297)),ABS(ServerTypeA!$A$106:$A$165-$C297),0)</f>
        <v>20</v>
      </c>
      <c r="E297" s="23">
        <f t="array" ref="E297">INDEX(ServerTypeA!$A$106:$A$165,MATCH(MIN(ABS(ServerTypeA!$A$106:$A$165-$C297)),ABS(ServerTypeA!$A$106:$A$165-$C297),0))</f>
        <v>2</v>
      </c>
      <c r="F297" s="80">
        <f t="shared" ca="1" si="54"/>
        <v>0</v>
      </c>
      <c r="G297" s="80">
        <f t="shared" ca="1" si="54"/>
        <v>6.4882558968740569E-3</v>
      </c>
      <c r="H297" s="80">
        <f t="shared" ca="1" si="54"/>
        <v>0.45773957032610912</v>
      </c>
      <c r="I297" s="80">
        <f t="shared" ca="1" si="54"/>
        <v>0.46733225910107257</v>
      </c>
      <c r="J297" s="80">
        <f t="shared" ca="1" si="54"/>
        <v>6.1346451119754675E-2</v>
      </c>
      <c r="K297" s="80">
        <f t="shared" ca="1" si="54"/>
        <v>6.7946249034726014E-3</v>
      </c>
      <c r="L297" s="80">
        <f t="shared" ca="1" si="54"/>
        <v>2.8780670345651682E-4</v>
      </c>
      <c r="M297" s="80">
        <f t="shared" ca="1" si="54"/>
        <v>1.0628172429583138E-5</v>
      </c>
      <c r="N297" s="80">
        <f t="shared" ca="1" si="54"/>
        <v>3.8824666881431824E-7</v>
      </c>
      <c r="O297" s="80">
        <f t="shared" ca="1" si="54"/>
        <v>1.4885105814599342E-8</v>
      </c>
      <c r="P297" s="80">
        <f t="shared" ca="1" si="54"/>
        <v>6.1576810317376385E-10</v>
      </c>
      <c r="Q297" s="80">
        <f t="shared" ca="1" si="54"/>
        <v>2.7819080372637472E-11</v>
      </c>
      <c r="R297" s="80">
        <f t="shared" ca="1" si="54"/>
        <v>1.3781198404672068E-12</v>
      </c>
      <c r="S297" s="80">
        <f t="shared" ca="1" si="54"/>
        <v>7.4829031859735551E-14</v>
      </c>
      <c r="T297" s="80">
        <f t="shared" ca="1" si="54"/>
        <v>4.4408920985006262E-15</v>
      </c>
      <c r="U297" s="80">
        <f t="shared" ca="1" si="54"/>
        <v>0</v>
      </c>
      <c r="V297" s="80">
        <f t="shared" ca="1" si="55"/>
        <v>0</v>
      </c>
      <c r="W297" s="80">
        <f t="shared" ca="1" si="55"/>
        <v>0</v>
      </c>
      <c r="X297" s="80">
        <f t="shared" ca="1" si="55"/>
        <v>0</v>
      </c>
      <c r="Y297" s="80">
        <f t="shared" ca="1" si="55"/>
        <v>0</v>
      </c>
      <c r="Z297" s="80">
        <f t="shared" ca="1" si="55"/>
        <v>0</v>
      </c>
      <c r="AA297" s="80">
        <f ca="1">SUMPRODUCT(F297:Z297,FailureForCPU!E$17:Y$17)</f>
        <v>6.9759013380614001E-16</v>
      </c>
      <c r="AB297" s="80">
        <f t="shared" ca="1" si="56"/>
        <v>1.3935980428497263E-15</v>
      </c>
      <c r="AC297" s="12">
        <f t="shared" ca="1" si="57"/>
        <v>1.9977318704983371</v>
      </c>
      <c r="AD297" s="12">
        <f t="shared" ca="1" si="58"/>
        <v>0.99999999999998834</v>
      </c>
    </row>
    <row r="298" spans="1:30">
      <c r="A298" s="56">
        <v>11</v>
      </c>
      <c r="B298" s="12">
        <f t="shared" si="52"/>
        <v>2.03022415</v>
      </c>
      <c r="C298" s="12">
        <f t="shared" si="53"/>
        <v>2.099771389290126</v>
      </c>
      <c r="D298" s="23">
        <f t="array" ref="D298">MATCH(MIN(ABS(ServerTypeA!$A$106:$A$165-$C298)),ABS(ServerTypeA!$A$106:$A$165-$C298),0)</f>
        <v>21</v>
      </c>
      <c r="E298" s="23">
        <f t="array" ref="E298">INDEX(ServerTypeA!$A$106:$A$165,MATCH(MIN(ABS(ServerTypeA!$A$106:$A$165-$C298)),ABS(ServerTypeA!$A$106:$A$165-$C298),0))</f>
        <v>2.1</v>
      </c>
      <c r="F298" s="80">
        <f t="shared" ca="1" si="54"/>
        <v>0</v>
      </c>
      <c r="G298" s="80">
        <f t="shared" ca="1" si="54"/>
        <v>3.18466237266911E-3</v>
      </c>
      <c r="H298" s="80">
        <f t="shared" ca="1" si="54"/>
        <v>0.38977686698309044</v>
      </c>
      <c r="I298" s="80">
        <f t="shared" ca="1" si="54"/>
        <v>0.51796218850113263</v>
      </c>
      <c r="J298" s="80">
        <f t="shared" ca="1" si="54"/>
        <v>7.9340938760323443E-2</v>
      </c>
      <c r="K298" s="80">
        <f t="shared" ca="1" si="54"/>
        <v>9.3193138384064511E-3</v>
      </c>
      <c r="L298" s="80">
        <f t="shared" ca="1" si="54"/>
        <v>4.0100499033179915E-4</v>
      </c>
      <c r="M298" s="80">
        <f t="shared" ca="1" si="54"/>
        <v>1.4498328848588926E-5</v>
      </c>
      <c r="N298" s="80">
        <f t="shared" ca="1" si="54"/>
        <v>5.0712178423228949E-7</v>
      </c>
      <c r="O298" s="80">
        <f t="shared" ca="1" si="54"/>
        <v>1.8361006159928195E-8</v>
      </c>
      <c r="P298" s="80">
        <f t="shared" ca="1" si="54"/>
        <v>7.110533273291253E-10</v>
      </c>
      <c r="Q298" s="80">
        <f t="shared" ca="1" si="54"/>
        <v>2.9905744547420454E-11</v>
      </c>
      <c r="R298" s="80">
        <f t="shared" ca="1" si="54"/>
        <v>1.3743450821834813E-12</v>
      </c>
      <c r="S298" s="80">
        <f t="shared" ca="1" si="54"/>
        <v>6.9166894434147252E-14</v>
      </c>
      <c r="T298" s="80">
        <f t="shared" ca="1" si="54"/>
        <v>3.7747582837255322E-15</v>
      </c>
      <c r="U298" s="80">
        <f t="shared" ca="1" si="54"/>
        <v>0</v>
      </c>
      <c r="V298" s="80">
        <f t="shared" ca="1" si="55"/>
        <v>0</v>
      </c>
      <c r="W298" s="80">
        <f t="shared" ca="1" si="55"/>
        <v>0</v>
      </c>
      <c r="X298" s="80">
        <f t="shared" ca="1" si="55"/>
        <v>0</v>
      </c>
      <c r="Y298" s="80">
        <f t="shared" ca="1" si="55"/>
        <v>0</v>
      </c>
      <c r="Z298" s="80">
        <f t="shared" ca="1" si="55"/>
        <v>0</v>
      </c>
      <c r="AA298" s="80">
        <f ca="1">SUMPRODUCT(F298:Z298,FailureForCPU!E$17:Y$17)</f>
        <v>6.3930342501331926E-16</v>
      </c>
      <c r="AB298" s="80">
        <f t="shared" ca="1" si="56"/>
        <v>1.3423910409181532E-15</v>
      </c>
      <c r="AC298" s="12">
        <f t="shared" ca="1" si="57"/>
        <v>2.0997713892901246</v>
      </c>
      <c r="AD298" s="12">
        <f t="shared" ca="1" si="58"/>
        <v>0.99999999999999922</v>
      </c>
    </row>
    <row r="299" spans="1:30">
      <c r="A299" s="56">
        <v>12</v>
      </c>
      <c r="B299" s="12">
        <f t="shared" si="52"/>
        <v>2.2896160166666668</v>
      </c>
      <c r="C299" s="12">
        <f t="shared" si="53"/>
        <v>2.3680489685127086</v>
      </c>
      <c r="D299" s="23">
        <f t="array" ref="D299">MATCH(MIN(ABS(ServerTypeA!$A$106:$A$165-$C299)),ABS(ServerTypeA!$A$106:$A$165-$C299),0)</f>
        <v>24</v>
      </c>
      <c r="E299" s="23">
        <f t="array" ref="E299">INDEX(ServerTypeA!$A$106:$A$165,MATCH(MIN(ABS(ServerTypeA!$A$106:$A$165-$C299)),ABS(ServerTypeA!$A$106:$A$165-$C299),0))</f>
        <v>2.4</v>
      </c>
      <c r="F299" s="80">
        <f t="shared" ca="1" si="54"/>
        <v>0</v>
      </c>
      <c r="G299" s="80">
        <f t="shared" ca="1" si="54"/>
        <v>2.8426728755026604E-4</v>
      </c>
      <c r="H299" s="80">
        <f t="shared" ca="1" si="54"/>
        <v>0.21080743577880634</v>
      </c>
      <c r="I299" s="80">
        <f t="shared" ca="1" si="54"/>
        <v>0.61494753029451921</v>
      </c>
      <c r="J299" s="80">
        <f t="shared" ca="1" si="54"/>
        <v>0.15142184347630239</v>
      </c>
      <c r="K299" s="80">
        <f t="shared" ca="1" si="54"/>
        <v>2.1524552035688482E-2</v>
      </c>
      <c r="L299" s="80">
        <f t="shared" ca="1" si="54"/>
        <v>9.7998094599649477E-4</v>
      </c>
      <c r="M299" s="80">
        <f t="shared" ca="1" si="54"/>
        <v>3.3336683584073157E-5</v>
      </c>
      <c r="N299" s="80">
        <f t="shared" ca="1" si="54"/>
        <v>1.0215000042501643E-6</v>
      </c>
      <c r="O299" s="80">
        <f t="shared" ca="1" si="54"/>
        <v>3.0986197496751799E-8</v>
      </c>
      <c r="P299" s="80">
        <f t="shared" ca="1" si="54"/>
        <v>9.7723673597727156E-10</v>
      </c>
      <c r="Q299" s="80">
        <f t="shared" ca="1" si="54"/>
        <v>3.2870595134681935E-11</v>
      </c>
      <c r="R299" s="80">
        <f t="shared" ca="1" si="54"/>
        <v>1.1943779298917434E-12</v>
      </c>
      <c r="S299" s="80">
        <f t="shared" ca="1" si="54"/>
        <v>4.7184478546569153E-14</v>
      </c>
      <c r="T299" s="80">
        <f t="shared" ca="1" si="54"/>
        <v>1.9984014443252818E-15</v>
      </c>
      <c r="U299" s="80">
        <f t="shared" ca="1" si="54"/>
        <v>0</v>
      </c>
      <c r="V299" s="80">
        <f t="shared" ca="1" si="55"/>
        <v>0</v>
      </c>
      <c r="W299" s="80">
        <f t="shared" ca="1" si="55"/>
        <v>0</v>
      </c>
      <c r="X299" s="80">
        <f t="shared" ca="1" si="55"/>
        <v>0</v>
      </c>
      <c r="Y299" s="80">
        <f t="shared" ca="1" si="55"/>
        <v>0</v>
      </c>
      <c r="Z299" s="80">
        <f t="shared" ca="1" si="55"/>
        <v>0</v>
      </c>
      <c r="AA299" s="80">
        <f ca="1">SUMPRODUCT(F299:Z299,FailureForCPU!E$17:Y$17)</f>
        <v>4.2651067862683093E-16</v>
      </c>
      <c r="AB299" s="80">
        <f t="shared" ca="1" si="56"/>
        <v>1.0099981725819224E-15</v>
      </c>
      <c r="AC299" s="12">
        <f t="shared" ca="1" si="57"/>
        <v>2.3680489685127077</v>
      </c>
      <c r="AD299" s="12">
        <f t="shared" ca="1" si="58"/>
        <v>0.99999999999999989</v>
      </c>
    </row>
    <row r="300" spans="1:30">
      <c r="A300" s="56">
        <v>13</v>
      </c>
      <c r="B300" s="12">
        <f t="shared" si="52"/>
        <v>2.2934009304597702</v>
      </c>
      <c r="C300" s="12">
        <f t="shared" si="53"/>
        <v>2.3719635380905006</v>
      </c>
      <c r="D300" s="23">
        <f t="array" ref="D300">MATCH(MIN(ABS(ServerTypeA!$A$106:$A$165-$C300)),ABS(ServerTypeA!$A$106:$A$165-$C300),0)</f>
        <v>24</v>
      </c>
      <c r="E300" s="23">
        <f t="array" ref="E300">INDEX(ServerTypeA!$A$106:$A$165,MATCH(MIN(ABS(ServerTypeA!$A$106:$A$165-$C300)),ABS(ServerTypeA!$A$106:$A$165-$C300),0))</f>
        <v>2.4</v>
      </c>
      <c r="F300" s="80">
        <f t="shared" ca="1" si="54"/>
        <v>0</v>
      </c>
      <c r="G300" s="80">
        <f t="shared" ca="1" si="54"/>
        <v>2.8426728755026604E-4</v>
      </c>
      <c r="H300" s="80">
        <f t="shared" ca="1" si="54"/>
        <v>0.21080743577880634</v>
      </c>
      <c r="I300" s="80">
        <f t="shared" ca="1" si="54"/>
        <v>0.61494753029451921</v>
      </c>
      <c r="J300" s="80">
        <f t="shared" ca="1" si="54"/>
        <v>0.15142184347630239</v>
      </c>
      <c r="K300" s="80">
        <f t="shared" ca="1" si="54"/>
        <v>2.1524552035688482E-2</v>
      </c>
      <c r="L300" s="80">
        <f t="shared" ca="1" si="54"/>
        <v>9.7998094599649477E-4</v>
      </c>
      <c r="M300" s="80">
        <f t="shared" ca="1" si="54"/>
        <v>3.3336683584073157E-5</v>
      </c>
      <c r="N300" s="80">
        <f t="shared" ca="1" si="54"/>
        <v>1.0215000042501643E-6</v>
      </c>
      <c r="O300" s="80">
        <f t="shared" ca="1" si="54"/>
        <v>3.0986197496751799E-8</v>
      </c>
      <c r="P300" s="80">
        <f t="shared" ca="1" si="54"/>
        <v>9.7723673597727156E-10</v>
      </c>
      <c r="Q300" s="80">
        <f t="shared" ca="1" si="54"/>
        <v>3.2870595134681935E-11</v>
      </c>
      <c r="R300" s="80">
        <f t="shared" ca="1" si="54"/>
        <v>1.1943779298917434E-12</v>
      </c>
      <c r="S300" s="80">
        <f t="shared" ca="1" si="54"/>
        <v>4.7184478546569153E-14</v>
      </c>
      <c r="T300" s="80">
        <f t="shared" ca="1" si="54"/>
        <v>1.9984014443252818E-15</v>
      </c>
      <c r="U300" s="80">
        <f t="shared" ca="1" si="54"/>
        <v>0</v>
      </c>
      <c r="V300" s="80">
        <f t="shared" ca="1" si="55"/>
        <v>0</v>
      </c>
      <c r="W300" s="80">
        <f t="shared" ca="1" si="55"/>
        <v>0</v>
      </c>
      <c r="X300" s="80">
        <f t="shared" ca="1" si="55"/>
        <v>0</v>
      </c>
      <c r="Y300" s="80">
        <f t="shared" ca="1" si="55"/>
        <v>0</v>
      </c>
      <c r="Z300" s="80">
        <f t="shared" ca="1" si="55"/>
        <v>0</v>
      </c>
      <c r="AA300" s="80">
        <f ca="1">SUMPRODUCT(F300:Z300,FailureForCPU!E$17:Y$17)</f>
        <v>4.2651067862683093E-16</v>
      </c>
      <c r="AB300" s="80">
        <f t="shared" ca="1" si="56"/>
        <v>1.0116677783090784E-15</v>
      </c>
      <c r="AC300" s="12">
        <f t="shared" ca="1" si="57"/>
        <v>2.3719635380904998</v>
      </c>
      <c r="AD300" s="12">
        <f t="shared" ca="1" si="58"/>
        <v>0.99999999999999989</v>
      </c>
    </row>
    <row r="301" spans="1:30">
      <c r="A301" s="56">
        <v>14</v>
      </c>
      <c r="B301" s="12">
        <f t="shared" si="52"/>
        <v>2.3540504500000003</v>
      </c>
      <c r="C301" s="12">
        <f t="shared" si="53"/>
        <v>2.4346906640114327</v>
      </c>
      <c r="D301" s="23">
        <f t="array" ref="D301">MATCH(MIN(ABS(ServerTypeA!$A$106:$A$165-$C301)),ABS(ServerTypeA!$A$106:$A$165-$C301),0)</f>
        <v>24</v>
      </c>
      <c r="E301" s="23">
        <f t="array" ref="E301">INDEX(ServerTypeA!$A$106:$A$165,MATCH(MIN(ABS(ServerTypeA!$A$106:$A$165-$C301)),ABS(ServerTypeA!$A$106:$A$165-$C301),0))</f>
        <v>2.4</v>
      </c>
      <c r="F301" s="80">
        <f t="shared" ca="1" si="54"/>
        <v>0</v>
      </c>
      <c r="G301" s="80">
        <f t="shared" ca="1" si="54"/>
        <v>2.8426728755026604E-4</v>
      </c>
      <c r="H301" s="80">
        <f t="shared" ca="1" si="54"/>
        <v>0.21080743577880634</v>
      </c>
      <c r="I301" s="80">
        <f t="shared" ca="1" si="54"/>
        <v>0.61494753029451921</v>
      </c>
      <c r="J301" s="80">
        <f t="shared" ca="1" si="54"/>
        <v>0.15142184347630239</v>
      </c>
      <c r="K301" s="80">
        <f t="shared" ca="1" si="54"/>
        <v>2.1524552035688482E-2</v>
      </c>
      <c r="L301" s="80">
        <f t="shared" ca="1" si="54"/>
        <v>9.7998094599649477E-4</v>
      </c>
      <c r="M301" s="80">
        <f t="shared" ca="1" si="54"/>
        <v>3.3336683584073157E-5</v>
      </c>
      <c r="N301" s="80">
        <f t="shared" ca="1" si="54"/>
        <v>1.0215000042501643E-6</v>
      </c>
      <c r="O301" s="80">
        <f t="shared" ca="1" si="54"/>
        <v>3.0986197496751799E-8</v>
      </c>
      <c r="P301" s="80">
        <f t="shared" ca="1" si="54"/>
        <v>9.7723673597727156E-10</v>
      </c>
      <c r="Q301" s="80">
        <f t="shared" ca="1" si="54"/>
        <v>3.2870595134681935E-11</v>
      </c>
      <c r="R301" s="80">
        <f t="shared" ca="1" si="54"/>
        <v>1.1943779298917434E-12</v>
      </c>
      <c r="S301" s="80">
        <f t="shared" ca="1" si="54"/>
        <v>4.7184478546569153E-14</v>
      </c>
      <c r="T301" s="80">
        <f t="shared" ca="1" si="54"/>
        <v>1.9984014443252818E-15</v>
      </c>
      <c r="U301" s="80">
        <f t="shared" ca="1" si="54"/>
        <v>0</v>
      </c>
      <c r="V301" s="80">
        <f t="shared" ca="1" si="55"/>
        <v>0</v>
      </c>
      <c r="W301" s="80">
        <f t="shared" ca="1" si="55"/>
        <v>0</v>
      </c>
      <c r="X301" s="80">
        <f t="shared" ca="1" si="55"/>
        <v>0</v>
      </c>
      <c r="Y301" s="80">
        <f t="shared" ca="1" si="55"/>
        <v>0</v>
      </c>
      <c r="Z301" s="80">
        <f t="shared" ca="1" si="55"/>
        <v>0</v>
      </c>
      <c r="AA301" s="80">
        <f ca="1">SUMPRODUCT(F301:Z301,FailureForCPU!E$17:Y$17)</f>
        <v>4.2651067862683093E-16</v>
      </c>
      <c r="AB301" s="80">
        <f t="shared" ca="1" si="56"/>
        <v>1.0384215673539258E-15</v>
      </c>
      <c r="AC301" s="12">
        <f t="shared" ca="1" si="57"/>
        <v>2.4346906640114319</v>
      </c>
      <c r="AD301" s="12">
        <f t="shared" ca="1" si="58"/>
        <v>0.99999999999999989</v>
      </c>
    </row>
    <row r="302" spans="1:30">
      <c r="A302" s="56">
        <v>15</v>
      </c>
      <c r="B302" s="12">
        <f t="shared" si="52"/>
        <v>2.3404022586206894</v>
      </c>
      <c r="C302" s="12">
        <f t="shared" si="53"/>
        <v>2.4205749409895025</v>
      </c>
      <c r="D302" s="23">
        <f t="array" ref="D302">MATCH(MIN(ABS(ServerTypeA!$A$106:$A$165-$C302)),ABS(ServerTypeA!$A$106:$A$165-$C302),0)</f>
        <v>24</v>
      </c>
      <c r="E302" s="23">
        <f t="array" ref="E302">INDEX(ServerTypeA!$A$106:$A$165,MATCH(MIN(ABS(ServerTypeA!$A$106:$A$165-$C302)),ABS(ServerTypeA!$A$106:$A$165-$C302),0))</f>
        <v>2.4</v>
      </c>
      <c r="F302" s="80">
        <f t="shared" ca="1" si="54"/>
        <v>0</v>
      </c>
      <c r="G302" s="80">
        <f t="shared" ca="1" si="54"/>
        <v>2.8426728755026604E-4</v>
      </c>
      <c r="H302" s="80">
        <f t="shared" ca="1" si="54"/>
        <v>0.21080743577880634</v>
      </c>
      <c r="I302" s="80">
        <f t="shared" ca="1" si="54"/>
        <v>0.61494753029451921</v>
      </c>
      <c r="J302" s="80">
        <f t="shared" ca="1" si="54"/>
        <v>0.15142184347630239</v>
      </c>
      <c r="K302" s="80">
        <f t="shared" ca="1" si="54"/>
        <v>2.1524552035688482E-2</v>
      </c>
      <c r="L302" s="80">
        <f t="shared" ca="1" si="54"/>
        <v>9.7998094599649477E-4</v>
      </c>
      <c r="M302" s="80">
        <f t="shared" ca="1" si="54"/>
        <v>3.3336683584073157E-5</v>
      </c>
      <c r="N302" s="80">
        <f t="shared" ca="1" si="54"/>
        <v>1.0215000042501643E-6</v>
      </c>
      <c r="O302" s="80">
        <f t="shared" ca="1" si="54"/>
        <v>3.0986197496751799E-8</v>
      </c>
      <c r="P302" s="80">
        <f t="shared" ca="1" si="54"/>
        <v>9.7723673597727156E-10</v>
      </c>
      <c r="Q302" s="80">
        <f t="shared" ca="1" si="54"/>
        <v>3.2870595134681935E-11</v>
      </c>
      <c r="R302" s="80">
        <f t="shared" ca="1" si="54"/>
        <v>1.1943779298917434E-12</v>
      </c>
      <c r="S302" s="80">
        <f t="shared" ca="1" si="54"/>
        <v>4.7184478546569153E-14</v>
      </c>
      <c r="T302" s="80">
        <f t="shared" ca="1" si="54"/>
        <v>1.9984014443252818E-15</v>
      </c>
      <c r="U302" s="80">
        <f t="shared" ref="U302:AD315" ca="1" si="59">OFFSET($B$106,$D302-1,U$221,1,1)</f>
        <v>0</v>
      </c>
      <c r="V302" s="80">
        <f t="shared" ca="1" si="59"/>
        <v>0</v>
      </c>
      <c r="W302" s="80">
        <f t="shared" ca="1" si="59"/>
        <v>0</v>
      </c>
      <c r="X302" s="80">
        <f t="shared" ca="1" si="59"/>
        <v>0</v>
      </c>
      <c r="Y302" s="80">
        <f t="shared" ca="1" si="59"/>
        <v>0</v>
      </c>
      <c r="Z302" s="80">
        <f t="shared" ca="1" si="59"/>
        <v>0</v>
      </c>
      <c r="AA302" s="80">
        <f ca="1">SUMPRODUCT(F302:Z302,FailureForCPU!E$17:Y$17)</f>
        <v>4.2651067862683093E-16</v>
      </c>
      <c r="AB302" s="80">
        <f t="shared" ca="1" si="56"/>
        <v>1.0324010607485339E-15</v>
      </c>
      <c r="AC302" s="12">
        <f t="shared" ca="1" si="57"/>
        <v>2.4205749409895017</v>
      </c>
      <c r="AD302" s="12">
        <f t="shared" ca="1" si="58"/>
        <v>0.99999999999999989</v>
      </c>
    </row>
    <row r="303" spans="1:30">
      <c r="A303" s="56">
        <v>16</v>
      </c>
      <c r="B303" s="12">
        <f t="shared" si="52"/>
        <v>2.4359785499999997</v>
      </c>
      <c r="C303" s="12">
        <f t="shared" si="53"/>
        <v>2.5194252881951216</v>
      </c>
      <c r="D303" s="23">
        <f t="array" ref="D303">MATCH(MIN(ABS(ServerTypeA!$A$106:$A$165-$C303)),ABS(ServerTypeA!$A$106:$A$165-$C303),0)</f>
        <v>25</v>
      </c>
      <c r="E303" s="23">
        <f t="array" ref="E303">INDEX(ServerTypeA!$A$106:$A$165,MATCH(MIN(ABS(ServerTypeA!$A$106:$A$165-$C303)),ABS(ServerTypeA!$A$106:$A$165-$C303),0))</f>
        <v>2.5</v>
      </c>
      <c r="F303" s="80">
        <f t="shared" ref="F303:U316" ca="1" si="60">OFFSET($B$106,$D303-1,F$221,1,1)</f>
        <v>0</v>
      </c>
      <c r="G303" s="80">
        <f t="shared" ca="1" si="60"/>
        <v>1.1499791790670066E-4</v>
      </c>
      <c r="H303" s="80">
        <f t="shared" ca="1" si="60"/>
        <v>0.16416752570049731</v>
      </c>
      <c r="I303" s="80">
        <f t="shared" ca="1" si="60"/>
        <v>0.62552516216344489</v>
      </c>
      <c r="J303" s="80">
        <f t="shared" ca="1" si="60"/>
        <v>0.1812413306300743</v>
      </c>
      <c r="K303" s="80">
        <f t="shared" ca="1" si="60"/>
        <v>2.7619976683513459E-2</v>
      </c>
      <c r="L303" s="80">
        <f t="shared" ca="1" si="60"/>
        <v>1.2867470014433779E-3</v>
      </c>
      <c r="M303" s="80">
        <f t="shared" ca="1" si="60"/>
        <v>4.2963317023358982E-5</v>
      </c>
      <c r="N303" s="80">
        <f t="shared" ca="1" si="60"/>
        <v>1.2595243311652737E-6</v>
      </c>
      <c r="O303" s="80">
        <f t="shared" ca="1" si="60"/>
        <v>3.5970585399169863E-8</v>
      </c>
      <c r="P303" s="80">
        <f t="shared" ca="1" si="60"/>
        <v>1.0571200581566131E-9</v>
      </c>
      <c r="Q303" s="80">
        <f t="shared" ca="1" si="60"/>
        <v>3.2915781211784179E-11</v>
      </c>
      <c r="R303" s="80">
        <f t="shared" ca="1" si="60"/>
        <v>1.102562485755243E-12</v>
      </c>
      <c r="S303" s="80">
        <f t="shared" ca="1" si="60"/>
        <v>3.9968028886505635E-14</v>
      </c>
      <c r="T303" s="80">
        <f t="shared" ca="1" si="60"/>
        <v>1.5543122344752192E-15</v>
      </c>
      <c r="U303" s="80">
        <f t="shared" ca="1" si="60"/>
        <v>0</v>
      </c>
      <c r="V303" s="80">
        <f t="shared" ca="1" si="59"/>
        <v>0</v>
      </c>
      <c r="W303" s="80">
        <f t="shared" ca="1" si="59"/>
        <v>0</v>
      </c>
      <c r="X303" s="80">
        <f t="shared" ca="1" si="59"/>
        <v>0</v>
      </c>
      <c r="Y303" s="80">
        <f t="shared" ca="1" si="59"/>
        <v>0</v>
      </c>
      <c r="Z303" s="80">
        <f t="shared" ca="1" si="59"/>
        <v>0</v>
      </c>
      <c r="AA303" s="80">
        <f ca="1">SUMPRODUCT(F303:Z303,FailureForCPU!E$17:Y$17)</f>
        <v>3.5897211129546729E-16</v>
      </c>
      <c r="AB303" s="80">
        <f t="shared" ca="1" si="56"/>
        <v>9.0440341495459399E-16</v>
      </c>
      <c r="AC303" s="12">
        <f t="shared" ca="1" si="57"/>
        <v>2.5194252881951207</v>
      </c>
      <c r="AD303" s="12">
        <f t="shared" ca="1" si="58"/>
        <v>0.99999999999999989</v>
      </c>
    </row>
    <row r="304" spans="1:30">
      <c r="A304" s="56">
        <v>17</v>
      </c>
      <c r="B304" s="12">
        <f t="shared" si="52"/>
        <v>2.4111804999999999</v>
      </c>
      <c r="C304" s="12">
        <f t="shared" si="53"/>
        <v>2.4937777576501885</v>
      </c>
      <c r="D304" s="23">
        <f t="array" ref="D304">MATCH(MIN(ABS(ServerTypeA!$A$106:$A$165-$C304)),ABS(ServerTypeA!$A$106:$A$165-$C304),0)</f>
        <v>25</v>
      </c>
      <c r="E304" s="23">
        <f t="array" ref="E304">INDEX(ServerTypeA!$A$106:$A$165,MATCH(MIN(ABS(ServerTypeA!$A$106:$A$165-$C304)),ABS(ServerTypeA!$A$106:$A$165-$C304),0))</f>
        <v>2.5</v>
      </c>
      <c r="F304" s="80">
        <f t="shared" ca="1" si="60"/>
        <v>0</v>
      </c>
      <c r="G304" s="80">
        <f t="shared" ca="1" si="60"/>
        <v>1.1499791790670066E-4</v>
      </c>
      <c r="H304" s="80">
        <f t="shared" ca="1" si="60"/>
        <v>0.16416752570049731</v>
      </c>
      <c r="I304" s="80">
        <f t="shared" ca="1" si="60"/>
        <v>0.62552516216344489</v>
      </c>
      <c r="J304" s="80">
        <f t="shared" ca="1" si="60"/>
        <v>0.1812413306300743</v>
      </c>
      <c r="K304" s="80">
        <f t="shared" ca="1" si="60"/>
        <v>2.7619976683513459E-2</v>
      </c>
      <c r="L304" s="80">
        <f t="shared" ca="1" si="60"/>
        <v>1.2867470014433779E-3</v>
      </c>
      <c r="M304" s="80">
        <f t="shared" ca="1" si="60"/>
        <v>4.2963317023358982E-5</v>
      </c>
      <c r="N304" s="80">
        <f t="shared" ca="1" si="60"/>
        <v>1.2595243311652737E-6</v>
      </c>
      <c r="O304" s="80">
        <f t="shared" ca="1" si="60"/>
        <v>3.5970585399169863E-8</v>
      </c>
      <c r="P304" s="80">
        <f t="shared" ca="1" si="60"/>
        <v>1.0571200581566131E-9</v>
      </c>
      <c r="Q304" s="80">
        <f t="shared" ca="1" si="60"/>
        <v>3.2915781211784179E-11</v>
      </c>
      <c r="R304" s="80">
        <f t="shared" ca="1" si="60"/>
        <v>1.102562485755243E-12</v>
      </c>
      <c r="S304" s="80">
        <f t="shared" ca="1" si="60"/>
        <v>3.9968028886505635E-14</v>
      </c>
      <c r="T304" s="80">
        <f t="shared" ca="1" si="60"/>
        <v>1.5543122344752192E-15</v>
      </c>
      <c r="U304" s="80">
        <f t="shared" ca="1" si="60"/>
        <v>0</v>
      </c>
      <c r="V304" s="80">
        <f t="shared" ca="1" si="59"/>
        <v>0</v>
      </c>
      <c r="W304" s="80">
        <f t="shared" ca="1" si="59"/>
        <v>0</v>
      </c>
      <c r="X304" s="80">
        <f t="shared" ca="1" si="59"/>
        <v>0</v>
      </c>
      <c r="Y304" s="80">
        <f t="shared" ca="1" si="59"/>
        <v>0</v>
      </c>
      <c r="Z304" s="80">
        <f t="shared" ca="1" si="59"/>
        <v>0</v>
      </c>
      <c r="AA304" s="80">
        <f ca="1">SUMPRODUCT(F304:Z304,FailureForCPU!E$17:Y$17)</f>
        <v>3.5897211129546729E-16</v>
      </c>
      <c r="AB304" s="80">
        <f t="shared" ca="1" si="56"/>
        <v>8.9519666676536425E-16</v>
      </c>
      <c r="AC304" s="12">
        <f t="shared" ca="1" si="57"/>
        <v>2.4937777576501876</v>
      </c>
      <c r="AD304" s="12">
        <f t="shared" ca="1" si="58"/>
        <v>0.99999999999999989</v>
      </c>
    </row>
    <row r="305" spans="1:30">
      <c r="A305" s="56">
        <v>18</v>
      </c>
      <c r="B305" s="12">
        <f t="shared" si="52"/>
        <v>3.3244928103448275</v>
      </c>
      <c r="C305" s="12">
        <f t="shared" si="53"/>
        <v>3.4383764408786059</v>
      </c>
      <c r="D305" s="23">
        <f t="array" ref="D305">MATCH(MIN(ABS(ServerTypeA!$A$106:$A$165-$C305)),ABS(ServerTypeA!$A$106:$A$165-$C305),0)</f>
        <v>34</v>
      </c>
      <c r="E305" s="23">
        <f t="array" ref="E305">INDEX(ServerTypeA!$A$106:$A$165,MATCH(MIN(ABS(ServerTypeA!$A$106:$A$165-$C305)),ABS(ServerTypeA!$A$106:$A$165-$C305),0))</f>
        <v>3.4</v>
      </c>
      <c r="F305" s="80">
        <f t="shared" ca="1" si="60"/>
        <v>0</v>
      </c>
      <c r="G305" s="80">
        <f t="shared" ca="1" si="60"/>
        <v>9.504711108208166E-10</v>
      </c>
      <c r="H305" s="80">
        <f t="shared" ca="1" si="60"/>
        <v>3.3906628893999669E-3</v>
      </c>
      <c r="I305" s="80">
        <f t="shared" ca="1" si="60"/>
        <v>0.29306339076860966</v>
      </c>
      <c r="J305" s="80">
        <f t="shared" ca="1" si="60"/>
        <v>0.4901412128434901</v>
      </c>
      <c r="K305" s="80">
        <f t="shared" ca="1" si="60"/>
        <v>0.19742325292131324</v>
      </c>
      <c r="L305" s="80">
        <f t="shared" ca="1" si="60"/>
        <v>1.5426391330339184E-2</v>
      </c>
      <c r="M305" s="80">
        <f t="shared" ca="1" si="60"/>
        <v>5.4245222668170001E-4</v>
      </c>
      <c r="N305" s="80">
        <f t="shared" ca="1" si="60"/>
        <v>1.2404972667079406E-5</v>
      </c>
      <c r="O305" s="80">
        <f t="shared" ca="1" si="60"/>
        <v>2.2727159088020699E-7</v>
      </c>
      <c r="P305" s="80">
        <f t="shared" ca="1" si="60"/>
        <v>3.7638936412065505E-9</v>
      </c>
      <c r="Q305" s="80">
        <f t="shared" ca="1" si="60"/>
        <v>6.0538685175970386E-11</v>
      </c>
      <c r="R305" s="80">
        <f t="shared" ca="1" si="60"/>
        <v>9.8765440270653926E-13</v>
      </c>
      <c r="S305" s="80">
        <f t="shared" ca="1" si="60"/>
        <v>1.6764367671839864E-14</v>
      </c>
      <c r="T305" s="80">
        <f t="shared" ca="1" si="60"/>
        <v>0</v>
      </c>
      <c r="U305" s="80">
        <f t="shared" ca="1" si="60"/>
        <v>0</v>
      </c>
      <c r="V305" s="80">
        <f t="shared" ca="1" si="59"/>
        <v>0</v>
      </c>
      <c r="W305" s="80">
        <f t="shared" ca="1" si="59"/>
        <v>0</v>
      </c>
      <c r="X305" s="80">
        <f t="shared" ca="1" si="59"/>
        <v>0</v>
      </c>
      <c r="Y305" s="80">
        <f t="shared" ca="1" si="59"/>
        <v>0</v>
      </c>
      <c r="Z305" s="80">
        <f t="shared" ca="1" si="59"/>
        <v>0</v>
      </c>
      <c r="AA305" s="80">
        <f ca="1">SUMPRODUCT(F305:Z305,FailureForCPU!E$17:Y$17)</f>
        <v>1.3970306393199886E-16</v>
      </c>
      <c r="AB305" s="80">
        <f t="shared" ca="1" si="56"/>
        <v>4.8035172374234262E-16</v>
      </c>
      <c r="AC305" s="12">
        <f t="shared" ca="1" si="57"/>
        <v>3.4383764408786055</v>
      </c>
      <c r="AD305" s="12">
        <f t="shared" ca="1" si="58"/>
        <v>0.99999999999999967</v>
      </c>
    </row>
    <row r="306" spans="1:30">
      <c r="A306" s="56">
        <v>19</v>
      </c>
      <c r="B306" s="12">
        <f t="shared" si="52"/>
        <v>4.0252025333333332</v>
      </c>
      <c r="C306" s="12">
        <f t="shared" si="53"/>
        <v>4.1630896349998929</v>
      </c>
      <c r="D306" s="23">
        <f t="array" ref="D306">MATCH(MIN(ABS(ServerTypeA!$A$106:$A$165-$C306)),ABS(ServerTypeA!$A$106:$A$165-$C306),0)</f>
        <v>42</v>
      </c>
      <c r="E306" s="23">
        <f t="array" ref="E306">INDEX(ServerTypeA!$A$106:$A$165,MATCH(MIN(ABS(ServerTypeA!$A$106:$A$165-$C306)),ABS(ServerTypeA!$A$106:$A$165-$C306),0))</f>
        <v>4.2</v>
      </c>
      <c r="F306" s="80">
        <f t="shared" ca="1" si="60"/>
        <v>0</v>
      </c>
      <c r="G306" s="80">
        <f t="shared" ca="1" si="60"/>
        <v>3.0071408552579131E-20</v>
      </c>
      <c r="H306" s="80">
        <f t="shared" ca="1" si="60"/>
        <v>7.1345432819675332E-8</v>
      </c>
      <c r="I306" s="80">
        <f t="shared" ca="1" si="60"/>
        <v>3.4200027720231092E-3</v>
      </c>
      <c r="J306" s="80">
        <f t="shared" ca="1" si="60"/>
        <v>0.12371630589080373</v>
      </c>
      <c r="K306" s="80">
        <f t="shared" ca="1" si="60"/>
        <v>0.54617861868880679</v>
      </c>
      <c r="L306" s="80">
        <f t="shared" ca="1" si="60"/>
        <v>0.28771009500070199</v>
      </c>
      <c r="M306" s="80">
        <f t="shared" ca="1" si="60"/>
        <v>3.7001550342423806E-2</v>
      </c>
      <c r="N306" s="80">
        <f t="shared" ca="1" si="60"/>
        <v>1.9162198039482936E-3</v>
      </c>
      <c r="O306" s="80">
        <f t="shared" ca="1" si="60"/>
        <v>5.5972357971389997E-5</v>
      </c>
      <c r="P306" s="80">
        <f t="shared" ca="1" si="60"/>
        <v>1.1446864401909451E-6</v>
      </c>
      <c r="Q306" s="80">
        <f t="shared" ca="1" si="60"/>
        <v>1.8834618309426787E-8</v>
      </c>
      <c r="R306" s="80">
        <f t="shared" ca="1" si="60"/>
        <v>2.7307323069436507E-10</v>
      </c>
      <c r="S306" s="80">
        <f t="shared" ca="1" si="60"/>
        <v>3.7065905900135476E-12</v>
      </c>
      <c r="T306" s="80">
        <f t="shared" ca="1" si="60"/>
        <v>4.9071857688431919E-14</v>
      </c>
      <c r="U306" s="80">
        <f t="shared" ca="1" si="60"/>
        <v>0</v>
      </c>
      <c r="V306" s="80">
        <f t="shared" ca="1" si="59"/>
        <v>0</v>
      </c>
      <c r="W306" s="80">
        <f t="shared" ca="1" si="59"/>
        <v>0</v>
      </c>
      <c r="X306" s="80">
        <f t="shared" ca="1" si="59"/>
        <v>0</v>
      </c>
      <c r="Y306" s="80">
        <f t="shared" ca="1" si="59"/>
        <v>0</v>
      </c>
      <c r="Z306" s="80">
        <f t="shared" ca="1" si="59"/>
        <v>0</v>
      </c>
      <c r="AA306" s="80">
        <f ca="1">SUMPRODUCT(F306:Z306,FailureForCPU!E$17:Y$17)</f>
        <v>3.170611921158676E-14</v>
      </c>
      <c r="AB306" s="80">
        <f t="shared" ca="1" si="56"/>
        <v>1.3199541625582783E-13</v>
      </c>
      <c r="AC306" s="12">
        <f t="shared" ca="1" si="57"/>
        <v>4.1630896349997606</v>
      </c>
      <c r="AD306" s="12">
        <f t="shared" ca="1" si="58"/>
        <v>0.99999999999999933</v>
      </c>
    </row>
    <row r="307" spans="1:30">
      <c r="A307" s="56">
        <v>20</v>
      </c>
      <c r="B307" s="12">
        <f t="shared" si="52"/>
        <v>3.8408287333333333</v>
      </c>
      <c r="C307" s="12">
        <f t="shared" si="53"/>
        <v>3.9723999369314797</v>
      </c>
      <c r="D307" s="23">
        <f t="array" ref="D307">MATCH(MIN(ABS(ServerTypeA!$A$106:$A$165-$C307)),ABS(ServerTypeA!$A$106:$A$165-$C307),0)</f>
        <v>40</v>
      </c>
      <c r="E307" s="23">
        <f t="array" ref="E307">INDEX(ServerTypeA!$A$106:$A$165,MATCH(MIN(ABS(ServerTypeA!$A$106:$A$165-$C307)),ABS(ServerTypeA!$A$106:$A$165-$C307),0))</f>
        <v>4</v>
      </c>
      <c r="F307" s="80">
        <f t="shared" ca="1" si="60"/>
        <v>0</v>
      </c>
      <c r="G307" s="80">
        <f t="shared" ca="1" si="60"/>
        <v>1.3350352585166262E-16</v>
      </c>
      <c r="H307" s="80">
        <f t="shared" ca="1" si="60"/>
        <v>4.1474720378961725E-6</v>
      </c>
      <c r="I307" s="80">
        <f t="shared" ca="1" si="60"/>
        <v>2.2714752882358469E-2</v>
      </c>
      <c r="J307" s="80">
        <f t="shared" ca="1" si="60"/>
        <v>0.28670236373900115</v>
      </c>
      <c r="K307" s="80">
        <f t="shared" ca="1" si="60"/>
        <v>0.53889805197101015</v>
      </c>
      <c r="L307" s="80">
        <f t="shared" ca="1" si="60"/>
        <v>0.14070801868089422</v>
      </c>
      <c r="M307" s="80">
        <f t="shared" ca="1" si="60"/>
        <v>1.0592775311355718E-2</v>
      </c>
      <c r="N307" s="80">
        <f t="shared" ca="1" si="60"/>
        <v>3.715201799947554E-4</v>
      </c>
      <c r="O307" s="80">
        <f t="shared" ca="1" si="60"/>
        <v>8.2287667558800237E-6</v>
      </c>
      <c r="P307" s="80">
        <f t="shared" ca="1" si="60"/>
        <v>1.3895549733078383E-7</v>
      </c>
      <c r="Q307" s="80">
        <f t="shared" ca="1" si="60"/>
        <v>2.0137178591284055E-9</v>
      </c>
      <c r="R307" s="80">
        <f t="shared" ca="1" si="60"/>
        <v>2.7019053661092585E-11</v>
      </c>
      <c r="S307" s="80">
        <f t="shared" ca="1" si="60"/>
        <v>3.5271785492341223E-13</v>
      </c>
      <c r="T307" s="80">
        <f t="shared" ca="1" si="60"/>
        <v>4.5519144009631418E-15</v>
      </c>
      <c r="U307" s="80">
        <f t="shared" ca="1" si="60"/>
        <v>0</v>
      </c>
      <c r="V307" s="80">
        <f t="shared" ca="1" si="59"/>
        <v>0</v>
      </c>
      <c r="W307" s="80">
        <f t="shared" ca="1" si="59"/>
        <v>0</v>
      </c>
      <c r="X307" s="80">
        <f t="shared" ca="1" si="59"/>
        <v>0</v>
      </c>
      <c r="Y307" s="80">
        <f t="shared" ca="1" si="59"/>
        <v>0</v>
      </c>
      <c r="Z307" s="80">
        <f t="shared" ca="1" si="59"/>
        <v>0</v>
      </c>
      <c r="AA307" s="80">
        <f ca="1">SUMPRODUCT(F307:Z307,FailureForCPU!E$17:Y$17)</f>
        <v>3.0151806977111541E-15</v>
      </c>
      <c r="AB307" s="80">
        <f t="shared" ca="1" si="56"/>
        <v>1.1977503613424803E-14</v>
      </c>
      <c r="AC307" s="12">
        <f t="shared" ca="1" si="57"/>
        <v>3.9723999369314678</v>
      </c>
      <c r="AD307" s="12">
        <f t="shared" ca="1" si="58"/>
        <v>0.99999999999999989</v>
      </c>
    </row>
    <row r="308" spans="1:30">
      <c r="A308" s="56">
        <v>21</v>
      </c>
      <c r="B308" s="12">
        <f t="shared" si="52"/>
        <v>2.9214521000000002</v>
      </c>
      <c r="C308" s="12">
        <f t="shared" si="53"/>
        <v>3.0215291916222924</v>
      </c>
      <c r="D308" s="23">
        <f t="array" ref="D308">MATCH(MIN(ABS(ServerTypeA!$A$106:$A$165-$C308)),ABS(ServerTypeA!$A$106:$A$165-$C308),0)</f>
        <v>30</v>
      </c>
      <c r="E308" s="23">
        <f t="array" ref="E308">INDEX(ServerTypeA!$A$106:$A$165,MATCH(MIN(ABS(ServerTypeA!$A$106:$A$165-$C308)),ABS(ServerTypeA!$A$106:$A$165-$C308),0))</f>
        <v>3</v>
      </c>
      <c r="F308" s="80">
        <f t="shared" ca="1" si="60"/>
        <v>0</v>
      </c>
      <c r="G308" s="80">
        <f t="shared" ca="1" si="60"/>
        <v>4.7279021586632552E-7</v>
      </c>
      <c r="H308" s="80">
        <f t="shared" ca="1" si="60"/>
        <v>3.048494773534105E-2</v>
      </c>
      <c r="I308" s="80">
        <f t="shared" ca="1" si="60"/>
        <v>0.51782719825851498</v>
      </c>
      <c r="J308" s="80">
        <f t="shared" ca="1" si="60"/>
        <v>0.36188864050700664</v>
      </c>
      <c r="K308" s="80">
        <f t="shared" ca="1" si="60"/>
        <v>8.4884436176291156E-2</v>
      </c>
      <c r="L308" s="80">
        <f t="shared" ca="1" si="60"/>
        <v>4.7592286406399342E-3</v>
      </c>
      <c r="M308" s="80">
        <f t="shared" ca="1" si="60"/>
        <v>1.5134774577052479E-4</v>
      </c>
      <c r="N308" s="80">
        <f t="shared" ca="1" si="60"/>
        <v>3.6484920330481785E-6</v>
      </c>
      <c r="O308" s="80">
        <f t="shared" ca="1" si="60"/>
        <v>7.8004804171527553E-8</v>
      </c>
      <c r="P308" s="80">
        <f t="shared" ca="1" si="60"/>
        <v>1.614594902221711E-9</v>
      </c>
      <c r="Q308" s="80">
        <f t="shared" ca="1" si="60"/>
        <v>3.4018565742144347E-11</v>
      </c>
      <c r="R308" s="80">
        <f t="shared" ca="1" si="60"/>
        <v>7.510658761589184E-13</v>
      </c>
      <c r="S308" s="80">
        <f t="shared" ca="1" si="60"/>
        <v>1.7652546091539989E-14</v>
      </c>
      <c r="T308" s="80">
        <f t="shared" ca="1" si="60"/>
        <v>0</v>
      </c>
      <c r="U308" s="80">
        <f t="shared" ca="1" si="60"/>
        <v>0</v>
      </c>
      <c r="V308" s="80">
        <f t="shared" ca="1" si="59"/>
        <v>0</v>
      </c>
      <c r="W308" s="80">
        <f t="shared" ca="1" si="59"/>
        <v>0</v>
      </c>
      <c r="X308" s="80">
        <f t="shared" ca="1" si="59"/>
        <v>0</v>
      </c>
      <c r="Y308" s="80">
        <f t="shared" ca="1" si="59"/>
        <v>0</v>
      </c>
      <c r="Z308" s="80">
        <f t="shared" ca="1" si="59"/>
        <v>0</v>
      </c>
      <c r="AA308" s="80">
        <f ca="1">SUMPRODUCT(F308:Z308,FailureForCPU!E$17:Y$17)</f>
        <v>1.4710455076283324E-16</v>
      </c>
      <c r="AB308" s="80">
        <f t="shared" ca="1" si="56"/>
        <v>4.4448069435038394E-16</v>
      </c>
      <c r="AC308" s="12">
        <f t="shared" ca="1" si="57"/>
        <v>3.0215291916222919</v>
      </c>
      <c r="AD308" s="12">
        <f t="shared" ca="1" si="58"/>
        <v>0.99999999999999956</v>
      </c>
    </row>
    <row r="309" spans="1:30">
      <c r="A309" s="56">
        <v>22</v>
      </c>
      <c r="B309" s="12">
        <f t="shared" si="52"/>
        <v>1.70428665</v>
      </c>
      <c r="C309" s="12">
        <f t="shared" si="53"/>
        <v>1.7626685934255655</v>
      </c>
      <c r="D309" s="23">
        <f t="array" ref="D309">MATCH(MIN(ABS(ServerTypeA!$A$106:$A$165-$C309)),ABS(ServerTypeA!$A$106:$A$165-$C309),0)</f>
        <v>18</v>
      </c>
      <c r="E309" s="23">
        <f t="array" ref="E309">INDEX(ServerTypeA!$A$106:$A$165,MATCH(MIN(ABS(ServerTypeA!$A$106:$A$165-$C309)),ABS(ServerTypeA!$A$106:$A$165-$C309),0))</f>
        <v>1.8</v>
      </c>
      <c r="F309" s="80">
        <f t="shared" ca="1" si="60"/>
        <v>0</v>
      </c>
      <c r="G309" s="80">
        <f t="shared" ca="1" si="60"/>
        <v>2.3430655918933323E-2</v>
      </c>
      <c r="H309" s="80">
        <f t="shared" ca="1" si="60"/>
        <v>0.58816894205402903</v>
      </c>
      <c r="I309" s="80">
        <f t="shared" ca="1" si="60"/>
        <v>0.35081229684092929</v>
      </c>
      <c r="J309" s="80">
        <f t="shared" ca="1" si="60"/>
        <v>3.406413221315896E-2</v>
      </c>
      <c r="K309" s="80">
        <f t="shared" ca="1" si="60"/>
        <v>3.3790197570999769E-3</v>
      </c>
      <c r="L309" s="80">
        <f t="shared" ca="1" si="60"/>
        <v>1.3935267989517719E-4</v>
      </c>
      <c r="M309" s="80">
        <f t="shared" ca="1" si="60"/>
        <v>5.376795014666591E-6</v>
      </c>
      <c r="N309" s="80">
        <f t="shared" ca="1" si="60"/>
        <v>2.1409693806706542E-7</v>
      </c>
      <c r="O309" s="80">
        <f t="shared" ca="1" si="60"/>
        <v>9.1847807137668269E-9</v>
      </c>
      <c r="P309" s="80">
        <f t="shared" ca="1" si="60"/>
        <v>4.3223036261252901E-10</v>
      </c>
      <c r="Q309" s="80">
        <f t="shared" ca="1" si="60"/>
        <v>2.244671115647634E-11</v>
      </c>
      <c r="R309" s="80">
        <f t="shared" ca="1" si="60"/>
        <v>1.2864154186331689E-12</v>
      </c>
      <c r="S309" s="80">
        <f t="shared" ca="1" si="60"/>
        <v>8.1157303100098943E-14</v>
      </c>
      <c r="T309" s="80">
        <f t="shared" ca="1" si="60"/>
        <v>5.6621374255882984E-15</v>
      </c>
      <c r="U309" s="80">
        <f t="shared" ca="1" si="60"/>
        <v>0</v>
      </c>
      <c r="V309" s="80">
        <f t="shared" ca="1" si="59"/>
        <v>0</v>
      </c>
      <c r="W309" s="80">
        <f t="shared" ca="1" si="59"/>
        <v>0</v>
      </c>
      <c r="X309" s="80">
        <f t="shared" ca="1" si="59"/>
        <v>0</v>
      </c>
      <c r="Y309" s="80">
        <f t="shared" ca="1" si="59"/>
        <v>0</v>
      </c>
      <c r="Z309" s="80">
        <f t="shared" ca="1" si="59"/>
        <v>0</v>
      </c>
      <c r="AA309" s="80">
        <f ca="1">SUMPRODUCT(F309:Z309,FailureForCPU!E$17:Y$17)</f>
        <v>7.7067981626062947E-16</v>
      </c>
      <c r="AB309" s="80">
        <f t="shared" ca="1" si="56"/>
        <v>1.358453107709597E-15</v>
      </c>
      <c r="AC309" s="12">
        <f t="shared" ca="1" si="57"/>
        <v>1.7626685934255641</v>
      </c>
      <c r="AD309" s="12">
        <f t="shared" ca="1" si="58"/>
        <v>0.99999999999682954</v>
      </c>
    </row>
    <row r="310" spans="1:30">
      <c r="A310" s="56">
        <v>23</v>
      </c>
      <c r="B310" s="12">
        <f t="shared" si="52"/>
        <v>0.81373062413793107</v>
      </c>
      <c r="C310" s="12">
        <f t="shared" si="53"/>
        <v>0.84160573262515115</v>
      </c>
      <c r="D310" s="23">
        <f t="array" ref="D310">MATCH(MIN(ABS(ServerTypeA!$A$106:$A$165-$C310)),ABS(ServerTypeA!$A$106:$A$165-$C310),0)</f>
        <v>8</v>
      </c>
      <c r="E310" s="23">
        <f t="array" ref="E310">INDEX(ServerTypeA!$A$106:$A$165,MATCH(MIN(ABS(ServerTypeA!$A$106:$A$165-$C310)),ABS(ServerTypeA!$A$106:$A$165-$C310),0))</f>
        <v>0.8</v>
      </c>
      <c r="F310" s="80">
        <f t="shared" ca="1" si="60"/>
        <v>0</v>
      </c>
      <c r="G310" s="80">
        <f t="shared" ca="1" si="60"/>
        <v>0.73724419583861855</v>
      </c>
      <c r="H310" s="80">
        <f t="shared" ca="1" si="60"/>
        <v>0.24890049818901161</v>
      </c>
      <c r="I310" s="80">
        <f t="shared" ca="1" si="60"/>
        <v>1.1275352216014611E-2</v>
      </c>
      <c r="J310" s="80">
        <f t="shared" ca="1" si="60"/>
        <v>3.8994363531075216E-4</v>
      </c>
      <c r="K310" s="80">
        <f t="shared" ca="1" si="60"/>
        <v>3.1087425415243786E-5</v>
      </c>
      <c r="L310" s="80">
        <f t="shared" ca="1" si="60"/>
        <v>1.5021115147284547E-6</v>
      </c>
      <c r="M310" s="80">
        <f t="shared" ca="1" si="60"/>
        <v>8.8665416231314964E-8</v>
      </c>
      <c r="N310" s="80">
        <f t="shared" ca="1" si="60"/>
        <v>6.2879536022464322E-9</v>
      </c>
      <c r="O310" s="80">
        <f t="shared" ca="1" si="60"/>
        <v>5.2509552261881254E-10</v>
      </c>
      <c r="P310" s="80">
        <f t="shared" ca="1" si="60"/>
        <v>5.0668913509355207E-11</v>
      </c>
      <c r="Q310" s="80">
        <f t="shared" ca="1" si="60"/>
        <v>5.5568882828538335E-12</v>
      </c>
      <c r="R310" s="80">
        <f t="shared" ca="1" si="60"/>
        <v>6.8289818244693379E-13</v>
      </c>
      <c r="S310" s="80">
        <f t="shared" ca="1" si="60"/>
        <v>9.2925667161125602E-14</v>
      </c>
      <c r="T310" s="80">
        <f t="shared" ca="1" si="60"/>
        <v>1.3766765505351941E-14</v>
      </c>
      <c r="U310" s="80">
        <f t="shared" ca="1" si="60"/>
        <v>2.3314683517128287E-15</v>
      </c>
      <c r="V310" s="80">
        <f t="shared" ca="1" si="59"/>
        <v>0</v>
      </c>
      <c r="W310" s="80">
        <f t="shared" ca="1" si="59"/>
        <v>0</v>
      </c>
      <c r="X310" s="80">
        <f t="shared" ca="1" si="59"/>
        <v>0</v>
      </c>
      <c r="Y310" s="80">
        <f t="shared" ca="1" si="59"/>
        <v>0</v>
      </c>
      <c r="Z310" s="80">
        <f t="shared" ca="1" si="59"/>
        <v>0</v>
      </c>
      <c r="AA310" s="80">
        <f ca="1">SUMPRODUCT(F310:Z310,FailureForCPU!E$17:Y$17)</f>
        <v>1.0621133602247331E-15</v>
      </c>
      <c r="AB310" s="80">
        <f t="shared" ca="1" si="56"/>
        <v>8.9388069266289752E-16</v>
      </c>
      <c r="AC310" s="12">
        <f t="shared" ca="1" si="57"/>
        <v>0.84160573262515026</v>
      </c>
      <c r="AD310" s="12">
        <f t="shared" ca="1" si="58"/>
        <v>0.99784267495136858</v>
      </c>
    </row>
    <row r="311" spans="1:30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</row>
    <row r="312" spans="1:30">
      <c r="A312" s="54" t="s">
        <v>55</v>
      </c>
      <c r="B312" s="12">
        <f>SUM(B287:B310)</f>
        <v>43.062664537931042</v>
      </c>
      <c r="C312" s="12">
        <f>SUM(C287:C310)</f>
        <v>44.537816646179735</v>
      </c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25">
        <f ca="1">SUM(AB287:AB310)</f>
        <v>7.5132105442613791E-13</v>
      </c>
      <c r="AC312" s="25">
        <f ca="1">SUM(AC287:AC310)</f>
        <v>44.537816646178968</v>
      </c>
      <c r="AD312" s="54"/>
    </row>
    <row r="313" spans="1:30">
      <c r="A313" s="54" t="s">
        <v>66</v>
      </c>
      <c r="B313" s="69">
        <f ca="1">AC312/C312</f>
        <v>0.99999999999998279</v>
      </c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</row>
    <row r="314" spans="1:30">
      <c r="A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</row>
    <row r="315" spans="1:30">
      <c r="A315" s="22" t="s">
        <v>116</v>
      </c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</row>
    <row r="316" spans="1:30">
      <c r="A316" s="22" t="s">
        <v>51</v>
      </c>
      <c r="B316" s="37">
        <f>QResults!F12/QResults!B12</f>
        <v>1.0113912180372169</v>
      </c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</row>
    <row r="317" spans="1:30">
      <c r="A317" s="54"/>
      <c r="B317" s="54"/>
      <c r="C317" s="54"/>
      <c r="D317" s="54"/>
      <c r="E317" s="54" t="s">
        <v>59</v>
      </c>
      <c r="F317" s="56">
        <v>0</v>
      </c>
      <c r="G317" s="56">
        <v>1</v>
      </c>
      <c r="H317" s="56">
        <v>2</v>
      </c>
      <c r="I317" s="56">
        <v>3</v>
      </c>
      <c r="J317" s="56">
        <v>4</v>
      </c>
      <c r="K317" s="56">
        <v>5</v>
      </c>
      <c r="L317" s="56">
        <v>6</v>
      </c>
      <c r="M317" s="56">
        <v>7</v>
      </c>
      <c r="N317" s="56">
        <v>8</v>
      </c>
      <c r="O317" s="56">
        <v>9</v>
      </c>
      <c r="P317" s="56">
        <v>10</v>
      </c>
      <c r="Q317" s="56">
        <v>11</v>
      </c>
      <c r="R317" s="56">
        <v>12</v>
      </c>
      <c r="S317" s="56">
        <v>13</v>
      </c>
      <c r="T317" s="56">
        <v>14</v>
      </c>
      <c r="U317" s="56">
        <v>15</v>
      </c>
      <c r="V317" s="56">
        <v>16</v>
      </c>
      <c r="W317" s="56">
        <v>17</v>
      </c>
      <c r="X317" s="56">
        <v>18</v>
      </c>
      <c r="Y317" s="56">
        <v>19</v>
      </c>
      <c r="Z317" s="56">
        <v>20</v>
      </c>
      <c r="AA317" s="54"/>
      <c r="AB317" s="54"/>
      <c r="AC317" s="54"/>
      <c r="AD317" s="54"/>
    </row>
    <row r="318" spans="1:30" ht="45">
      <c r="A318" s="56" t="s">
        <v>52</v>
      </c>
      <c r="B318" s="56" t="s">
        <v>53</v>
      </c>
      <c r="C318" s="56" t="s">
        <v>54</v>
      </c>
      <c r="D318" s="61" t="s">
        <v>56</v>
      </c>
      <c r="E318" s="61" t="s">
        <v>57</v>
      </c>
      <c r="F318" s="56" t="s">
        <v>20</v>
      </c>
      <c r="G318" s="56" t="s">
        <v>21</v>
      </c>
      <c r="H318" s="56" t="s">
        <v>22</v>
      </c>
      <c r="I318" s="56" t="s">
        <v>23</v>
      </c>
      <c r="J318" s="56" t="s">
        <v>24</v>
      </c>
      <c r="K318" s="56" t="s">
        <v>25</v>
      </c>
      <c r="L318" s="56" t="s">
        <v>26</v>
      </c>
      <c r="M318" s="56" t="s">
        <v>27</v>
      </c>
      <c r="N318" s="56" t="s">
        <v>28</v>
      </c>
      <c r="O318" s="56" t="s">
        <v>29</v>
      </c>
      <c r="P318" s="56" t="s">
        <v>30</v>
      </c>
      <c r="Q318" s="56" t="s">
        <v>31</v>
      </c>
      <c r="R318" s="56" t="s">
        <v>32</v>
      </c>
      <c r="S318" s="56" t="s">
        <v>33</v>
      </c>
      <c r="T318" s="56" t="s">
        <v>34</v>
      </c>
      <c r="U318" s="56" t="s">
        <v>35</v>
      </c>
      <c r="V318" s="56" t="s">
        <v>36</v>
      </c>
      <c r="W318" s="56" t="s">
        <v>37</v>
      </c>
      <c r="X318" s="56" t="s">
        <v>38</v>
      </c>
      <c r="Y318" s="56" t="s">
        <v>39</v>
      </c>
      <c r="Z318" s="56" t="s">
        <v>40</v>
      </c>
      <c r="AA318" s="61" t="s">
        <v>58</v>
      </c>
      <c r="AB318" s="61" t="s">
        <v>64</v>
      </c>
      <c r="AC318" s="61" t="s">
        <v>65</v>
      </c>
      <c r="AD318" s="56" t="s">
        <v>75</v>
      </c>
    </row>
    <row r="319" spans="1:30">
      <c r="A319" s="56">
        <v>0</v>
      </c>
      <c r="B319" s="12">
        <f t="shared" ref="B319:B342" si="61">B191</f>
        <v>0.43929673333333336</v>
      </c>
      <c r="C319" s="12">
        <f t="shared" ref="C319:C342" si="62">$B$316*B319</f>
        <v>0.44430085820577048</v>
      </c>
      <c r="D319" s="23">
        <f t="array" ref="D319">MATCH(MIN(ABS(ServerTypeA!$A$106:$A$165-$C319)),ABS(ServerTypeA!$A$106:$A$165-$C319),0)</f>
        <v>4</v>
      </c>
      <c r="E319" s="23">
        <f t="array" ref="E319">INDEX(ServerTypeA!$A$106:$A$165,MATCH(MIN(ABS(ServerTypeA!$A$106:$A$165-$C319)),ABS(ServerTypeA!$A$106:$A$165-$C319),0))</f>
        <v>0.4</v>
      </c>
      <c r="F319" s="12">
        <f t="shared" ref="F319:U334" ca="1" si="63">OFFSET($B$106,$D319-1,F$221,1,1)</f>
        <v>0</v>
      </c>
      <c r="G319" s="80">
        <f t="shared" ca="1" si="63"/>
        <v>0.83532782695322527</v>
      </c>
      <c r="H319" s="12">
        <f t="shared" ca="1" si="63"/>
        <v>5.7203207400142508E-2</v>
      </c>
      <c r="I319" s="12">
        <f t="shared" ca="1" si="63"/>
        <v>1.9655442761017383E-3</v>
      </c>
      <c r="J319" s="12">
        <f t="shared" ca="1" si="63"/>
        <v>8.5395111756536579E-5</v>
      </c>
      <c r="K319" s="12">
        <f t="shared" ca="1" si="63"/>
        <v>9.5388457005407545E-6</v>
      </c>
      <c r="L319" s="12">
        <f t="shared" ca="1" si="63"/>
        <v>7.423410215423587E-7</v>
      </c>
      <c r="M319" s="12">
        <f t="shared" ca="1" si="63"/>
        <v>7.2652944327344926E-8</v>
      </c>
      <c r="N319" s="12">
        <f t="shared" ca="1" si="63"/>
        <v>8.593335376616551E-9</v>
      </c>
      <c r="O319" s="12">
        <f t="shared" ca="1" si="63"/>
        <v>1.1909583319535955E-9</v>
      </c>
      <c r="P319" s="12">
        <f t="shared" ca="1" si="63"/>
        <v>1.8880297325551965E-10</v>
      </c>
      <c r="Q319" s="12">
        <f t="shared" ca="1" si="63"/>
        <v>3.3594571569039999E-11</v>
      </c>
      <c r="R319" s="12">
        <f t="shared" ca="1" si="63"/>
        <v>6.6086025540812443E-12</v>
      </c>
      <c r="S319" s="12">
        <f t="shared" ca="1" si="63"/>
        <v>1.4196421815881877E-12</v>
      </c>
      <c r="T319" s="12">
        <f t="shared" ca="1" si="63"/>
        <v>3.2962521601120898E-13</v>
      </c>
      <c r="U319" s="12">
        <f t="shared" ca="1" si="63"/>
        <v>8.2045481519799068E-14</v>
      </c>
      <c r="V319" s="12">
        <f t="shared" ref="V319:AD333" ca="1" si="64">OFFSET($B$106,$D319-1,V$221,1,1)</f>
        <v>2.1760371282653068E-14</v>
      </c>
      <c r="W319" s="12">
        <f t="shared" ca="1" si="64"/>
        <v>6.106226635438361E-15</v>
      </c>
      <c r="X319" s="12">
        <f t="shared" ca="1" si="64"/>
        <v>1.8873791418627661E-15</v>
      </c>
      <c r="Y319" s="12">
        <f t="shared" ca="1" si="64"/>
        <v>0</v>
      </c>
      <c r="Z319" s="12">
        <f t="shared" ca="1" si="64"/>
        <v>0</v>
      </c>
      <c r="AA319" s="80">
        <f ca="1">SUMPRODUCT(F319:Z319,FailureForCPU!E$17:Y$17)</f>
        <v>2.0449382927741529E-14</v>
      </c>
      <c r="AB319" s="80">
        <f t="shared" ref="AB319:AB342" ca="1" si="65">AA319*C319</f>
        <v>9.0856783845739931E-15</v>
      </c>
      <c r="AC319" s="12">
        <f t="shared" ref="AC319:AC342" ca="1" si="66">C319-AB319</f>
        <v>0.44430085820576137</v>
      </c>
      <c r="AD319" s="12">
        <f t="shared" ref="AD319:AD342" ca="1" si="67">SUM(F319:Z319)</f>
        <v>0.89459233759605339</v>
      </c>
    </row>
    <row r="320" spans="1:30">
      <c r="A320" s="56">
        <v>1</v>
      </c>
      <c r="B320" s="12">
        <f t="shared" si="61"/>
        <v>0.24725845000000002</v>
      </c>
      <c r="C320" s="12">
        <f t="shared" si="62"/>
        <v>0.25007502491549433</v>
      </c>
      <c r="D320" s="23">
        <f t="array" ref="D320">MATCH(MIN(ABS(ServerTypeA!$A$106:$A$165-$C320)),ABS(ServerTypeA!$A$106:$A$165-$C320),0)</f>
        <v>3</v>
      </c>
      <c r="E320" s="23">
        <f t="array" ref="E320">INDEX(ServerTypeA!$A$106:$A$165,MATCH(MIN(ABS(ServerTypeA!$A$106:$A$165-$C320)),ABS(ServerTypeA!$A$106:$A$165-$C320),0))</f>
        <v>0.3</v>
      </c>
      <c r="F320" s="12">
        <f t="shared" ca="1" si="63"/>
        <v>0</v>
      </c>
      <c r="G320" s="80">
        <f t="shared" ca="1" si="63"/>
        <v>0.76734078687270313</v>
      </c>
      <c r="H320" s="12">
        <f t="shared" ca="1" si="63"/>
        <v>4.061799437764968E-2</v>
      </c>
      <c r="I320" s="12">
        <f t="shared" ca="1" si="63"/>
        <v>1.5765400616829517E-3</v>
      </c>
      <c r="J320" s="12">
        <f t="shared" ca="1" si="63"/>
        <v>8.3090088131676509E-5</v>
      </c>
      <c r="K320" s="12">
        <f t="shared" ca="1" si="63"/>
        <v>1.1088798038461078E-5</v>
      </c>
      <c r="L320" s="12">
        <f t="shared" ca="1" si="63"/>
        <v>1.0675049230135514E-6</v>
      </c>
      <c r="M320" s="12">
        <f t="shared" ca="1" si="63"/>
        <v>1.2832819928920713E-7</v>
      </c>
      <c r="N320" s="12">
        <f t="shared" ca="1" si="63"/>
        <v>1.8478603647231751E-8</v>
      </c>
      <c r="O320" s="12">
        <f t="shared" ca="1" si="63"/>
        <v>3.089543842982323E-9</v>
      </c>
      <c r="P320" s="12">
        <f t="shared" ca="1" si="63"/>
        <v>5.8576110628649758E-10</v>
      </c>
      <c r="Q320" s="12">
        <f t="shared" ca="1" si="63"/>
        <v>1.2364498314099137E-10</v>
      </c>
      <c r="R320" s="12">
        <f t="shared" ca="1" si="63"/>
        <v>2.8639202120928076E-11</v>
      </c>
      <c r="S320" s="12">
        <f t="shared" ca="1" si="63"/>
        <v>7.1945782664784019E-12</v>
      </c>
      <c r="T320" s="12">
        <f t="shared" ca="1" si="63"/>
        <v>1.9416690477669363E-12</v>
      </c>
      <c r="U320" s="12">
        <f t="shared" ca="1" si="63"/>
        <v>5.5844218138645374E-13</v>
      </c>
      <c r="V320" s="12">
        <f t="shared" ca="1" si="64"/>
        <v>1.7008616737257398E-13</v>
      </c>
      <c r="W320" s="12">
        <f t="shared" ca="1" si="64"/>
        <v>5.4622972811557702E-14</v>
      </c>
      <c r="X320" s="12">
        <f t="shared" ca="1" si="64"/>
        <v>1.8318679906315083E-14</v>
      </c>
      <c r="Y320" s="12">
        <f t="shared" ca="1" si="64"/>
        <v>6.4392935428259079E-15</v>
      </c>
      <c r="Z320" s="12">
        <f t="shared" ca="1" si="64"/>
        <v>3.7747582837255322E-15</v>
      </c>
      <c r="AA320" s="80">
        <f ca="1">SUMPRODUCT(F320:Z320,FailureForCPU!E$17:Y$17)</f>
        <v>1.1766976282245878E-13</v>
      </c>
      <c r="AB320" s="80">
        <f t="shared" ca="1" si="65"/>
        <v>2.9426268869626684E-14</v>
      </c>
      <c r="AC320" s="12">
        <f t="shared" ca="1" si="66"/>
        <v>0.25007502491546491</v>
      </c>
      <c r="AD320" s="12">
        <f t="shared" ca="1" si="67"/>
        <v>0.80963071834746891</v>
      </c>
    </row>
    <row r="321" spans="1:30">
      <c r="A321" s="56">
        <v>2</v>
      </c>
      <c r="B321" s="12">
        <f t="shared" si="61"/>
        <v>0.15990046666666669</v>
      </c>
      <c r="C321" s="12">
        <f t="shared" si="62"/>
        <v>0.16172192774671942</v>
      </c>
      <c r="D321" s="23">
        <f t="array" ref="D321">MATCH(MIN(ABS(ServerTypeA!$A$106:$A$165-$C321)),ABS(ServerTypeA!$A$106:$A$165-$C321),0)</f>
        <v>2</v>
      </c>
      <c r="E321" s="23">
        <f t="array" ref="E321">INDEX(ServerTypeA!$A$106:$A$165,MATCH(MIN(ABS(ServerTypeA!$A$106:$A$165-$C321)),ABS(ServerTypeA!$A$106:$A$165-$C321),0))</f>
        <v>0.2</v>
      </c>
      <c r="F321" s="12">
        <f t="shared" ca="1" si="63"/>
        <v>0</v>
      </c>
      <c r="G321" s="80">
        <f t="shared" ca="1" si="63"/>
        <v>0.66593794397121475</v>
      </c>
      <c r="H321" s="12">
        <f t="shared" ca="1" si="63"/>
        <v>3.1960042700872382E-2</v>
      </c>
      <c r="I321" s="12">
        <f t="shared" ca="1" si="63"/>
        <v>1.5994488965370701E-3</v>
      </c>
      <c r="J321" s="12">
        <f t="shared" ca="1" si="63"/>
        <v>1.1242877602224421E-4</v>
      </c>
      <c r="K321" s="12">
        <f t="shared" ca="1" si="63"/>
        <v>1.9196099576346271E-5</v>
      </c>
      <c r="L321" s="12">
        <f t="shared" ca="1" si="63"/>
        <v>2.4487933019123886E-6</v>
      </c>
      <c r="M321" s="12">
        <f t="shared" ca="1" si="63"/>
        <v>3.8368656929410605E-7</v>
      </c>
      <c r="N321" s="12">
        <f t="shared" ca="1" si="63"/>
        <v>7.0876589153279212E-8</v>
      </c>
      <c r="O321" s="12">
        <f t="shared" ca="1" si="63"/>
        <v>1.4983860263662052E-8</v>
      </c>
      <c r="P321" s="12">
        <f t="shared" ca="1" si="63"/>
        <v>3.5457425884288796E-9</v>
      </c>
      <c r="Q321" s="12">
        <f t="shared" ca="1" si="63"/>
        <v>9.2337537616060672E-10</v>
      </c>
      <c r="R321" s="12">
        <f t="shared" ca="1" si="63"/>
        <v>2.6113289308682397E-10</v>
      </c>
      <c r="S321" s="12">
        <f t="shared" ca="1" si="63"/>
        <v>7.9349748993706726E-11</v>
      </c>
      <c r="T321" s="12">
        <f t="shared" ca="1" si="63"/>
        <v>2.5685342741610384E-11</v>
      </c>
      <c r="U321" s="12">
        <f t="shared" ca="1" si="63"/>
        <v>8.79429862266079E-12</v>
      </c>
      <c r="V321" s="12">
        <f t="shared" ca="1" si="64"/>
        <v>3.1659119770210964E-12</v>
      </c>
      <c r="W321" s="12">
        <f t="shared" ca="1" si="64"/>
        <v>1.1924905507498806E-12</v>
      </c>
      <c r="X321" s="12">
        <f t="shared" ca="1" si="64"/>
        <v>4.6784798257704097E-13</v>
      </c>
      <c r="Y321" s="12">
        <f t="shared" ca="1" si="64"/>
        <v>1.9062529332813938E-13</v>
      </c>
      <c r="Z321" s="12">
        <f t="shared" ca="1" si="64"/>
        <v>1.446620601086579E-13</v>
      </c>
      <c r="AA321" s="80">
        <f ca="1">SUMPRODUCT(F321:Z321,FailureForCPU!E$17:Y$17)</f>
        <v>1.579197883572192E-12</v>
      </c>
      <c r="AB321" s="80">
        <f t="shared" ca="1" si="65"/>
        <v>2.5539092602483428E-13</v>
      </c>
      <c r="AC321" s="12">
        <f t="shared" ca="1" si="66"/>
        <v>0.16172192774646404</v>
      </c>
      <c r="AD321" s="12">
        <f t="shared" ca="1" si="67"/>
        <v>0.6996319836337852</v>
      </c>
    </row>
    <row r="322" spans="1:30">
      <c r="A322" s="56">
        <v>3</v>
      </c>
      <c r="B322" s="12">
        <f t="shared" si="61"/>
        <v>0.15634300000000001</v>
      </c>
      <c r="C322" s="12">
        <f t="shared" si="62"/>
        <v>0.1581239372015926</v>
      </c>
      <c r="D322" s="23">
        <f t="array" ref="D322">MATCH(MIN(ABS(ServerTypeA!$A$106:$A$165-$C322)),ABS(ServerTypeA!$A$106:$A$165-$C322),0)</f>
        <v>2</v>
      </c>
      <c r="E322" s="23">
        <f t="array" ref="E322">INDEX(ServerTypeA!$A$106:$A$165,MATCH(MIN(ABS(ServerTypeA!$A$106:$A$165-$C322)),ABS(ServerTypeA!$A$106:$A$165-$C322),0))</f>
        <v>0.2</v>
      </c>
      <c r="F322" s="80">
        <f t="shared" ca="1" si="63"/>
        <v>0</v>
      </c>
      <c r="G322" s="80">
        <f t="shared" ca="1" si="63"/>
        <v>0.66593794397121475</v>
      </c>
      <c r="H322" s="80">
        <f t="shared" ca="1" si="63"/>
        <v>3.1960042700872382E-2</v>
      </c>
      <c r="I322" s="80">
        <f t="shared" ca="1" si="63"/>
        <v>1.5994488965370701E-3</v>
      </c>
      <c r="J322" s="80">
        <f t="shared" ca="1" si="63"/>
        <v>1.1242877602224421E-4</v>
      </c>
      <c r="K322" s="80">
        <f t="shared" ca="1" si="63"/>
        <v>1.9196099576346271E-5</v>
      </c>
      <c r="L322" s="80">
        <f t="shared" ca="1" si="63"/>
        <v>2.4487933019123886E-6</v>
      </c>
      <c r="M322" s="80">
        <f t="shared" ca="1" si="63"/>
        <v>3.8368656929410605E-7</v>
      </c>
      <c r="N322" s="80">
        <f t="shared" ca="1" si="63"/>
        <v>7.0876589153279212E-8</v>
      </c>
      <c r="O322" s="80">
        <f t="shared" ca="1" si="63"/>
        <v>1.4983860263662052E-8</v>
      </c>
      <c r="P322" s="80">
        <f t="shared" ca="1" si="63"/>
        <v>3.5457425884288796E-9</v>
      </c>
      <c r="Q322" s="80">
        <f t="shared" ca="1" si="63"/>
        <v>9.2337537616060672E-10</v>
      </c>
      <c r="R322" s="80">
        <f t="shared" ca="1" si="63"/>
        <v>2.6113289308682397E-10</v>
      </c>
      <c r="S322" s="80">
        <f t="shared" ca="1" si="63"/>
        <v>7.9349748993706726E-11</v>
      </c>
      <c r="T322" s="80">
        <f t="shared" ca="1" si="63"/>
        <v>2.5685342741610384E-11</v>
      </c>
      <c r="U322" s="80">
        <f t="shared" ca="1" si="63"/>
        <v>8.79429862266079E-12</v>
      </c>
      <c r="V322" s="80">
        <f t="shared" ca="1" si="64"/>
        <v>3.1659119770210964E-12</v>
      </c>
      <c r="W322" s="80">
        <f t="shared" ca="1" si="64"/>
        <v>1.1924905507498806E-12</v>
      </c>
      <c r="X322" s="80">
        <f t="shared" ca="1" si="64"/>
        <v>4.6784798257704097E-13</v>
      </c>
      <c r="Y322" s="80">
        <f t="shared" ca="1" si="64"/>
        <v>1.9062529332813938E-13</v>
      </c>
      <c r="Z322" s="80">
        <f t="shared" ca="1" si="64"/>
        <v>1.446620601086579E-13</v>
      </c>
      <c r="AA322" s="80">
        <f ca="1">SUMPRODUCT(F322:Z322,FailureForCPU!E$17:Y$17)</f>
        <v>1.579197883572192E-12</v>
      </c>
      <c r="AB322" s="80">
        <f t="shared" ca="1" si="65"/>
        <v>2.4970898697085722E-13</v>
      </c>
      <c r="AC322" s="12">
        <f t="shared" ca="1" si="66"/>
        <v>0.15812393720134288</v>
      </c>
      <c r="AD322" s="12">
        <f t="shared" ca="1" si="67"/>
        <v>0.6996319836337852</v>
      </c>
    </row>
    <row r="323" spans="1:30">
      <c r="A323" s="56">
        <v>4</v>
      </c>
      <c r="B323" s="12">
        <f t="shared" si="61"/>
        <v>0.33371846666666666</v>
      </c>
      <c r="C323" s="12">
        <f t="shared" si="62"/>
        <v>0.33751992648351237</v>
      </c>
      <c r="D323" s="23">
        <f t="array" ref="D323">MATCH(MIN(ABS(ServerTypeA!$A$106:$A$165-$C323)),ABS(ServerTypeA!$A$106:$A$165-$C323),0)</f>
        <v>3</v>
      </c>
      <c r="E323" s="23">
        <f t="array" ref="E323">INDEX(ServerTypeA!$A$106:$A$165,MATCH(MIN(ABS(ServerTypeA!$A$106:$A$165-$C323)),ABS(ServerTypeA!$A$106:$A$165-$C323),0))</f>
        <v>0.3</v>
      </c>
      <c r="F323" s="80">
        <f t="shared" ca="1" si="63"/>
        <v>0</v>
      </c>
      <c r="G323" s="80">
        <f t="shared" ca="1" si="63"/>
        <v>0.76734078687270313</v>
      </c>
      <c r="H323" s="80">
        <f t="shared" ca="1" si="63"/>
        <v>4.061799437764968E-2</v>
      </c>
      <c r="I323" s="80">
        <f t="shared" ca="1" si="63"/>
        <v>1.5765400616829517E-3</v>
      </c>
      <c r="J323" s="80">
        <f t="shared" ca="1" si="63"/>
        <v>8.3090088131676509E-5</v>
      </c>
      <c r="K323" s="80">
        <f t="shared" ca="1" si="63"/>
        <v>1.1088798038461078E-5</v>
      </c>
      <c r="L323" s="80">
        <f t="shared" ca="1" si="63"/>
        <v>1.0675049230135514E-6</v>
      </c>
      <c r="M323" s="80">
        <f t="shared" ca="1" si="63"/>
        <v>1.2832819928920713E-7</v>
      </c>
      <c r="N323" s="80">
        <f t="shared" ca="1" si="63"/>
        <v>1.8478603647231751E-8</v>
      </c>
      <c r="O323" s="80">
        <f t="shared" ca="1" si="63"/>
        <v>3.089543842982323E-9</v>
      </c>
      <c r="P323" s="80">
        <f t="shared" ca="1" si="63"/>
        <v>5.8576110628649758E-10</v>
      </c>
      <c r="Q323" s="80">
        <f t="shared" ca="1" si="63"/>
        <v>1.2364498314099137E-10</v>
      </c>
      <c r="R323" s="80">
        <f t="shared" ca="1" si="63"/>
        <v>2.8639202120928076E-11</v>
      </c>
      <c r="S323" s="80">
        <f t="shared" ca="1" si="63"/>
        <v>7.1945782664784019E-12</v>
      </c>
      <c r="T323" s="80">
        <f t="shared" ca="1" si="63"/>
        <v>1.9416690477669363E-12</v>
      </c>
      <c r="U323" s="80">
        <f t="shared" ca="1" si="63"/>
        <v>5.5844218138645374E-13</v>
      </c>
      <c r="V323" s="80">
        <f t="shared" ca="1" si="64"/>
        <v>1.7008616737257398E-13</v>
      </c>
      <c r="W323" s="80">
        <f t="shared" ca="1" si="64"/>
        <v>5.4622972811557702E-14</v>
      </c>
      <c r="X323" s="80">
        <f t="shared" ca="1" si="64"/>
        <v>1.8318679906315083E-14</v>
      </c>
      <c r="Y323" s="80">
        <f t="shared" ca="1" si="64"/>
        <v>6.4392935428259079E-15</v>
      </c>
      <c r="Z323" s="80">
        <f t="shared" ca="1" si="64"/>
        <v>3.7747582837255322E-15</v>
      </c>
      <c r="AA323" s="80">
        <f ca="1">SUMPRODUCT(F323:Z323,FailureForCPU!E$17:Y$17)</f>
        <v>1.1766976282245878E-13</v>
      </c>
      <c r="AB323" s="80">
        <f t="shared" ca="1" si="65"/>
        <v>3.9715889697168625E-14</v>
      </c>
      <c r="AC323" s="12">
        <f t="shared" ca="1" si="66"/>
        <v>0.33751992648347268</v>
      </c>
      <c r="AD323" s="12">
        <f t="shared" ca="1" si="67"/>
        <v>0.80963071834746891</v>
      </c>
    </row>
    <row r="324" spans="1:30">
      <c r="A324" s="56">
        <v>5</v>
      </c>
      <c r="B324" s="12">
        <f t="shared" si="61"/>
        <v>0.89391525000000005</v>
      </c>
      <c r="C324" s="12">
        <f t="shared" si="62"/>
        <v>0.90409803351954332</v>
      </c>
      <c r="D324" s="23">
        <f t="array" ref="D324">MATCH(MIN(ABS(ServerTypeA!$A$106:$A$165-$C324)),ABS(ServerTypeA!$A$106:$A$165-$C324),0)</f>
        <v>9</v>
      </c>
      <c r="E324" s="23">
        <f t="array" ref="E324">INDEX(ServerTypeA!$A$106:$A$165,MATCH(MIN(ABS(ServerTypeA!$A$106:$A$165-$C324)),ABS(ServerTypeA!$A$106:$A$165-$C324),0))</f>
        <v>0.9</v>
      </c>
      <c r="F324" s="80">
        <f t="shared" ca="1" si="63"/>
        <v>0</v>
      </c>
      <c r="G324" s="80">
        <f t="shared" ca="1" si="63"/>
        <v>0.6478874292771819</v>
      </c>
      <c r="H324" s="80">
        <f t="shared" ca="1" si="63"/>
        <v>0.33264207036991167</v>
      </c>
      <c r="I324" s="80">
        <f t="shared" ca="1" si="63"/>
        <v>1.8220068282046253E-2</v>
      </c>
      <c r="J324" s="80">
        <f t="shared" ca="1" si="63"/>
        <v>6.504195037900784E-4</v>
      </c>
      <c r="K324" s="80">
        <f t="shared" ca="1" si="63"/>
        <v>5.0559486676760024E-5</v>
      </c>
      <c r="L324" s="80">
        <f t="shared" ca="1" si="63"/>
        <v>2.299209596934304E-6</v>
      </c>
      <c r="M324" s="80">
        <f t="shared" ca="1" si="63"/>
        <v>1.255587669390934E-7</v>
      </c>
      <c r="N324" s="80">
        <f t="shared" ca="1" si="63"/>
        <v>8.1680614494317183E-9</v>
      </c>
      <c r="O324" s="80">
        <f t="shared" ca="1" si="63"/>
        <v>6.2318250559911803E-10</v>
      </c>
      <c r="P324" s="80">
        <f t="shared" ca="1" si="63"/>
        <v>5.4854787379099434E-11</v>
      </c>
      <c r="Q324" s="80">
        <f t="shared" ca="1" si="63"/>
        <v>5.4871662769073737E-12</v>
      </c>
      <c r="R324" s="80">
        <f t="shared" ca="1" si="63"/>
        <v>6.1550764485218679E-13</v>
      </c>
      <c r="S324" s="80">
        <f t="shared" ca="1" si="63"/>
        <v>7.6494366396673286E-14</v>
      </c>
      <c r="T324" s="80">
        <f t="shared" ca="1" si="63"/>
        <v>1.0436096431476471E-14</v>
      </c>
      <c r="U324" s="80">
        <f t="shared" ca="1" si="63"/>
        <v>1.5543122344752192E-15</v>
      </c>
      <c r="V324" s="80">
        <f t="shared" ca="1" si="64"/>
        <v>0</v>
      </c>
      <c r="W324" s="80">
        <f t="shared" ca="1" si="64"/>
        <v>0</v>
      </c>
      <c r="X324" s="80">
        <f t="shared" ca="1" si="64"/>
        <v>0</v>
      </c>
      <c r="Y324" s="80">
        <f t="shared" ca="1" si="64"/>
        <v>0</v>
      </c>
      <c r="Z324" s="80">
        <f t="shared" ca="1" si="64"/>
        <v>0</v>
      </c>
      <c r="AA324" s="80">
        <f ca="1">SUMPRODUCT(F324:Z324,FailureForCPU!E$17:Y$17)</f>
        <v>8.5024579969209894E-16</v>
      </c>
      <c r="AB324" s="80">
        <f t="shared" ca="1" si="65"/>
        <v>7.6870555550987821E-16</v>
      </c>
      <c r="AC324" s="12">
        <f t="shared" ca="1" si="66"/>
        <v>0.90409803351954254</v>
      </c>
      <c r="AD324" s="12">
        <f t="shared" ca="1" si="67"/>
        <v>0.99945298054026044</v>
      </c>
    </row>
    <row r="325" spans="1:30">
      <c r="A325" s="56">
        <v>6</v>
      </c>
      <c r="B325" s="12">
        <f t="shared" si="61"/>
        <v>1.2472558666666667</v>
      </c>
      <c r="C325" s="12">
        <f t="shared" si="62"/>
        <v>1.2614636301920645</v>
      </c>
      <c r="D325" s="23">
        <f t="array" ref="D325">MATCH(MIN(ABS(ServerTypeA!$A$106:$A$165-$C325)),ABS(ServerTypeA!$A$106:$A$165-$C325),0)</f>
        <v>13</v>
      </c>
      <c r="E325" s="23">
        <f t="array" ref="E325">INDEX(ServerTypeA!$A$106:$A$165,MATCH(MIN(ABS(ServerTypeA!$A$106:$A$165-$C325)),ABS(ServerTypeA!$A$106:$A$165-$C325),0))</f>
        <v>1.3</v>
      </c>
      <c r="F325" s="80">
        <f t="shared" ca="1" si="63"/>
        <v>0</v>
      </c>
      <c r="G325" s="80">
        <f t="shared" ca="1" si="63"/>
        <v>0.24598925078970357</v>
      </c>
      <c r="H325" s="80">
        <f t="shared" ca="1" si="63"/>
        <v>0.65226017775051437</v>
      </c>
      <c r="I325" s="80">
        <f t="shared" ca="1" si="63"/>
        <v>9.6544656117788175E-2</v>
      </c>
      <c r="J325" s="80">
        <f t="shared" ca="1" si="63"/>
        <v>4.8031733490413453E-3</v>
      </c>
      <c r="K325" s="80">
        <f t="shared" ca="1" si="63"/>
        <v>3.8585633571530664E-4</v>
      </c>
      <c r="L325" s="80">
        <f t="shared" ca="1" si="63"/>
        <v>1.5673133949012374E-5</v>
      </c>
      <c r="M325" s="80">
        <f t="shared" ca="1" si="63"/>
        <v>6.9597972307544609E-7</v>
      </c>
      <c r="N325" s="80">
        <f t="shared" ca="1" si="63"/>
        <v>3.4953464345122143E-8</v>
      </c>
      <c r="O325" s="80">
        <f t="shared" ca="1" si="63"/>
        <v>1.9994971234282843E-9</v>
      </c>
      <c r="P325" s="80">
        <f t="shared" ca="1" si="63"/>
        <v>1.2985090780404107E-10</v>
      </c>
      <c r="Q325" s="80">
        <f t="shared" ca="1" si="63"/>
        <v>9.5042862469085776E-12</v>
      </c>
      <c r="R325" s="80">
        <f t="shared" ca="1" si="63"/>
        <v>7.7737816184253461E-13</v>
      </c>
      <c r="S325" s="80">
        <f t="shared" ca="1" si="63"/>
        <v>7.049916206369744E-14</v>
      </c>
      <c r="T325" s="80">
        <f t="shared" ca="1" si="63"/>
        <v>6.9944050551384862E-15</v>
      </c>
      <c r="U325" s="80">
        <f t="shared" ca="1" si="63"/>
        <v>0</v>
      </c>
      <c r="V325" s="80">
        <f t="shared" ca="1" si="64"/>
        <v>0</v>
      </c>
      <c r="W325" s="80">
        <f t="shared" ca="1" si="64"/>
        <v>0</v>
      </c>
      <c r="X325" s="80">
        <f t="shared" ca="1" si="64"/>
        <v>0</v>
      </c>
      <c r="Y325" s="80">
        <f t="shared" ca="1" si="64"/>
        <v>0</v>
      </c>
      <c r="Z325" s="80">
        <f t="shared" ca="1" si="64"/>
        <v>0</v>
      </c>
      <c r="AA325" s="80">
        <f ca="1">SUMPRODUCT(F325:Z325,FailureForCPU!E$17:Y$17)</f>
        <v>7.0406643478312012E-16</v>
      </c>
      <c r="AB325" s="80">
        <f t="shared" ca="1" si="65"/>
        <v>8.881542007178992E-16</v>
      </c>
      <c r="AC325" s="12">
        <f t="shared" ca="1" si="66"/>
        <v>1.2614636301920636</v>
      </c>
      <c r="AD325" s="12">
        <f t="shared" ca="1" si="67"/>
        <v>0.99999952054960639</v>
      </c>
    </row>
    <row r="326" spans="1:30">
      <c r="A326" s="56">
        <v>7</v>
      </c>
      <c r="B326" s="12">
        <f t="shared" si="61"/>
        <v>1.427451456896552</v>
      </c>
      <c r="C326" s="12">
        <f t="shared" si="62"/>
        <v>1.4437118676796035</v>
      </c>
      <c r="D326" s="23">
        <f t="array" ref="D326">MATCH(MIN(ABS(ServerTypeA!$A$106:$A$165-$C326)),ABS(ServerTypeA!$A$106:$A$165-$C326),0)</f>
        <v>14</v>
      </c>
      <c r="E326" s="23">
        <f t="array" ref="E326">INDEX(ServerTypeA!$A$106:$A$165,MATCH(MIN(ABS(ServerTypeA!$A$106:$A$165-$C326)),ABS(ServerTypeA!$A$106:$A$165-$C326),0))</f>
        <v>1.4</v>
      </c>
      <c r="F326" s="80">
        <f t="shared" ca="1" si="63"/>
        <v>0</v>
      </c>
      <c r="G326" s="80">
        <f t="shared" ca="1" si="63"/>
        <v>0.17028918833506609</v>
      </c>
      <c r="H326" s="80">
        <f t="shared" ca="1" si="63"/>
        <v>0.68719727873973957</v>
      </c>
      <c r="I326" s="80">
        <f t="shared" ca="1" si="63"/>
        <v>0.13433896999801065</v>
      </c>
      <c r="J326" s="80">
        <f t="shared" ca="1" si="63"/>
        <v>7.5243268365381422E-3</v>
      </c>
      <c r="K326" s="80">
        <f t="shared" ca="1" si="63"/>
        <v>6.2386006732695343E-4</v>
      </c>
      <c r="L326" s="80">
        <f t="shared" ca="1" si="63"/>
        <v>2.5183895741909268E-5</v>
      </c>
      <c r="M326" s="80">
        <f t="shared" ca="1" si="63"/>
        <v>1.0803130975345354E-6</v>
      </c>
      <c r="N326" s="80">
        <f t="shared" ca="1" si="63"/>
        <v>5.1559322478134106E-8</v>
      </c>
      <c r="O326" s="80">
        <f t="shared" ca="1" si="63"/>
        <v>2.7755902021198153E-9</v>
      </c>
      <c r="P326" s="80">
        <f t="shared" ca="1" si="63"/>
        <v>1.686324413441298E-10</v>
      </c>
      <c r="Q326" s="80">
        <f t="shared" ca="1" si="63"/>
        <v>1.1506795516424972E-11</v>
      </c>
      <c r="R326" s="80">
        <f t="shared" ca="1" si="63"/>
        <v>8.7585494412678599E-13</v>
      </c>
      <c r="S326" s="80">
        <f t="shared" ca="1" si="63"/>
        <v>7.3718808835110394E-14</v>
      </c>
      <c r="T326" s="80">
        <f t="shared" ca="1" si="63"/>
        <v>6.8833827526759706E-15</v>
      </c>
      <c r="U326" s="80">
        <f t="shared" ca="1" si="63"/>
        <v>0</v>
      </c>
      <c r="V326" s="80">
        <f t="shared" ca="1" si="64"/>
        <v>0</v>
      </c>
      <c r="W326" s="80">
        <f t="shared" ca="1" si="64"/>
        <v>0</v>
      </c>
      <c r="X326" s="80">
        <f t="shared" ca="1" si="64"/>
        <v>0</v>
      </c>
      <c r="Y326" s="80">
        <f t="shared" ca="1" si="64"/>
        <v>0</v>
      </c>
      <c r="Z326" s="80">
        <f t="shared" ca="1" si="64"/>
        <v>0</v>
      </c>
      <c r="AA326" s="80">
        <f ca="1">SUMPRODUCT(F326:Z326,FailureForCPU!E$17:Y$17)</f>
        <v>7.290464528371861E-16</v>
      </c>
      <c r="AB326" s="80">
        <f t="shared" ca="1" si="65"/>
        <v>1.0525330160507639E-15</v>
      </c>
      <c r="AC326" s="12">
        <f t="shared" ca="1" si="66"/>
        <v>1.4437118676796024</v>
      </c>
      <c r="AD326" s="12">
        <f t="shared" ca="1" si="67"/>
        <v>0.99999994270152925</v>
      </c>
    </row>
    <row r="327" spans="1:30">
      <c r="A327" s="56">
        <v>8</v>
      </c>
      <c r="B327" s="12">
        <f t="shared" si="61"/>
        <v>1.6331402586206896</v>
      </c>
      <c r="C327" s="12">
        <f t="shared" si="62"/>
        <v>1.6517437153919945</v>
      </c>
      <c r="D327" s="23">
        <f t="array" ref="D327">MATCH(MIN(ABS(ServerTypeA!$A$106:$A$165-$C327)),ABS(ServerTypeA!$A$106:$A$165-$C327),0)</f>
        <v>17</v>
      </c>
      <c r="E327" s="23">
        <f t="array" ref="E327">INDEX(ServerTypeA!$A$106:$A$165,MATCH(MIN(ABS(ServerTypeA!$A$106:$A$165-$C327)),ABS(ServerTypeA!$A$106:$A$165-$C327),0))</f>
        <v>1.7</v>
      </c>
      <c r="F327" s="80">
        <f t="shared" ca="1" si="63"/>
        <v>0</v>
      </c>
      <c r="G327" s="80">
        <f t="shared" ca="1" si="63"/>
        <v>4.1463030082338738E-2</v>
      </c>
      <c r="H327" s="80">
        <f t="shared" ca="1" si="63"/>
        <v>0.64122709160290614</v>
      </c>
      <c r="I327" s="80">
        <f t="shared" ca="1" si="63"/>
        <v>0.2905306516274746</v>
      </c>
      <c r="J327" s="80">
        <f t="shared" ca="1" si="63"/>
        <v>2.4382888062965291E-2</v>
      </c>
      <c r="K327" s="80">
        <f t="shared" ca="1" si="63"/>
        <v>2.2986485457712202E-3</v>
      </c>
      <c r="L327" s="80">
        <f t="shared" ca="1" si="63"/>
        <v>9.3823013921801035E-5</v>
      </c>
      <c r="M327" s="80">
        <f t="shared" ca="1" si="63"/>
        <v>3.7055641501915204E-6</v>
      </c>
      <c r="N327" s="80">
        <f t="shared" ca="1" si="63"/>
        <v>1.5409524256604357E-7</v>
      </c>
      <c r="O327" s="80">
        <f t="shared" ca="1" si="63"/>
        <v>6.9896542997938127E-9</v>
      </c>
      <c r="P327" s="80">
        <f t="shared" ca="1" si="63"/>
        <v>3.5048364210865657E-10</v>
      </c>
      <c r="Q327" s="80">
        <f t="shared" ca="1" si="63"/>
        <v>1.9488410885060148E-11</v>
      </c>
      <c r="R327" s="80">
        <f t="shared" ca="1" si="63"/>
        <v>1.1994849558050191E-12</v>
      </c>
      <c r="S327" s="80">
        <f t="shared" ca="1" si="63"/>
        <v>8.149037000748649E-14</v>
      </c>
      <c r="T327" s="80">
        <f t="shared" ca="1" si="63"/>
        <v>5.9952043329758453E-15</v>
      </c>
      <c r="U327" s="80">
        <f t="shared" ca="1" si="63"/>
        <v>0</v>
      </c>
      <c r="V327" s="80">
        <f t="shared" ca="1" si="64"/>
        <v>0</v>
      </c>
      <c r="W327" s="80">
        <f t="shared" ca="1" si="64"/>
        <v>0</v>
      </c>
      <c r="X327" s="80">
        <f t="shared" ca="1" si="64"/>
        <v>0</v>
      </c>
      <c r="Y327" s="80">
        <f t="shared" ca="1" si="64"/>
        <v>0</v>
      </c>
      <c r="Z327" s="80">
        <f t="shared" ca="1" si="64"/>
        <v>0</v>
      </c>
      <c r="AA327" s="80">
        <f ca="1">SUMPRODUCT(F327:Z327,FailureForCPU!E$17:Y$17)</f>
        <v>7.7900648894531817E-16</v>
      </c>
      <c r="AB327" s="80">
        <f t="shared" ca="1" si="65"/>
        <v>1.2867190723650126E-15</v>
      </c>
      <c r="AC327" s="12">
        <f t="shared" ca="1" si="66"/>
        <v>1.6517437153919932</v>
      </c>
      <c r="AD327" s="12">
        <f t="shared" ca="1" si="67"/>
        <v>0.99999999995568389</v>
      </c>
    </row>
    <row r="328" spans="1:30">
      <c r="A328" s="56">
        <v>9</v>
      </c>
      <c r="B328" s="12">
        <f t="shared" si="61"/>
        <v>1.8079739655172413</v>
      </c>
      <c r="C328" s="12">
        <f t="shared" si="62"/>
        <v>1.8285689911640599</v>
      </c>
      <c r="D328" s="23">
        <f t="array" ref="D328">MATCH(MIN(ABS(ServerTypeA!$A$106:$A$165-$C328)),ABS(ServerTypeA!$A$106:$A$165-$C328),0)</f>
        <v>18</v>
      </c>
      <c r="E328" s="23">
        <f t="array" ref="E328">INDEX(ServerTypeA!$A$106:$A$165,MATCH(MIN(ABS(ServerTypeA!$A$106:$A$165-$C328)),ABS(ServerTypeA!$A$106:$A$165-$C328),0))</f>
        <v>1.8</v>
      </c>
      <c r="F328" s="80">
        <f t="shared" ca="1" si="63"/>
        <v>0</v>
      </c>
      <c r="G328" s="80">
        <f t="shared" ca="1" si="63"/>
        <v>2.3430655918933323E-2</v>
      </c>
      <c r="H328" s="80">
        <f t="shared" ca="1" si="63"/>
        <v>0.58816894205402903</v>
      </c>
      <c r="I328" s="80">
        <f t="shared" ca="1" si="63"/>
        <v>0.35081229684092929</v>
      </c>
      <c r="J328" s="80">
        <f t="shared" ca="1" si="63"/>
        <v>3.406413221315896E-2</v>
      </c>
      <c r="K328" s="80">
        <f t="shared" ca="1" si="63"/>
        <v>3.3790197570999769E-3</v>
      </c>
      <c r="L328" s="80">
        <f t="shared" ca="1" si="63"/>
        <v>1.3935267989517719E-4</v>
      </c>
      <c r="M328" s="80">
        <f t="shared" ca="1" si="63"/>
        <v>5.376795014666591E-6</v>
      </c>
      <c r="N328" s="80">
        <f t="shared" ca="1" si="63"/>
        <v>2.1409693806706542E-7</v>
      </c>
      <c r="O328" s="80">
        <f t="shared" ca="1" si="63"/>
        <v>9.1847807137668269E-9</v>
      </c>
      <c r="P328" s="80">
        <f t="shared" ca="1" si="63"/>
        <v>4.3223036261252901E-10</v>
      </c>
      <c r="Q328" s="80">
        <f t="shared" ca="1" si="63"/>
        <v>2.244671115647634E-11</v>
      </c>
      <c r="R328" s="80">
        <f t="shared" ca="1" si="63"/>
        <v>1.2864154186331689E-12</v>
      </c>
      <c r="S328" s="80">
        <f t="shared" ca="1" si="63"/>
        <v>8.1157303100098943E-14</v>
      </c>
      <c r="T328" s="80">
        <f t="shared" ca="1" si="63"/>
        <v>5.6621374255882984E-15</v>
      </c>
      <c r="U328" s="80">
        <f t="shared" ca="1" si="63"/>
        <v>0</v>
      </c>
      <c r="V328" s="80">
        <f t="shared" ca="1" si="64"/>
        <v>0</v>
      </c>
      <c r="W328" s="80">
        <f t="shared" ca="1" si="64"/>
        <v>0</v>
      </c>
      <c r="X328" s="80">
        <f t="shared" ca="1" si="64"/>
        <v>0</v>
      </c>
      <c r="Y328" s="80">
        <f t="shared" ca="1" si="64"/>
        <v>0</v>
      </c>
      <c r="Z328" s="80">
        <f t="shared" ca="1" si="64"/>
        <v>0</v>
      </c>
      <c r="AA328" s="80">
        <f ca="1">SUMPRODUCT(F328:Z328,FailureForCPU!E$17:Y$17)</f>
        <v>7.7067981626062947E-16</v>
      </c>
      <c r="AB328" s="80">
        <f t="shared" ca="1" si="65"/>
        <v>1.4092412141302023E-15</v>
      </c>
      <c r="AC328" s="12">
        <f t="shared" ca="1" si="66"/>
        <v>1.8285689911640586</v>
      </c>
      <c r="AD328" s="12">
        <f t="shared" ca="1" si="67"/>
        <v>0.99999999999682954</v>
      </c>
    </row>
    <row r="329" spans="1:30">
      <c r="A329" s="56">
        <v>10</v>
      </c>
      <c r="B329" s="12">
        <f t="shared" si="61"/>
        <v>1.9315643166666667</v>
      </c>
      <c r="C329" s="12">
        <f t="shared" si="62"/>
        <v>1.9535671869507245</v>
      </c>
      <c r="D329" s="23">
        <f t="array" ref="D329">MATCH(MIN(ABS(ServerTypeA!$A$106:$A$165-$C329)),ABS(ServerTypeA!$A$106:$A$165-$C329),0)</f>
        <v>20</v>
      </c>
      <c r="E329" s="23">
        <f t="array" ref="E329">INDEX(ServerTypeA!$A$106:$A$165,MATCH(MIN(ABS(ServerTypeA!$A$106:$A$165-$C329)),ABS(ServerTypeA!$A$106:$A$165-$C329),0))</f>
        <v>2</v>
      </c>
      <c r="F329" s="80">
        <f t="shared" ca="1" si="63"/>
        <v>0</v>
      </c>
      <c r="G329" s="80">
        <f t="shared" ca="1" si="63"/>
        <v>6.4882558968740569E-3</v>
      </c>
      <c r="H329" s="80">
        <f t="shared" ca="1" si="63"/>
        <v>0.45773957032610912</v>
      </c>
      <c r="I329" s="80">
        <f t="shared" ca="1" si="63"/>
        <v>0.46733225910107257</v>
      </c>
      <c r="J329" s="80">
        <f t="shared" ca="1" si="63"/>
        <v>6.1346451119754675E-2</v>
      </c>
      <c r="K329" s="80">
        <f t="shared" ca="1" si="63"/>
        <v>6.7946249034726014E-3</v>
      </c>
      <c r="L329" s="80">
        <f t="shared" ca="1" si="63"/>
        <v>2.8780670345651682E-4</v>
      </c>
      <c r="M329" s="80">
        <f t="shared" ca="1" si="63"/>
        <v>1.0628172429583138E-5</v>
      </c>
      <c r="N329" s="80">
        <f t="shared" ca="1" si="63"/>
        <v>3.8824666881431824E-7</v>
      </c>
      <c r="O329" s="80">
        <f t="shared" ca="1" si="63"/>
        <v>1.4885105814599342E-8</v>
      </c>
      <c r="P329" s="80">
        <f t="shared" ca="1" si="63"/>
        <v>6.1576810317376385E-10</v>
      </c>
      <c r="Q329" s="80">
        <f t="shared" ca="1" si="63"/>
        <v>2.7819080372637472E-11</v>
      </c>
      <c r="R329" s="80">
        <f t="shared" ca="1" si="63"/>
        <v>1.3781198404672068E-12</v>
      </c>
      <c r="S329" s="80">
        <f t="shared" ca="1" si="63"/>
        <v>7.4829031859735551E-14</v>
      </c>
      <c r="T329" s="80">
        <f t="shared" ca="1" si="63"/>
        <v>4.4408920985006262E-15</v>
      </c>
      <c r="U329" s="80">
        <f t="shared" ca="1" si="63"/>
        <v>0</v>
      </c>
      <c r="V329" s="80">
        <f t="shared" ca="1" si="64"/>
        <v>0</v>
      </c>
      <c r="W329" s="80">
        <f t="shared" ca="1" si="64"/>
        <v>0</v>
      </c>
      <c r="X329" s="80">
        <f t="shared" ca="1" si="64"/>
        <v>0</v>
      </c>
      <c r="Y329" s="80">
        <f t="shared" ca="1" si="64"/>
        <v>0</v>
      </c>
      <c r="Z329" s="80">
        <f t="shared" ca="1" si="64"/>
        <v>0</v>
      </c>
      <c r="AA329" s="80">
        <f ca="1">SUMPRODUCT(F329:Z329,FailureForCPU!E$17:Y$17)</f>
        <v>6.9759013380614001E-16</v>
      </c>
      <c r="AB329" s="80">
        <f t="shared" ca="1" si="65"/>
        <v>1.3627891953442405E-15</v>
      </c>
      <c r="AC329" s="12">
        <f t="shared" ca="1" si="66"/>
        <v>1.9535671869507232</v>
      </c>
      <c r="AD329" s="12">
        <f t="shared" ca="1" si="67"/>
        <v>0.99999999999998834</v>
      </c>
    </row>
    <row r="330" spans="1:30">
      <c r="A330" s="56">
        <v>11</v>
      </c>
      <c r="B330" s="12">
        <f t="shared" si="61"/>
        <v>2.03022415</v>
      </c>
      <c r="C330" s="12">
        <f t="shared" si="62"/>
        <v>2.0533508759570731</v>
      </c>
      <c r="D330" s="23">
        <f t="array" ref="D330">MATCH(MIN(ABS(ServerTypeA!$A$106:$A$165-$C330)),ABS(ServerTypeA!$A$106:$A$165-$C330),0)</f>
        <v>21</v>
      </c>
      <c r="E330" s="23">
        <f t="array" ref="E330">INDEX(ServerTypeA!$A$106:$A$165,MATCH(MIN(ABS(ServerTypeA!$A$106:$A$165-$C330)),ABS(ServerTypeA!$A$106:$A$165-$C330),0))</f>
        <v>2.1</v>
      </c>
      <c r="F330" s="80">
        <f t="shared" ca="1" si="63"/>
        <v>0</v>
      </c>
      <c r="G330" s="80">
        <f t="shared" ca="1" si="63"/>
        <v>3.18466237266911E-3</v>
      </c>
      <c r="H330" s="80">
        <f t="shared" ca="1" si="63"/>
        <v>0.38977686698309044</v>
      </c>
      <c r="I330" s="80">
        <f t="shared" ca="1" si="63"/>
        <v>0.51796218850113263</v>
      </c>
      <c r="J330" s="80">
        <f t="shared" ca="1" si="63"/>
        <v>7.9340938760323443E-2</v>
      </c>
      <c r="K330" s="80">
        <f t="shared" ca="1" si="63"/>
        <v>9.3193138384064511E-3</v>
      </c>
      <c r="L330" s="80">
        <f t="shared" ca="1" si="63"/>
        <v>4.0100499033179915E-4</v>
      </c>
      <c r="M330" s="80">
        <f t="shared" ca="1" si="63"/>
        <v>1.4498328848588926E-5</v>
      </c>
      <c r="N330" s="80">
        <f t="shared" ca="1" si="63"/>
        <v>5.0712178423228949E-7</v>
      </c>
      <c r="O330" s="80">
        <f t="shared" ca="1" si="63"/>
        <v>1.8361006159928195E-8</v>
      </c>
      <c r="P330" s="80">
        <f t="shared" ca="1" si="63"/>
        <v>7.110533273291253E-10</v>
      </c>
      <c r="Q330" s="80">
        <f t="shared" ca="1" si="63"/>
        <v>2.9905744547420454E-11</v>
      </c>
      <c r="R330" s="80">
        <f t="shared" ca="1" si="63"/>
        <v>1.3743450821834813E-12</v>
      </c>
      <c r="S330" s="80">
        <f t="shared" ca="1" si="63"/>
        <v>6.9166894434147252E-14</v>
      </c>
      <c r="T330" s="80">
        <f t="shared" ca="1" si="63"/>
        <v>3.7747582837255322E-15</v>
      </c>
      <c r="U330" s="80">
        <f t="shared" ca="1" si="63"/>
        <v>0</v>
      </c>
      <c r="V330" s="80">
        <f t="shared" ca="1" si="64"/>
        <v>0</v>
      </c>
      <c r="W330" s="80">
        <f t="shared" ca="1" si="64"/>
        <v>0</v>
      </c>
      <c r="X330" s="80">
        <f t="shared" ca="1" si="64"/>
        <v>0</v>
      </c>
      <c r="Y330" s="80">
        <f t="shared" ca="1" si="64"/>
        <v>0</v>
      </c>
      <c r="Z330" s="80">
        <f t="shared" ca="1" si="64"/>
        <v>0</v>
      </c>
      <c r="AA330" s="80">
        <f ca="1">SUMPRODUCT(F330:Z330,FailureForCPU!E$17:Y$17)</f>
        <v>6.3930342501331926E-16</v>
      </c>
      <c r="AB330" s="80">
        <f t="shared" ca="1" si="65"/>
        <v>1.3127142477534561E-15</v>
      </c>
      <c r="AC330" s="12">
        <f t="shared" ca="1" si="66"/>
        <v>2.0533508759570718</v>
      </c>
      <c r="AD330" s="12">
        <f t="shared" ca="1" si="67"/>
        <v>0.99999999999999922</v>
      </c>
    </row>
    <row r="331" spans="1:30">
      <c r="A331" s="56">
        <v>12</v>
      </c>
      <c r="B331" s="12">
        <f t="shared" si="61"/>
        <v>2.2896160166666668</v>
      </c>
      <c r="C331" s="12">
        <f t="shared" si="62"/>
        <v>2.3156975319340209</v>
      </c>
      <c r="D331" s="23">
        <f t="array" ref="D331">MATCH(MIN(ABS(ServerTypeA!$A$106:$A$165-$C331)),ABS(ServerTypeA!$A$106:$A$165-$C331),0)</f>
        <v>23</v>
      </c>
      <c r="E331" s="23">
        <f t="array" ref="E331">INDEX(ServerTypeA!$A$106:$A$165,MATCH(MIN(ABS(ServerTypeA!$A$106:$A$165-$C331)),ABS(ServerTypeA!$A$106:$A$165-$C331),0))</f>
        <v>2.2999999999999998</v>
      </c>
      <c r="F331" s="80">
        <f t="shared" ca="1" si="63"/>
        <v>0</v>
      </c>
      <c r="G331" s="80">
        <f t="shared" ca="1" si="63"/>
        <v>6.6742298033073313E-4</v>
      </c>
      <c r="H331" s="80">
        <f t="shared" ca="1" si="63"/>
        <v>0.26451402020199755</v>
      </c>
      <c r="I331" s="80">
        <f t="shared" ca="1" si="63"/>
        <v>0.5930847434515365</v>
      </c>
      <c r="J331" s="80">
        <f t="shared" ca="1" si="63"/>
        <v>0.12441726655914587</v>
      </c>
      <c r="K331" s="80">
        <f t="shared" ca="1" si="63"/>
        <v>1.6551860382289618E-2</v>
      </c>
      <c r="L331" s="80">
        <f t="shared" ca="1" si="63"/>
        <v>7.3822551614632914E-4</v>
      </c>
      <c r="M331" s="80">
        <f t="shared" ca="1" si="63"/>
        <v>2.5613123094236911E-5</v>
      </c>
      <c r="N331" s="80">
        <f t="shared" ca="1" si="63"/>
        <v>8.2043762872352488E-7</v>
      </c>
      <c r="O331" s="80">
        <f t="shared" ca="1" si="63"/>
        <v>2.6420734489107645E-8</v>
      </c>
      <c r="P331" s="80">
        <f t="shared" ca="1" si="63"/>
        <v>8.93343066188379E-10</v>
      </c>
      <c r="Q331" s="80">
        <f t="shared" ca="1" si="63"/>
        <v>3.2419511519776734E-11</v>
      </c>
      <c r="R331" s="80">
        <f t="shared" ca="1" si="63"/>
        <v>1.2759793222016924E-12</v>
      </c>
      <c r="S331" s="80">
        <f t="shared" ca="1" si="63"/>
        <v>5.4733995114020217E-14</v>
      </c>
      <c r="T331" s="80">
        <f t="shared" ca="1" si="63"/>
        <v>2.55351295663786E-15</v>
      </c>
      <c r="U331" s="80">
        <f t="shared" ca="1" si="63"/>
        <v>0</v>
      </c>
      <c r="V331" s="80">
        <f t="shared" ca="1" si="64"/>
        <v>0</v>
      </c>
      <c r="W331" s="80">
        <f t="shared" ca="1" si="64"/>
        <v>0</v>
      </c>
      <c r="X331" s="80">
        <f t="shared" ca="1" si="64"/>
        <v>0</v>
      </c>
      <c r="Y331" s="80">
        <f t="shared" ca="1" si="64"/>
        <v>0</v>
      </c>
      <c r="Z331" s="80">
        <f t="shared" ca="1" si="64"/>
        <v>0</v>
      </c>
      <c r="AA331" s="80">
        <f ca="1">SUMPRODUCT(F331:Z331,FailureForCPU!E$17:Y$17)</f>
        <v>4.986751752274662E-16</v>
      </c>
      <c r="AB331" s="80">
        <f t="shared" ca="1" si="65"/>
        <v>1.154780872511009E-15</v>
      </c>
      <c r="AC331" s="12">
        <f t="shared" ca="1" si="66"/>
        <v>2.3156975319340196</v>
      </c>
      <c r="AD331" s="12">
        <f t="shared" ca="1" si="67"/>
        <v>0.99999999999999989</v>
      </c>
    </row>
    <row r="332" spans="1:30">
      <c r="A332" s="56">
        <v>13</v>
      </c>
      <c r="B332" s="12">
        <f t="shared" si="61"/>
        <v>2.2934009304597702</v>
      </c>
      <c r="C332" s="12">
        <f t="shared" si="62"/>
        <v>2.3195255605053937</v>
      </c>
      <c r="D332" s="23">
        <f t="array" ref="D332">MATCH(MIN(ABS(ServerTypeA!$A$106:$A$165-$C332)),ABS(ServerTypeA!$A$106:$A$165-$C332),0)</f>
        <v>23</v>
      </c>
      <c r="E332" s="23">
        <f t="array" ref="E332">INDEX(ServerTypeA!$A$106:$A$165,MATCH(MIN(ABS(ServerTypeA!$A$106:$A$165-$C332)),ABS(ServerTypeA!$A$106:$A$165-$C332),0))</f>
        <v>2.2999999999999998</v>
      </c>
      <c r="F332" s="80">
        <f t="shared" ca="1" si="63"/>
        <v>0</v>
      </c>
      <c r="G332" s="80">
        <f t="shared" ca="1" si="63"/>
        <v>6.6742298033073313E-4</v>
      </c>
      <c r="H332" s="80">
        <f t="shared" ca="1" si="63"/>
        <v>0.26451402020199755</v>
      </c>
      <c r="I332" s="80">
        <f t="shared" ca="1" si="63"/>
        <v>0.5930847434515365</v>
      </c>
      <c r="J332" s="80">
        <f t="shared" ca="1" si="63"/>
        <v>0.12441726655914587</v>
      </c>
      <c r="K332" s="80">
        <f t="shared" ca="1" si="63"/>
        <v>1.6551860382289618E-2</v>
      </c>
      <c r="L332" s="80">
        <f t="shared" ca="1" si="63"/>
        <v>7.3822551614632914E-4</v>
      </c>
      <c r="M332" s="80">
        <f t="shared" ca="1" si="63"/>
        <v>2.5613123094236911E-5</v>
      </c>
      <c r="N332" s="80">
        <f t="shared" ca="1" si="63"/>
        <v>8.2043762872352488E-7</v>
      </c>
      <c r="O332" s="80">
        <f t="shared" ca="1" si="63"/>
        <v>2.6420734489107645E-8</v>
      </c>
      <c r="P332" s="80">
        <f t="shared" ca="1" si="63"/>
        <v>8.93343066188379E-10</v>
      </c>
      <c r="Q332" s="80">
        <f t="shared" ca="1" si="63"/>
        <v>3.2419511519776734E-11</v>
      </c>
      <c r="R332" s="80">
        <f t="shared" ca="1" si="63"/>
        <v>1.2759793222016924E-12</v>
      </c>
      <c r="S332" s="80">
        <f t="shared" ca="1" si="63"/>
        <v>5.4733995114020217E-14</v>
      </c>
      <c r="T332" s="80">
        <f t="shared" ca="1" si="63"/>
        <v>2.55351295663786E-15</v>
      </c>
      <c r="U332" s="80">
        <f t="shared" ca="1" si="63"/>
        <v>0</v>
      </c>
      <c r="V332" s="80">
        <f t="shared" ca="1" si="64"/>
        <v>0</v>
      </c>
      <c r="W332" s="80">
        <f t="shared" ca="1" si="64"/>
        <v>0</v>
      </c>
      <c r="X332" s="80">
        <f t="shared" ca="1" si="64"/>
        <v>0</v>
      </c>
      <c r="Y332" s="80">
        <f t="shared" ca="1" si="64"/>
        <v>0</v>
      </c>
      <c r="Z332" s="80">
        <f t="shared" ca="1" si="64"/>
        <v>0</v>
      </c>
      <c r="AA332" s="80">
        <f ca="1">SUMPRODUCT(F332:Z332,FailureForCPU!E$17:Y$17)</f>
        <v>4.986751752274662E-16</v>
      </c>
      <c r="AB332" s="80">
        <f t="shared" ca="1" si="65"/>
        <v>1.156689815329614E-15</v>
      </c>
      <c r="AC332" s="12">
        <f t="shared" ca="1" si="66"/>
        <v>2.3195255605053924</v>
      </c>
      <c r="AD332" s="12">
        <f t="shared" ca="1" si="67"/>
        <v>0.99999999999999989</v>
      </c>
    </row>
    <row r="333" spans="1:30">
      <c r="A333" s="56">
        <v>14</v>
      </c>
      <c r="B333" s="12">
        <f t="shared" si="61"/>
        <v>2.3540504500000003</v>
      </c>
      <c r="C333" s="12">
        <f t="shared" si="62"/>
        <v>2.3808659519465589</v>
      </c>
      <c r="D333" s="23">
        <f t="array" ref="D333">MATCH(MIN(ABS(ServerTypeA!$A$106:$A$165-$C333)),ABS(ServerTypeA!$A$106:$A$165-$C333),0)</f>
        <v>24</v>
      </c>
      <c r="E333" s="23">
        <f t="array" ref="E333">INDEX(ServerTypeA!$A$106:$A$165,MATCH(MIN(ABS(ServerTypeA!$A$106:$A$165-$C333)),ABS(ServerTypeA!$A$106:$A$165-$C333),0))</f>
        <v>2.4</v>
      </c>
      <c r="F333" s="80">
        <f t="shared" ca="1" si="63"/>
        <v>0</v>
      </c>
      <c r="G333" s="80">
        <f t="shared" ca="1" si="63"/>
        <v>2.8426728755026604E-4</v>
      </c>
      <c r="H333" s="80">
        <f t="shared" ca="1" si="63"/>
        <v>0.21080743577880634</v>
      </c>
      <c r="I333" s="80">
        <f t="shared" ca="1" si="63"/>
        <v>0.61494753029451921</v>
      </c>
      <c r="J333" s="80">
        <f t="shared" ca="1" si="63"/>
        <v>0.15142184347630239</v>
      </c>
      <c r="K333" s="80">
        <f t="shared" ca="1" si="63"/>
        <v>2.1524552035688482E-2</v>
      </c>
      <c r="L333" s="80">
        <f t="shared" ca="1" si="63"/>
        <v>9.7998094599649477E-4</v>
      </c>
      <c r="M333" s="80">
        <f t="shared" ca="1" si="63"/>
        <v>3.3336683584073157E-5</v>
      </c>
      <c r="N333" s="80">
        <f t="shared" ca="1" si="63"/>
        <v>1.0215000042501643E-6</v>
      </c>
      <c r="O333" s="80">
        <f t="shared" ca="1" si="63"/>
        <v>3.0986197496751799E-8</v>
      </c>
      <c r="P333" s="80">
        <f t="shared" ca="1" si="63"/>
        <v>9.7723673597727156E-10</v>
      </c>
      <c r="Q333" s="80">
        <f t="shared" ca="1" si="63"/>
        <v>3.2870595134681935E-11</v>
      </c>
      <c r="R333" s="80">
        <f t="shared" ca="1" si="63"/>
        <v>1.1943779298917434E-12</v>
      </c>
      <c r="S333" s="80">
        <f t="shared" ca="1" si="63"/>
        <v>4.7184478546569153E-14</v>
      </c>
      <c r="T333" s="80">
        <f t="shared" ca="1" si="63"/>
        <v>1.9984014443252818E-15</v>
      </c>
      <c r="U333" s="80">
        <f t="shared" ca="1" si="63"/>
        <v>0</v>
      </c>
      <c r="V333" s="80">
        <f t="shared" ca="1" si="64"/>
        <v>0</v>
      </c>
      <c r="W333" s="80">
        <f t="shared" ca="1" si="64"/>
        <v>0</v>
      </c>
      <c r="X333" s="80">
        <f t="shared" ca="1" si="64"/>
        <v>0</v>
      </c>
      <c r="Y333" s="80">
        <f t="shared" ca="1" si="64"/>
        <v>0</v>
      </c>
      <c r="Z333" s="80">
        <f t="shared" ca="1" si="64"/>
        <v>0</v>
      </c>
      <c r="AA333" s="80">
        <f ca="1">SUMPRODUCT(F333:Z333,FailureForCPU!E$17:Y$17)</f>
        <v>4.2651067862683093E-16</v>
      </c>
      <c r="AB333" s="80">
        <f t="shared" ca="1" si="65"/>
        <v>1.0154647528842428E-15</v>
      </c>
      <c r="AC333" s="12">
        <f t="shared" ca="1" si="66"/>
        <v>2.380865951946558</v>
      </c>
      <c r="AD333" s="12">
        <f t="shared" ca="1" si="67"/>
        <v>0.99999999999999989</v>
      </c>
    </row>
    <row r="334" spans="1:30">
      <c r="A334" s="56">
        <v>15</v>
      </c>
      <c r="B334" s="12">
        <f t="shared" si="61"/>
        <v>2.3404022586206894</v>
      </c>
      <c r="C334" s="12">
        <f t="shared" si="62"/>
        <v>2.3670622910434327</v>
      </c>
      <c r="D334" s="23">
        <f t="array" ref="D334">MATCH(MIN(ABS(ServerTypeA!$A$106:$A$165-$C334)),ABS(ServerTypeA!$A$106:$A$165-$C334),0)</f>
        <v>24</v>
      </c>
      <c r="E334" s="23">
        <f t="array" ref="E334">INDEX(ServerTypeA!$A$106:$A$165,MATCH(MIN(ABS(ServerTypeA!$A$106:$A$165-$C334)),ABS(ServerTypeA!$A$106:$A$165-$C334),0))</f>
        <v>2.4</v>
      </c>
      <c r="F334" s="80">
        <f t="shared" ca="1" si="63"/>
        <v>0</v>
      </c>
      <c r="G334" s="80">
        <f t="shared" ca="1" si="63"/>
        <v>2.8426728755026604E-4</v>
      </c>
      <c r="H334" s="80">
        <f t="shared" ca="1" si="63"/>
        <v>0.21080743577880634</v>
      </c>
      <c r="I334" s="80">
        <f t="shared" ca="1" si="63"/>
        <v>0.61494753029451921</v>
      </c>
      <c r="J334" s="80">
        <f t="shared" ca="1" si="63"/>
        <v>0.15142184347630239</v>
      </c>
      <c r="K334" s="80">
        <f t="shared" ca="1" si="63"/>
        <v>2.1524552035688482E-2</v>
      </c>
      <c r="L334" s="80">
        <f t="shared" ca="1" si="63"/>
        <v>9.7998094599649477E-4</v>
      </c>
      <c r="M334" s="80">
        <f t="shared" ca="1" si="63"/>
        <v>3.3336683584073157E-5</v>
      </c>
      <c r="N334" s="80">
        <f t="shared" ca="1" si="63"/>
        <v>1.0215000042501643E-6</v>
      </c>
      <c r="O334" s="80">
        <f t="shared" ca="1" si="63"/>
        <v>3.0986197496751799E-8</v>
      </c>
      <c r="P334" s="80">
        <f t="shared" ca="1" si="63"/>
        <v>9.7723673597727156E-10</v>
      </c>
      <c r="Q334" s="80">
        <f t="shared" ca="1" si="63"/>
        <v>3.2870595134681935E-11</v>
      </c>
      <c r="R334" s="80">
        <f t="shared" ca="1" si="63"/>
        <v>1.1943779298917434E-12</v>
      </c>
      <c r="S334" s="80">
        <f t="shared" ca="1" si="63"/>
        <v>4.7184478546569153E-14</v>
      </c>
      <c r="T334" s="80">
        <f t="shared" ca="1" si="63"/>
        <v>1.9984014443252818E-15</v>
      </c>
      <c r="U334" s="80">
        <f t="shared" ref="U334:AD346" ca="1" si="68">OFFSET($B$106,$D334-1,U$221,1,1)</f>
        <v>0</v>
      </c>
      <c r="V334" s="80">
        <f t="shared" ca="1" si="68"/>
        <v>0</v>
      </c>
      <c r="W334" s="80">
        <f t="shared" ca="1" si="68"/>
        <v>0</v>
      </c>
      <c r="X334" s="80">
        <f t="shared" ca="1" si="68"/>
        <v>0</v>
      </c>
      <c r="Y334" s="80">
        <f t="shared" ca="1" si="68"/>
        <v>0</v>
      </c>
      <c r="Z334" s="80">
        <f t="shared" ca="1" si="68"/>
        <v>0</v>
      </c>
      <c r="AA334" s="80">
        <f ca="1">SUMPRODUCT(F334:Z334,FailureForCPU!E$17:Y$17)</f>
        <v>4.2651067862683093E-16</v>
      </c>
      <c r="AB334" s="80">
        <f t="shared" ca="1" si="65"/>
        <v>1.0095773441049156E-15</v>
      </c>
      <c r="AC334" s="12">
        <f t="shared" ca="1" si="66"/>
        <v>2.3670622910434318</v>
      </c>
      <c r="AD334" s="12">
        <f t="shared" ca="1" si="67"/>
        <v>0.99999999999999989</v>
      </c>
    </row>
    <row r="335" spans="1:30">
      <c r="A335" s="56">
        <v>16</v>
      </c>
      <c r="B335" s="12">
        <f t="shared" si="61"/>
        <v>2.4359785499999997</v>
      </c>
      <c r="C335" s="12">
        <f t="shared" si="62"/>
        <v>2.4637273127970332</v>
      </c>
      <c r="D335" s="23">
        <f t="array" ref="D335">MATCH(MIN(ABS(ServerTypeA!$A$106:$A$165-$C335)),ABS(ServerTypeA!$A$106:$A$165-$C335),0)</f>
        <v>25</v>
      </c>
      <c r="E335" s="23">
        <f t="array" ref="E335">INDEX(ServerTypeA!$A$106:$A$165,MATCH(MIN(ABS(ServerTypeA!$A$106:$A$165-$C335)),ABS(ServerTypeA!$A$106:$A$165-$C335),0))</f>
        <v>2.5</v>
      </c>
      <c r="F335" s="80">
        <f t="shared" ref="F335:U346" ca="1" si="69">OFFSET($B$106,$D335-1,F$221,1,1)</f>
        <v>0</v>
      </c>
      <c r="G335" s="80">
        <f t="shared" ca="1" si="69"/>
        <v>1.1499791790670066E-4</v>
      </c>
      <c r="H335" s="80">
        <f t="shared" ca="1" si="69"/>
        <v>0.16416752570049731</v>
      </c>
      <c r="I335" s="80">
        <f t="shared" ca="1" si="69"/>
        <v>0.62552516216344489</v>
      </c>
      <c r="J335" s="80">
        <f t="shared" ca="1" si="69"/>
        <v>0.1812413306300743</v>
      </c>
      <c r="K335" s="80">
        <f t="shared" ca="1" si="69"/>
        <v>2.7619976683513459E-2</v>
      </c>
      <c r="L335" s="80">
        <f t="shared" ca="1" si="69"/>
        <v>1.2867470014433779E-3</v>
      </c>
      <c r="M335" s="80">
        <f t="shared" ca="1" si="69"/>
        <v>4.2963317023358982E-5</v>
      </c>
      <c r="N335" s="80">
        <f t="shared" ca="1" si="69"/>
        <v>1.2595243311652737E-6</v>
      </c>
      <c r="O335" s="80">
        <f t="shared" ca="1" si="69"/>
        <v>3.5970585399169863E-8</v>
      </c>
      <c r="P335" s="80">
        <f t="shared" ca="1" si="69"/>
        <v>1.0571200581566131E-9</v>
      </c>
      <c r="Q335" s="80">
        <f t="shared" ca="1" si="69"/>
        <v>3.2915781211784179E-11</v>
      </c>
      <c r="R335" s="80">
        <f t="shared" ca="1" si="69"/>
        <v>1.102562485755243E-12</v>
      </c>
      <c r="S335" s="80">
        <f t="shared" ca="1" si="69"/>
        <v>3.9968028886505635E-14</v>
      </c>
      <c r="T335" s="80">
        <f t="shared" ca="1" si="69"/>
        <v>1.5543122344752192E-15</v>
      </c>
      <c r="U335" s="80">
        <f t="shared" ca="1" si="69"/>
        <v>0</v>
      </c>
      <c r="V335" s="80">
        <f t="shared" ca="1" si="68"/>
        <v>0</v>
      </c>
      <c r="W335" s="80">
        <f t="shared" ca="1" si="68"/>
        <v>0</v>
      </c>
      <c r="X335" s="80">
        <f t="shared" ca="1" si="68"/>
        <v>0</v>
      </c>
      <c r="Y335" s="80">
        <f t="shared" ca="1" si="68"/>
        <v>0</v>
      </c>
      <c r="Z335" s="80">
        <f t="shared" ca="1" si="68"/>
        <v>0</v>
      </c>
      <c r="AA335" s="80">
        <f ca="1">SUMPRODUCT(F335:Z335,FailureForCPU!E$17:Y$17)</f>
        <v>3.5897211129546729E-16</v>
      </c>
      <c r="AB335" s="80">
        <f t="shared" ca="1" si="65"/>
        <v>8.844093951310591E-16</v>
      </c>
      <c r="AC335" s="12">
        <f t="shared" ca="1" si="66"/>
        <v>2.4637273127970323</v>
      </c>
      <c r="AD335" s="12">
        <f t="shared" ca="1" si="67"/>
        <v>0.99999999999999989</v>
      </c>
    </row>
    <row r="336" spans="1:30">
      <c r="A336" s="56">
        <v>17</v>
      </c>
      <c r="B336" s="12">
        <f t="shared" si="61"/>
        <v>2.4111804999999999</v>
      </c>
      <c r="C336" s="12">
        <f t="shared" si="62"/>
        <v>2.4386467828025857</v>
      </c>
      <c r="D336" s="23">
        <f t="array" ref="D336">MATCH(MIN(ABS(ServerTypeA!$A$106:$A$165-$C336)),ABS(ServerTypeA!$A$106:$A$165-$C336),0)</f>
        <v>24</v>
      </c>
      <c r="E336" s="23">
        <f t="array" ref="E336">INDEX(ServerTypeA!$A$106:$A$165,MATCH(MIN(ABS(ServerTypeA!$A$106:$A$165-$C336)),ABS(ServerTypeA!$A$106:$A$165-$C336),0))</f>
        <v>2.4</v>
      </c>
      <c r="F336" s="80">
        <f t="shared" ca="1" si="69"/>
        <v>0</v>
      </c>
      <c r="G336" s="80">
        <f t="shared" ca="1" si="69"/>
        <v>2.8426728755026604E-4</v>
      </c>
      <c r="H336" s="80">
        <f t="shared" ca="1" si="69"/>
        <v>0.21080743577880634</v>
      </c>
      <c r="I336" s="80">
        <f t="shared" ca="1" si="69"/>
        <v>0.61494753029451921</v>
      </c>
      <c r="J336" s="80">
        <f t="shared" ca="1" si="69"/>
        <v>0.15142184347630239</v>
      </c>
      <c r="K336" s="80">
        <f t="shared" ca="1" si="69"/>
        <v>2.1524552035688482E-2</v>
      </c>
      <c r="L336" s="80">
        <f t="shared" ca="1" si="69"/>
        <v>9.7998094599649477E-4</v>
      </c>
      <c r="M336" s="80">
        <f t="shared" ca="1" si="69"/>
        <v>3.3336683584073157E-5</v>
      </c>
      <c r="N336" s="80">
        <f t="shared" ca="1" si="69"/>
        <v>1.0215000042501643E-6</v>
      </c>
      <c r="O336" s="80">
        <f t="shared" ca="1" si="69"/>
        <v>3.0986197496751799E-8</v>
      </c>
      <c r="P336" s="80">
        <f t="shared" ca="1" si="69"/>
        <v>9.7723673597727156E-10</v>
      </c>
      <c r="Q336" s="80">
        <f t="shared" ca="1" si="69"/>
        <v>3.2870595134681935E-11</v>
      </c>
      <c r="R336" s="80">
        <f t="shared" ca="1" si="69"/>
        <v>1.1943779298917434E-12</v>
      </c>
      <c r="S336" s="80">
        <f t="shared" ca="1" si="69"/>
        <v>4.7184478546569153E-14</v>
      </c>
      <c r="T336" s="80">
        <f t="shared" ca="1" si="69"/>
        <v>1.9984014443252818E-15</v>
      </c>
      <c r="U336" s="80">
        <f t="shared" ca="1" si="69"/>
        <v>0</v>
      </c>
      <c r="V336" s="80">
        <f t="shared" ca="1" si="68"/>
        <v>0</v>
      </c>
      <c r="W336" s="80">
        <f t="shared" ca="1" si="68"/>
        <v>0</v>
      </c>
      <c r="X336" s="80">
        <f t="shared" ca="1" si="68"/>
        <v>0</v>
      </c>
      <c r="Y336" s="80">
        <f t="shared" ca="1" si="68"/>
        <v>0</v>
      </c>
      <c r="Z336" s="80">
        <f t="shared" ca="1" si="68"/>
        <v>0</v>
      </c>
      <c r="AA336" s="80">
        <f ca="1">SUMPRODUCT(F336:Z336,FailureForCPU!E$17:Y$17)</f>
        <v>4.2651067862683093E-16</v>
      </c>
      <c r="AB336" s="80">
        <f t="shared" ca="1" si="65"/>
        <v>1.0401088942642687E-15</v>
      </c>
      <c r="AC336" s="12">
        <f t="shared" ca="1" si="66"/>
        <v>2.4386467828025848</v>
      </c>
      <c r="AD336" s="12">
        <f t="shared" ca="1" si="67"/>
        <v>0.99999999999999989</v>
      </c>
    </row>
    <row r="337" spans="1:30">
      <c r="A337" s="56">
        <v>18</v>
      </c>
      <c r="B337" s="12">
        <f t="shared" si="61"/>
        <v>3.3244928103448275</v>
      </c>
      <c r="C337" s="12">
        <f t="shared" si="62"/>
        <v>3.3623628328106254</v>
      </c>
      <c r="D337" s="23">
        <f t="array" ref="D337">MATCH(MIN(ABS(ServerTypeA!$A$106:$A$165-$C337)),ABS(ServerTypeA!$A$106:$A$165-$C337),0)</f>
        <v>34</v>
      </c>
      <c r="E337" s="23">
        <f t="array" ref="E337">INDEX(ServerTypeA!$A$106:$A$165,MATCH(MIN(ABS(ServerTypeA!$A$106:$A$165-$C337)),ABS(ServerTypeA!$A$106:$A$165-$C337),0))</f>
        <v>3.4</v>
      </c>
      <c r="F337" s="80">
        <f t="shared" ca="1" si="69"/>
        <v>0</v>
      </c>
      <c r="G337" s="80">
        <f t="shared" ca="1" si="69"/>
        <v>9.504711108208166E-10</v>
      </c>
      <c r="H337" s="80">
        <f t="shared" ca="1" si="69"/>
        <v>3.3906628893999669E-3</v>
      </c>
      <c r="I337" s="80">
        <f t="shared" ca="1" si="69"/>
        <v>0.29306339076860966</v>
      </c>
      <c r="J337" s="80">
        <f t="shared" ca="1" si="69"/>
        <v>0.4901412128434901</v>
      </c>
      <c r="K337" s="80">
        <f t="shared" ca="1" si="69"/>
        <v>0.19742325292131324</v>
      </c>
      <c r="L337" s="80">
        <f t="shared" ca="1" si="69"/>
        <v>1.5426391330339184E-2</v>
      </c>
      <c r="M337" s="80">
        <f t="shared" ca="1" si="69"/>
        <v>5.4245222668170001E-4</v>
      </c>
      <c r="N337" s="80">
        <f t="shared" ca="1" si="69"/>
        <v>1.2404972667079406E-5</v>
      </c>
      <c r="O337" s="80">
        <f t="shared" ca="1" si="69"/>
        <v>2.2727159088020699E-7</v>
      </c>
      <c r="P337" s="80">
        <f t="shared" ca="1" si="69"/>
        <v>3.7638936412065505E-9</v>
      </c>
      <c r="Q337" s="80">
        <f t="shared" ca="1" si="69"/>
        <v>6.0538685175970386E-11</v>
      </c>
      <c r="R337" s="80">
        <f t="shared" ca="1" si="69"/>
        <v>9.8765440270653926E-13</v>
      </c>
      <c r="S337" s="80">
        <f t="shared" ca="1" si="69"/>
        <v>1.6764367671839864E-14</v>
      </c>
      <c r="T337" s="80">
        <f t="shared" ca="1" si="69"/>
        <v>0</v>
      </c>
      <c r="U337" s="80">
        <f t="shared" ca="1" si="69"/>
        <v>0</v>
      </c>
      <c r="V337" s="80">
        <f t="shared" ca="1" si="68"/>
        <v>0</v>
      </c>
      <c r="W337" s="80">
        <f t="shared" ca="1" si="68"/>
        <v>0</v>
      </c>
      <c r="X337" s="80">
        <f t="shared" ca="1" si="68"/>
        <v>0</v>
      </c>
      <c r="Y337" s="80">
        <f t="shared" ca="1" si="68"/>
        <v>0</v>
      </c>
      <c r="Z337" s="80">
        <f t="shared" ca="1" si="68"/>
        <v>0</v>
      </c>
      <c r="AA337" s="80">
        <f ca="1">SUMPRODUCT(F337:Z337,FailureForCPU!E$17:Y$17)</f>
        <v>1.3970306393199886E-16</v>
      </c>
      <c r="AB337" s="80">
        <f t="shared" ca="1" si="65"/>
        <v>4.6973238979471956E-16</v>
      </c>
      <c r="AC337" s="12">
        <f t="shared" ca="1" si="66"/>
        <v>3.362362832810625</v>
      </c>
      <c r="AD337" s="12">
        <f t="shared" ca="1" si="67"/>
        <v>0.99999999999999967</v>
      </c>
    </row>
    <row r="338" spans="1:30">
      <c r="A338" s="56">
        <v>19</v>
      </c>
      <c r="B338" s="12">
        <f t="shared" si="61"/>
        <v>4.0252025333333332</v>
      </c>
      <c r="C338" s="12">
        <f t="shared" si="62"/>
        <v>4.0710544930344907</v>
      </c>
      <c r="D338" s="23">
        <f t="array" ref="D338">MATCH(MIN(ABS(ServerTypeA!$A$106:$A$165-$C338)),ABS(ServerTypeA!$A$106:$A$165-$C338),0)</f>
        <v>41</v>
      </c>
      <c r="E338" s="23">
        <f t="array" ref="E338">INDEX(ServerTypeA!$A$106:$A$165,MATCH(MIN(ABS(ServerTypeA!$A$106:$A$165-$C338)),ABS(ServerTypeA!$A$106:$A$165-$C338),0))</f>
        <v>4.0999999999999996</v>
      </c>
      <c r="F338" s="80">
        <f t="shared" ca="1" si="69"/>
        <v>0</v>
      </c>
      <c r="G338" s="80">
        <f t="shared" ca="1" si="69"/>
        <v>2.631659633988922E-18</v>
      </c>
      <c r="H338" s="80">
        <f t="shared" ca="1" si="69"/>
        <v>6.4276096300733792E-7</v>
      </c>
      <c r="I338" s="80">
        <f t="shared" ca="1" si="69"/>
        <v>9.7622650118324161E-3</v>
      </c>
      <c r="J338" s="80">
        <f t="shared" ca="1" si="69"/>
        <v>0.20157550191609863</v>
      </c>
      <c r="K338" s="80">
        <f t="shared" ca="1" si="69"/>
        <v>0.5638072249716588</v>
      </c>
      <c r="L338" s="80">
        <f t="shared" ca="1" si="69"/>
        <v>0.20435488742703201</v>
      </c>
      <c r="M338" s="80">
        <f t="shared" ca="1" si="69"/>
        <v>1.965783724702963E-2</v>
      </c>
      <c r="N338" s="80">
        <f t="shared" ca="1" si="69"/>
        <v>8.2075768664635618E-4</v>
      </c>
      <c r="O338" s="80">
        <f t="shared" ca="1" si="69"/>
        <v>2.0502190894222672E-5</v>
      </c>
      <c r="P338" s="80">
        <f t="shared" ca="1" si="69"/>
        <v>3.7499817495678656E-7</v>
      </c>
      <c r="Q338" s="80">
        <f t="shared" ca="1" si="69"/>
        <v>5.7099689421136191E-9</v>
      </c>
      <c r="R338" s="80">
        <f t="shared" ca="1" si="69"/>
        <v>7.8651973822729815E-11</v>
      </c>
      <c r="S338" s="80">
        <f t="shared" ca="1" si="69"/>
        <v>1.035393992765421E-12</v>
      </c>
      <c r="T338" s="80">
        <f t="shared" ca="1" si="69"/>
        <v>1.3433698597964394E-14</v>
      </c>
      <c r="U338" s="80">
        <f t="shared" ca="1" si="69"/>
        <v>0</v>
      </c>
      <c r="V338" s="80">
        <f t="shared" ca="1" si="68"/>
        <v>0</v>
      </c>
      <c r="W338" s="80">
        <f t="shared" ca="1" si="68"/>
        <v>0</v>
      </c>
      <c r="X338" s="80">
        <f t="shared" ca="1" si="68"/>
        <v>0</v>
      </c>
      <c r="Y338" s="80">
        <f t="shared" ca="1" si="68"/>
        <v>0</v>
      </c>
      <c r="Z338" s="80">
        <f t="shared" ca="1" si="68"/>
        <v>0</v>
      </c>
      <c r="AA338" s="80">
        <f ca="1">SUMPRODUCT(F338:Z338,FailureForCPU!E$17:Y$17)</f>
        <v>8.8521782496779149E-15</v>
      </c>
      <c r="AB338" s="80">
        <f t="shared" ca="1" si="65"/>
        <v>3.603770003649347E-14</v>
      </c>
      <c r="AC338" s="12">
        <f t="shared" ca="1" si="66"/>
        <v>4.0710544930344543</v>
      </c>
      <c r="AD338" s="12">
        <f t="shared" ca="1" si="67"/>
        <v>0.99999999999999978</v>
      </c>
    </row>
    <row r="339" spans="1:30">
      <c r="A339" s="56">
        <v>20</v>
      </c>
      <c r="B339" s="12">
        <f t="shared" si="61"/>
        <v>3.8408287333333333</v>
      </c>
      <c r="C339" s="12">
        <f t="shared" si="62"/>
        <v>3.884580450878341</v>
      </c>
      <c r="D339" s="23">
        <f t="array" ref="D339">MATCH(MIN(ABS(ServerTypeA!$A$106:$A$165-$C339)),ABS(ServerTypeA!$A$106:$A$165-$C339),0)</f>
        <v>39</v>
      </c>
      <c r="E339" s="23">
        <f t="array" ref="E339">INDEX(ServerTypeA!$A$106:$A$165,MATCH(MIN(ABS(ServerTypeA!$A$106:$A$165-$C339)),ABS(ServerTypeA!$A$106:$A$165-$C339),0))</f>
        <v>3.9</v>
      </c>
      <c r="F339" s="80">
        <f t="shared" ca="1" si="69"/>
        <v>0</v>
      </c>
      <c r="G339" s="80">
        <f t="shared" ca="1" si="69"/>
        <v>4.2440957614369272E-15</v>
      </c>
      <c r="H339" s="80">
        <f t="shared" ca="1" si="69"/>
        <v>2.0251906858700662E-5</v>
      </c>
      <c r="I339" s="80">
        <f t="shared" ca="1" si="69"/>
        <v>4.4848783335867615E-2</v>
      </c>
      <c r="J339" s="80">
        <f t="shared" ca="1" si="69"/>
        <v>0.36662739102301356</v>
      </c>
      <c r="K339" s="80">
        <f t="shared" ca="1" si="69"/>
        <v>0.48691826185989817</v>
      </c>
      <c r="L339" s="80">
        <f t="shared" ca="1" si="69"/>
        <v>9.5539151545911527E-2</v>
      </c>
      <c r="M339" s="80">
        <f t="shared" ca="1" si="69"/>
        <v>5.8633276625320585E-3</v>
      </c>
      <c r="N339" s="80">
        <f t="shared" ca="1" si="69"/>
        <v>1.7914222953296921E-4</v>
      </c>
      <c r="O339" s="80">
        <f t="shared" ca="1" si="69"/>
        <v>3.6314020124272872E-6</v>
      </c>
      <c r="P339" s="80">
        <f t="shared" ca="1" si="69"/>
        <v>5.8200774977201775E-8</v>
      </c>
      <c r="Q339" s="80">
        <f t="shared" ca="1" si="69"/>
        <v>8.2246354171644498E-10</v>
      </c>
      <c r="R339" s="80">
        <f t="shared" ca="1" si="69"/>
        <v>1.0983325360314211E-11</v>
      </c>
      <c r="S339" s="80">
        <f t="shared" ca="1" si="69"/>
        <v>1.4488410471358293E-13</v>
      </c>
      <c r="T339" s="80">
        <f t="shared" ca="1" si="69"/>
        <v>1.9984014443252818E-15</v>
      </c>
      <c r="U339" s="80">
        <f t="shared" ca="1" si="69"/>
        <v>0</v>
      </c>
      <c r="V339" s="80">
        <f t="shared" ca="1" si="68"/>
        <v>0</v>
      </c>
      <c r="W339" s="80">
        <f t="shared" ca="1" si="68"/>
        <v>0</v>
      </c>
      <c r="X339" s="80">
        <f t="shared" ca="1" si="68"/>
        <v>0</v>
      </c>
      <c r="Y339" s="80">
        <f t="shared" ca="1" si="68"/>
        <v>0</v>
      </c>
      <c r="Z339" s="80">
        <f t="shared" ca="1" si="68"/>
        <v>0</v>
      </c>
      <c r="AA339" s="80">
        <f ca="1">SUMPRODUCT(F339:Z339,FailureForCPU!E$17:Y$17)</f>
        <v>1.2406742300186125E-15</v>
      </c>
      <c r="AB339" s="80">
        <f t="shared" ca="1" si="65"/>
        <v>4.8194988598388402E-15</v>
      </c>
      <c r="AC339" s="12">
        <f t="shared" ca="1" si="66"/>
        <v>3.8845804508783361</v>
      </c>
      <c r="AD339" s="12">
        <f t="shared" ca="1" si="67"/>
        <v>1</v>
      </c>
    </row>
    <row r="340" spans="1:30">
      <c r="A340" s="56">
        <v>21</v>
      </c>
      <c r="B340" s="12">
        <f t="shared" si="61"/>
        <v>2.9214521000000002</v>
      </c>
      <c r="C340" s="12">
        <f t="shared" si="62"/>
        <v>2.9547309978563852</v>
      </c>
      <c r="D340" s="23">
        <f t="array" ref="D340">MATCH(MIN(ABS(ServerTypeA!$A$106:$A$165-$C340)),ABS(ServerTypeA!$A$106:$A$165-$C340),0)</f>
        <v>30</v>
      </c>
      <c r="E340" s="23">
        <f t="array" ref="E340">INDEX(ServerTypeA!$A$106:$A$165,MATCH(MIN(ABS(ServerTypeA!$A$106:$A$165-$C340)),ABS(ServerTypeA!$A$106:$A$165-$C340),0))</f>
        <v>3</v>
      </c>
      <c r="F340" s="80">
        <f t="shared" ca="1" si="69"/>
        <v>0</v>
      </c>
      <c r="G340" s="80">
        <f t="shared" ca="1" si="69"/>
        <v>4.7279021586632552E-7</v>
      </c>
      <c r="H340" s="80">
        <f t="shared" ca="1" si="69"/>
        <v>3.048494773534105E-2</v>
      </c>
      <c r="I340" s="80">
        <f t="shared" ca="1" si="69"/>
        <v>0.51782719825851498</v>
      </c>
      <c r="J340" s="80">
        <f t="shared" ca="1" si="69"/>
        <v>0.36188864050700664</v>
      </c>
      <c r="K340" s="80">
        <f t="shared" ca="1" si="69"/>
        <v>8.4884436176291156E-2</v>
      </c>
      <c r="L340" s="80">
        <f t="shared" ca="1" si="69"/>
        <v>4.7592286406399342E-3</v>
      </c>
      <c r="M340" s="80">
        <f t="shared" ca="1" si="69"/>
        <v>1.5134774577052479E-4</v>
      </c>
      <c r="N340" s="80">
        <f t="shared" ca="1" si="69"/>
        <v>3.6484920330481785E-6</v>
      </c>
      <c r="O340" s="80">
        <f t="shared" ca="1" si="69"/>
        <v>7.8004804171527553E-8</v>
      </c>
      <c r="P340" s="80">
        <f t="shared" ca="1" si="69"/>
        <v>1.614594902221711E-9</v>
      </c>
      <c r="Q340" s="80">
        <f t="shared" ca="1" si="69"/>
        <v>3.4018565742144347E-11</v>
      </c>
      <c r="R340" s="80">
        <f t="shared" ca="1" si="69"/>
        <v>7.510658761589184E-13</v>
      </c>
      <c r="S340" s="80">
        <f t="shared" ca="1" si="69"/>
        <v>1.7652546091539989E-14</v>
      </c>
      <c r="T340" s="80">
        <f t="shared" ca="1" si="69"/>
        <v>0</v>
      </c>
      <c r="U340" s="80">
        <f t="shared" ca="1" si="69"/>
        <v>0</v>
      </c>
      <c r="V340" s="80">
        <f t="shared" ca="1" si="68"/>
        <v>0</v>
      </c>
      <c r="W340" s="80">
        <f t="shared" ca="1" si="68"/>
        <v>0</v>
      </c>
      <c r="X340" s="80">
        <f t="shared" ca="1" si="68"/>
        <v>0</v>
      </c>
      <c r="Y340" s="80">
        <f t="shared" ca="1" si="68"/>
        <v>0</v>
      </c>
      <c r="Z340" s="80">
        <f t="shared" ca="1" si="68"/>
        <v>0</v>
      </c>
      <c r="AA340" s="80">
        <f ca="1">SUMPRODUCT(F340:Z340,FailureForCPU!E$17:Y$17)</f>
        <v>1.4710455076283324E-16</v>
      </c>
      <c r="AB340" s="80">
        <f t="shared" ca="1" si="65"/>
        <v>4.3465437606468151E-16</v>
      </c>
      <c r="AC340" s="12">
        <f t="shared" ca="1" si="66"/>
        <v>2.9547309978563847</v>
      </c>
      <c r="AD340" s="12">
        <f t="shared" ca="1" si="67"/>
        <v>0.99999999999999956</v>
      </c>
    </row>
    <row r="341" spans="1:30">
      <c r="A341" s="56">
        <v>22</v>
      </c>
      <c r="B341" s="12">
        <f t="shared" si="61"/>
        <v>1.70428665</v>
      </c>
      <c r="C341" s="12">
        <f t="shared" si="62"/>
        <v>1.7237005508280678</v>
      </c>
      <c r="D341" s="23">
        <f t="array" ref="D341">MATCH(MIN(ABS(ServerTypeA!$A$106:$A$165-$C341)),ABS(ServerTypeA!$A$106:$A$165-$C341),0)</f>
        <v>17</v>
      </c>
      <c r="E341" s="23">
        <f t="array" ref="E341">INDEX(ServerTypeA!$A$106:$A$165,MATCH(MIN(ABS(ServerTypeA!$A$106:$A$165-$C341)),ABS(ServerTypeA!$A$106:$A$165-$C341),0))</f>
        <v>1.7</v>
      </c>
      <c r="F341" s="80">
        <f t="shared" ca="1" si="69"/>
        <v>0</v>
      </c>
      <c r="G341" s="80">
        <f t="shared" ca="1" si="69"/>
        <v>4.1463030082338738E-2</v>
      </c>
      <c r="H341" s="80">
        <f t="shared" ca="1" si="69"/>
        <v>0.64122709160290614</v>
      </c>
      <c r="I341" s="80">
        <f t="shared" ca="1" si="69"/>
        <v>0.2905306516274746</v>
      </c>
      <c r="J341" s="80">
        <f t="shared" ca="1" si="69"/>
        <v>2.4382888062965291E-2</v>
      </c>
      <c r="K341" s="80">
        <f t="shared" ca="1" si="69"/>
        <v>2.2986485457712202E-3</v>
      </c>
      <c r="L341" s="80">
        <f t="shared" ca="1" si="69"/>
        <v>9.3823013921801035E-5</v>
      </c>
      <c r="M341" s="80">
        <f t="shared" ca="1" si="69"/>
        <v>3.7055641501915204E-6</v>
      </c>
      <c r="N341" s="80">
        <f t="shared" ca="1" si="69"/>
        <v>1.5409524256604357E-7</v>
      </c>
      <c r="O341" s="80">
        <f t="shared" ca="1" si="69"/>
        <v>6.9896542997938127E-9</v>
      </c>
      <c r="P341" s="80">
        <f t="shared" ca="1" si="69"/>
        <v>3.5048364210865657E-10</v>
      </c>
      <c r="Q341" s="80">
        <f t="shared" ca="1" si="69"/>
        <v>1.9488410885060148E-11</v>
      </c>
      <c r="R341" s="80">
        <f t="shared" ca="1" si="69"/>
        <v>1.1994849558050191E-12</v>
      </c>
      <c r="S341" s="80">
        <f t="shared" ca="1" si="69"/>
        <v>8.149037000748649E-14</v>
      </c>
      <c r="T341" s="80">
        <f t="shared" ca="1" si="69"/>
        <v>5.9952043329758453E-15</v>
      </c>
      <c r="U341" s="80">
        <f t="shared" ca="1" si="69"/>
        <v>0</v>
      </c>
      <c r="V341" s="80">
        <f t="shared" ca="1" si="68"/>
        <v>0</v>
      </c>
      <c r="W341" s="80">
        <f t="shared" ca="1" si="68"/>
        <v>0</v>
      </c>
      <c r="X341" s="80">
        <f t="shared" ca="1" si="68"/>
        <v>0</v>
      </c>
      <c r="Y341" s="80">
        <f t="shared" ca="1" si="68"/>
        <v>0</v>
      </c>
      <c r="Z341" s="80">
        <f t="shared" ca="1" si="68"/>
        <v>0</v>
      </c>
      <c r="AA341" s="80">
        <f ca="1">SUMPRODUCT(F341:Z341,FailureForCPU!E$17:Y$17)</f>
        <v>7.7900648894531817E-16</v>
      </c>
      <c r="AB341" s="80">
        <f t="shared" ca="1" si="65"/>
        <v>1.342773914093684E-15</v>
      </c>
      <c r="AC341" s="12">
        <f t="shared" ca="1" si="66"/>
        <v>1.7237005508280665</v>
      </c>
      <c r="AD341" s="12">
        <f t="shared" ca="1" si="67"/>
        <v>0.99999999995568389</v>
      </c>
    </row>
    <row r="342" spans="1:30">
      <c r="A342" s="56">
        <v>23</v>
      </c>
      <c r="B342" s="12">
        <f t="shared" si="61"/>
        <v>0.81373062413793107</v>
      </c>
      <c r="C342" s="12">
        <f t="shared" si="62"/>
        <v>0.82300000710104682</v>
      </c>
      <c r="D342" s="23">
        <f t="array" ref="D342">MATCH(MIN(ABS(ServerTypeA!$A$106:$A$165-$C342)),ABS(ServerTypeA!$A$106:$A$165-$C342),0)</f>
        <v>8</v>
      </c>
      <c r="E342" s="23">
        <f t="array" ref="E342">INDEX(ServerTypeA!$A$106:$A$165,MATCH(MIN(ABS(ServerTypeA!$A$106:$A$165-$C342)),ABS(ServerTypeA!$A$106:$A$165-$C342),0))</f>
        <v>0.8</v>
      </c>
      <c r="F342" s="80">
        <f t="shared" ca="1" si="69"/>
        <v>0</v>
      </c>
      <c r="G342" s="80">
        <f t="shared" ca="1" si="69"/>
        <v>0.73724419583861855</v>
      </c>
      <c r="H342" s="80">
        <f t="shared" ca="1" si="69"/>
        <v>0.24890049818901161</v>
      </c>
      <c r="I342" s="80">
        <f t="shared" ca="1" si="69"/>
        <v>1.1275352216014611E-2</v>
      </c>
      <c r="J342" s="80">
        <f t="shared" ca="1" si="69"/>
        <v>3.8994363531075216E-4</v>
      </c>
      <c r="K342" s="80">
        <f t="shared" ca="1" si="69"/>
        <v>3.1087425415243786E-5</v>
      </c>
      <c r="L342" s="80">
        <f t="shared" ca="1" si="69"/>
        <v>1.5021115147284547E-6</v>
      </c>
      <c r="M342" s="80">
        <f t="shared" ca="1" si="69"/>
        <v>8.8665416231314964E-8</v>
      </c>
      <c r="N342" s="80">
        <f t="shared" ca="1" si="69"/>
        <v>6.2879536022464322E-9</v>
      </c>
      <c r="O342" s="80">
        <f t="shared" ca="1" si="69"/>
        <v>5.2509552261881254E-10</v>
      </c>
      <c r="P342" s="80">
        <f t="shared" ca="1" si="69"/>
        <v>5.0668913509355207E-11</v>
      </c>
      <c r="Q342" s="80">
        <f t="shared" ca="1" si="69"/>
        <v>5.5568882828538335E-12</v>
      </c>
      <c r="R342" s="80">
        <f t="shared" ca="1" si="69"/>
        <v>6.8289818244693379E-13</v>
      </c>
      <c r="S342" s="80">
        <f t="shared" ca="1" si="69"/>
        <v>9.2925667161125602E-14</v>
      </c>
      <c r="T342" s="80">
        <f t="shared" ca="1" si="69"/>
        <v>1.3766765505351941E-14</v>
      </c>
      <c r="U342" s="80">
        <f t="shared" ca="1" si="69"/>
        <v>2.3314683517128287E-15</v>
      </c>
      <c r="V342" s="80">
        <f t="shared" ca="1" si="68"/>
        <v>0</v>
      </c>
      <c r="W342" s="80">
        <f t="shared" ca="1" si="68"/>
        <v>0</v>
      </c>
      <c r="X342" s="80">
        <f t="shared" ca="1" si="68"/>
        <v>0</v>
      </c>
      <c r="Y342" s="80">
        <f t="shared" ca="1" si="68"/>
        <v>0</v>
      </c>
      <c r="Z342" s="80">
        <f t="shared" ca="1" si="68"/>
        <v>0</v>
      </c>
      <c r="AA342" s="80">
        <f ca="1">SUMPRODUCT(F342:Z342,FailureForCPU!E$17:Y$17)</f>
        <v>1.0621133602247331E-15</v>
      </c>
      <c r="AB342" s="80">
        <f t="shared" ca="1" si="65"/>
        <v>8.7411930300707202E-16</v>
      </c>
      <c r="AC342" s="12">
        <f t="shared" ca="1" si="66"/>
        <v>0.82300000710104593</v>
      </c>
      <c r="AD342" s="12">
        <f t="shared" ca="1" si="67"/>
        <v>0.99784267495136858</v>
      </c>
    </row>
    <row r="343" spans="1:30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</row>
    <row r="344" spans="1:30">
      <c r="A344" s="54" t="s">
        <v>55</v>
      </c>
      <c r="B344" s="12">
        <f>SUM(B319:B342)</f>
        <v>43.062664537931042</v>
      </c>
      <c r="C344" s="12">
        <f>SUM(C319:C342)</f>
        <v>43.553200738946131</v>
      </c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25">
        <f ca="1">SUM(AB319:AB342)</f>
        <v>6.4164811640244983E-13</v>
      </c>
      <c r="AC344" s="25">
        <f ca="1">SUM(AC319:AC342)</f>
        <v>43.553200738945499</v>
      </c>
      <c r="AD344" s="54"/>
    </row>
    <row r="345" spans="1:30">
      <c r="A345" s="54" t="s">
        <v>66</v>
      </c>
      <c r="B345" s="69">
        <f ca="1">AC344/C344</f>
        <v>0.99999999999998546</v>
      </c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</row>
    <row r="346" spans="1:30">
      <c r="A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</row>
  </sheetData>
  <pageMargins left="0.7" right="0.7" top="0.75" bottom="0.75" header="0.3" footer="0.3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QResults</vt:lpstr>
      <vt:lpstr>FailureForCPU</vt:lpstr>
      <vt:lpstr>ServerTypeA</vt:lpstr>
      <vt:lpstr>ServerTypeB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2011-02-21T05:41:56Z</dcterms:created>
  <dcterms:modified xsi:type="dcterms:W3CDTF">2011-03-01T14:07:07Z</dcterms:modified>
</cp:coreProperties>
</file>