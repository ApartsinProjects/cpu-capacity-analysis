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11760"/>
  </bookViews>
  <sheets>
    <sheet name="rb4 (2)" sheetId="1" r:id="rId1"/>
  </sheets>
  <calcPr calcId="125725"/>
</workbook>
</file>

<file path=xl/calcChain.xml><?xml version="1.0" encoding="utf-8"?>
<calcChain xmlns="http://schemas.openxmlformats.org/spreadsheetml/2006/main">
  <c r="O81" i="1"/>
  <c r="N81"/>
  <c r="P81" s="1"/>
  <c r="B46"/>
  <c r="A46"/>
  <c r="K46" s="1"/>
  <c r="Q46" s="1"/>
  <c r="K45"/>
  <c r="Q45" s="1"/>
  <c r="C45"/>
  <c r="E45" s="1"/>
  <c r="B45"/>
  <c r="P42"/>
  <c r="O42"/>
  <c r="E25"/>
  <c r="D25"/>
  <c r="B25"/>
  <c r="D24"/>
  <c r="E24" s="1"/>
  <c r="B24"/>
  <c r="E23"/>
  <c r="D23"/>
  <c r="B23"/>
  <c r="D22"/>
  <c r="E22" s="1"/>
  <c r="B22"/>
  <c r="E21"/>
  <c r="D21"/>
  <c r="B21"/>
  <c r="D20"/>
  <c r="E20" s="1"/>
  <c r="B20"/>
  <c r="E19"/>
  <c r="D19"/>
  <c r="B19"/>
  <c r="D18"/>
  <c r="E18" s="1"/>
  <c r="B18"/>
  <c r="E17"/>
  <c r="D17"/>
  <c r="B17"/>
  <c r="D16"/>
  <c r="E16" s="1"/>
  <c r="B16"/>
  <c r="E15"/>
  <c r="D15"/>
  <c r="B15"/>
  <c r="D14"/>
  <c r="E14" s="1"/>
  <c r="B14"/>
  <c r="E13"/>
  <c r="D13"/>
  <c r="B13"/>
  <c r="D12"/>
  <c r="E12" s="1"/>
  <c r="B12"/>
  <c r="E11"/>
  <c r="D11"/>
  <c r="B11"/>
  <c r="D10"/>
  <c r="E10" s="1"/>
  <c r="B10"/>
  <c r="E9"/>
  <c r="D9"/>
  <c r="B9"/>
  <c r="D8"/>
  <c r="E8" s="1"/>
  <c r="B8"/>
  <c r="E7"/>
  <c r="D7"/>
  <c r="B7"/>
  <c r="D6"/>
  <c r="E6" s="1"/>
  <c r="B6"/>
  <c r="E5"/>
  <c r="D5"/>
  <c r="B5"/>
  <c r="D4"/>
  <c r="E4" s="1"/>
  <c r="B4"/>
  <c r="E3"/>
  <c r="D3"/>
  <c r="B3"/>
  <c r="D2"/>
  <c r="B29" s="1" a="1"/>
  <c r="B2"/>
  <c r="E33" l="1"/>
  <c r="C33"/>
  <c r="D33"/>
  <c r="E32"/>
  <c r="C32"/>
  <c r="E31"/>
  <c r="C31"/>
  <c r="E30"/>
  <c r="C30"/>
  <c r="E29"/>
  <c r="C29"/>
  <c r="B33"/>
  <c r="D32"/>
  <c r="B32"/>
  <c r="D31"/>
  <c r="B31"/>
  <c r="D30"/>
  <c r="B30"/>
  <c r="D29"/>
  <c r="B29"/>
  <c r="E2"/>
  <c r="B37" s="1" a="1"/>
  <c r="D45"/>
  <c r="D46"/>
  <c r="G45"/>
  <c r="A47"/>
  <c r="C46"/>
  <c r="E46" s="1"/>
  <c r="B41" l="1"/>
  <c r="B40"/>
  <c r="B39"/>
  <c r="B38"/>
  <c r="B37"/>
  <c r="C41"/>
  <c r="C40"/>
  <c r="C38"/>
  <c r="C39"/>
  <c r="C37"/>
  <c r="A48"/>
  <c r="B47"/>
  <c r="D47" s="1"/>
  <c r="K47"/>
  <c r="Q47" s="1"/>
  <c r="C47"/>
  <c r="E47" s="1"/>
  <c r="G47" s="1"/>
  <c r="O46"/>
  <c r="M46"/>
  <c r="P46"/>
  <c r="N46"/>
  <c r="L46"/>
  <c r="F46"/>
  <c r="H46" s="1"/>
  <c r="P45"/>
  <c r="N45"/>
  <c r="L45"/>
  <c r="F45"/>
  <c r="H45" s="1"/>
  <c r="O45"/>
  <c r="M45"/>
  <c r="G46"/>
  <c r="P47" l="1"/>
  <c r="N47"/>
  <c r="L47"/>
  <c r="F47"/>
  <c r="H47" s="1"/>
  <c r="O47"/>
  <c r="M47"/>
  <c r="K48"/>
  <c r="Q48" s="1"/>
  <c r="C48"/>
  <c r="E48" s="1"/>
  <c r="A49"/>
  <c r="B48"/>
  <c r="D48" s="1"/>
  <c r="O48" l="1"/>
  <c r="M48"/>
  <c r="P48"/>
  <c r="N48"/>
  <c r="L48"/>
  <c r="F48"/>
  <c r="H48" s="1"/>
  <c r="A50"/>
  <c r="B49"/>
  <c r="D49" s="1"/>
  <c r="K49"/>
  <c r="Q49" s="1"/>
  <c r="C49"/>
  <c r="E49" s="1"/>
  <c r="G49" s="1"/>
  <c r="G48"/>
  <c r="P49" l="1"/>
  <c r="N49"/>
  <c r="L49"/>
  <c r="F49"/>
  <c r="H49" s="1"/>
  <c r="O49"/>
  <c r="M49"/>
  <c r="K50"/>
  <c r="Q50" s="1"/>
  <c r="C50"/>
  <c r="E50" s="1"/>
  <c r="A51"/>
  <c r="B50"/>
  <c r="D50" s="1"/>
  <c r="O50" l="1"/>
  <c r="M50"/>
  <c r="P50"/>
  <c r="N50"/>
  <c r="L50"/>
  <c r="F50"/>
  <c r="H50" s="1"/>
  <c r="A52"/>
  <c r="B51"/>
  <c r="D51" s="1"/>
  <c r="K51"/>
  <c r="Q51" s="1"/>
  <c r="C51"/>
  <c r="E51" s="1"/>
  <c r="G51" s="1"/>
  <c r="G50"/>
  <c r="P51" l="1"/>
  <c r="N51"/>
  <c r="L51"/>
  <c r="F51"/>
  <c r="H51" s="1"/>
  <c r="O51"/>
  <c r="M51"/>
  <c r="K52"/>
  <c r="Q52" s="1"/>
  <c r="C52"/>
  <c r="E52" s="1"/>
  <c r="A53"/>
  <c r="B52"/>
  <c r="D52" s="1"/>
  <c r="O52" l="1"/>
  <c r="M52"/>
  <c r="P52"/>
  <c r="N52"/>
  <c r="L52"/>
  <c r="F52"/>
  <c r="H52" s="1"/>
  <c r="A54"/>
  <c r="B53"/>
  <c r="D53" s="1"/>
  <c r="K53"/>
  <c r="Q53" s="1"/>
  <c r="C53"/>
  <c r="E53" s="1"/>
  <c r="G53" s="1"/>
  <c r="G52"/>
  <c r="P53" l="1"/>
  <c r="N53"/>
  <c r="L53"/>
  <c r="F53"/>
  <c r="H53" s="1"/>
  <c r="O53"/>
  <c r="M53"/>
  <c r="K54"/>
  <c r="Q54" s="1"/>
  <c r="C54"/>
  <c r="E54" s="1"/>
  <c r="A55"/>
  <c r="B54"/>
  <c r="D54" s="1"/>
  <c r="O54" l="1"/>
  <c r="M54"/>
  <c r="P54"/>
  <c r="N54"/>
  <c r="L54"/>
  <c r="F54"/>
  <c r="H54" s="1"/>
  <c r="A56"/>
  <c r="B55"/>
  <c r="D55" s="1"/>
  <c r="K55"/>
  <c r="Q55" s="1"/>
  <c r="C55"/>
  <c r="E55" s="1"/>
  <c r="G55" s="1"/>
  <c r="G54"/>
  <c r="P55" l="1"/>
  <c r="N55"/>
  <c r="L55"/>
  <c r="F55"/>
  <c r="H55" s="1"/>
  <c r="O55"/>
  <c r="M55"/>
  <c r="K56"/>
  <c r="Q56" s="1"/>
  <c r="C56"/>
  <c r="E56" s="1"/>
  <c r="A57"/>
  <c r="B56"/>
  <c r="D56" s="1"/>
  <c r="O56" l="1"/>
  <c r="M56"/>
  <c r="P56"/>
  <c r="N56"/>
  <c r="L56"/>
  <c r="F56"/>
  <c r="H56" s="1"/>
  <c r="A58"/>
  <c r="B57"/>
  <c r="D57" s="1"/>
  <c r="K57"/>
  <c r="Q57" s="1"/>
  <c r="C57"/>
  <c r="E57" s="1"/>
  <c r="G57" s="1"/>
  <c r="G56"/>
  <c r="P57" l="1"/>
  <c r="N57"/>
  <c r="L57"/>
  <c r="F57"/>
  <c r="H57" s="1"/>
  <c r="O57"/>
  <c r="M57"/>
  <c r="K58"/>
  <c r="Q58" s="1"/>
  <c r="C58"/>
  <c r="E58" s="1"/>
  <c r="A59"/>
  <c r="B58"/>
  <c r="D58" s="1"/>
  <c r="O58" l="1"/>
  <c r="M58"/>
  <c r="P58"/>
  <c r="N58"/>
  <c r="L58"/>
  <c r="F58"/>
  <c r="H58" s="1"/>
  <c r="A60"/>
  <c r="B59"/>
  <c r="D59" s="1"/>
  <c r="K59"/>
  <c r="Q59" s="1"/>
  <c r="C59"/>
  <c r="E59" s="1"/>
  <c r="G59" s="1"/>
  <c r="G58"/>
  <c r="P59" l="1"/>
  <c r="N59"/>
  <c r="L59"/>
  <c r="F59"/>
  <c r="H59" s="1"/>
  <c r="O59"/>
  <c r="M59"/>
  <c r="K60"/>
  <c r="Q60" s="1"/>
  <c r="C60"/>
  <c r="E60" s="1"/>
  <c r="A61"/>
  <c r="B60"/>
  <c r="D60" s="1"/>
  <c r="O60" l="1"/>
  <c r="M60"/>
  <c r="P60"/>
  <c r="N60"/>
  <c r="L60"/>
  <c r="F60"/>
  <c r="H60" s="1"/>
  <c r="A62"/>
  <c r="B61"/>
  <c r="D61" s="1"/>
  <c r="K61"/>
  <c r="Q61" s="1"/>
  <c r="C61"/>
  <c r="E61" s="1"/>
  <c r="G60"/>
  <c r="K62" l="1"/>
  <c r="Q62" s="1"/>
  <c r="C62"/>
  <c r="E62" s="1"/>
  <c r="A63"/>
  <c r="B62"/>
  <c r="D62" s="1"/>
  <c r="G61"/>
  <c r="P61"/>
  <c r="N61"/>
  <c r="L61"/>
  <c r="F61"/>
  <c r="H61" s="1"/>
  <c r="O61"/>
  <c r="M61"/>
  <c r="A64" l="1"/>
  <c r="B63"/>
  <c r="D63" s="1"/>
  <c r="K63"/>
  <c r="Q63" s="1"/>
  <c r="C63"/>
  <c r="E63" s="1"/>
  <c r="G63" s="1"/>
  <c r="G62"/>
  <c r="O62"/>
  <c r="M62"/>
  <c r="P62"/>
  <c r="N62"/>
  <c r="L62"/>
  <c r="F62"/>
  <c r="H62" s="1"/>
  <c r="P63" l="1"/>
  <c r="N63"/>
  <c r="L63"/>
  <c r="F63"/>
  <c r="H63" s="1"/>
  <c r="O63"/>
  <c r="M63"/>
  <c r="K64"/>
  <c r="Q64" s="1"/>
  <c r="C64"/>
  <c r="E64" s="1"/>
  <c r="A65"/>
  <c r="B64"/>
  <c r="D64" s="1"/>
  <c r="A66" l="1"/>
  <c r="B65"/>
  <c r="D65" s="1"/>
  <c r="K65"/>
  <c r="Q65" s="1"/>
  <c r="C65"/>
  <c r="E65" s="1"/>
  <c r="G65" s="1"/>
  <c r="G64"/>
  <c r="O64"/>
  <c r="M64"/>
  <c r="P64"/>
  <c r="N64"/>
  <c r="L64"/>
  <c r="F64"/>
  <c r="H64" s="1"/>
  <c r="K66" l="1"/>
  <c r="Q66" s="1"/>
  <c r="C66"/>
  <c r="E66" s="1"/>
  <c r="A67"/>
  <c r="B66"/>
  <c r="D66" s="1"/>
  <c r="P65"/>
  <c r="N65"/>
  <c r="L65"/>
  <c r="F65"/>
  <c r="H65" s="1"/>
  <c r="O65"/>
  <c r="M65"/>
  <c r="A68" l="1"/>
  <c r="B67"/>
  <c r="D67" s="1"/>
  <c r="K67"/>
  <c r="Q67" s="1"/>
  <c r="C67"/>
  <c r="E67" s="1"/>
  <c r="G67" s="1"/>
  <c r="O66"/>
  <c r="M66"/>
  <c r="P66"/>
  <c r="N66"/>
  <c r="L66"/>
  <c r="F66"/>
  <c r="H66" s="1"/>
  <c r="G66"/>
  <c r="K68" l="1"/>
  <c r="Q68" s="1"/>
  <c r="C68"/>
  <c r="E68" s="1"/>
  <c r="A69"/>
  <c r="B68"/>
  <c r="D68" s="1"/>
  <c r="P67"/>
  <c r="N67"/>
  <c r="L67"/>
  <c r="F67"/>
  <c r="H67" s="1"/>
  <c r="O67"/>
  <c r="M67"/>
  <c r="A70" l="1"/>
  <c r="B69"/>
  <c r="D69" s="1"/>
  <c r="K69"/>
  <c r="Q69" s="1"/>
  <c r="C69"/>
  <c r="E69" s="1"/>
  <c r="G69" s="1"/>
  <c r="O68"/>
  <c r="M68"/>
  <c r="P68"/>
  <c r="N68"/>
  <c r="L68"/>
  <c r="F68"/>
  <c r="H68" s="1"/>
  <c r="G68"/>
  <c r="K70" l="1"/>
  <c r="Q70" s="1"/>
  <c r="C70"/>
  <c r="E70" s="1"/>
  <c r="A71"/>
  <c r="B70"/>
  <c r="D70" s="1"/>
  <c r="P69"/>
  <c r="O80" s="1"/>
  <c r="N69"/>
  <c r="L69"/>
  <c r="F69"/>
  <c r="H69" s="1"/>
  <c r="O69"/>
  <c r="M69"/>
  <c r="A72" l="1"/>
  <c r="B71"/>
  <c r="D71" s="1"/>
  <c r="K71"/>
  <c r="Q71" s="1"/>
  <c r="C71"/>
  <c r="E71" s="1"/>
  <c r="G71" s="1"/>
  <c r="O70"/>
  <c r="M70"/>
  <c r="P70"/>
  <c r="N70"/>
  <c r="L70"/>
  <c r="F70"/>
  <c r="H70" s="1"/>
  <c r="G70"/>
  <c r="K72" l="1"/>
  <c r="Q72" s="1"/>
  <c r="C72"/>
  <c r="E72" s="1"/>
  <c r="A73"/>
  <c r="B72"/>
  <c r="D72" s="1"/>
  <c r="P71"/>
  <c r="N71"/>
  <c r="L71"/>
  <c r="F71"/>
  <c r="H71" s="1"/>
  <c r="O71"/>
  <c r="M71"/>
  <c r="O72" l="1"/>
  <c r="M72"/>
  <c r="P72"/>
  <c r="N72"/>
  <c r="L72"/>
  <c r="F72"/>
  <c r="H72" s="1"/>
  <c r="A74"/>
  <c r="B73"/>
  <c r="D73" s="1"/>
  <c r="K73"/>
  <c r="Q73" s="1"/>
  <c r="C73"/>
  <c r="E73" s="1"/>
  <c r="G73" s="1"/>
  <c r="G72"/>
  <c r="P73" l="1"/>
  <c r="N73"/>
  <c r="L73"/>
  <c r="F73"/>
  <c r="H73" s="1"/>
  <c r="O73"/>
  <c r="N80" s="1"/>
  <c r="P80" s="1"/>
  <c r="Q80" s="1"/>
  <c r="M73"/>
  <c r="K74"/>
  <c r="Q74" s="1"/>
  <c r="C74"/>
  <c r="E74" s="1"/>
  <c r="A75"/>
  <c r="B74"/>
  <c r="D74" s="1"/>
  <c r="A76" l="1"/>
  <c r="B75"/>
  <c r="D75" s="1"/>
  <c r="K75"/>
  <c r="Q75" s="1"/>
  <c r="C75"/>
  <c r="E75" s="1"/>
  <c r="G75" s="1"/>
  <c r="Q82"/>
  <c r="R80"/>
  <c r="R82" s="1"/>
  <c r="G74"/>
  <c r="O74"/>
  <c r="M74"/>
  <c r="P74"/>
  <c r="N74"/>
  <c r="L74"/>
  <c r="F74"/>
  <c r="H74" s="1"/>
  <c r="P75" l="1"/>
  <c r="N75"/>
  <c r="L75"/>
  <c r="F75"/>
  <c r="H75" s="1"/>
  <c r="O75"/>
  <c r="M75"/>
  <c r="K76"/>
  <c r="Q76" s="1"/>
  <c r="C76"/>
  <c r="E76" s="1"/>
  <c r="A77"/>
  <c r="B76"/>
  <c r="D76" s="1"/>
  <c r="O76" l="1"/>
  <c r="M76"/>
  <c r="P76"/>
  <c r="N76"/>
  <c r="L76"/>
  <c r="F76"/>
  <c r="B77"/>
  <c r="D77" s="1"/>
  <c r="K77"/>
  <c r="Q77" s="1"/>
  <c r="C77"/>
  <c r="E77" s="1"/>
  <c r="G77" s="1"/>
  <c r="G76"/>
  <c r="P77" l="1"/>
  <c r="N77"/>
  <c r="L77"/>
  <c r="F77"/>
  <c r="H77" s="1"/>
  <c r="O77"/>
  <c r="M77"/>
  <c r="H76"/>
</calcChain>
</file>

<file path=xl/sharedStrings.xml><?xml version="1.0" encoding="utf-8"?>
<sst xmlns="http://schemas.openxmlformats.org/spreadsheetml/2006/main" count="54" uniqueCount="46">
  <si>
    <t>Row Labels</t>
  </si>
  <si>
    <t>Events per hr (M)</t>
  </si>
  <si>
    <t>Events</t>
  </si>
  <si>
    <t>EPS</t>
  </si>
  <si>
    <t>Lambda</t>
  </si>
  <si>
    <t>Average of log-cpu</t>
  </si>
  <si>
    <t>StdDev of log-cpu</t>
  </si>
  <si>
    <t>Polynomial (d=3) Regression from TPS to log-cpu</t>
  </si>
  <si>
    <t>x^3</t>
  </si>
  <si>
    <t>x^2</t>
  </si>
  <si>
    <t>x</t>
  </si>
  <si>
    <t>c</t>
  </si>
  <si>
    <t>coeff</t>
  </si>
  <si>
    <t>se</t>
  </si>
  <si>
    <t>R^2</t>
  </si>
  <si>
    <t>F</t>
  </si>
  <si>
    <t>SS</t>
  </si>
  <si>
    <t>Linear Regression from square root of TPS (Poisson approx) to log-cpu std</t>
  </si>
  <si>
    <t>Coeff</t>
  </si>
  <si>
    <t>RPL OA predicted</t>
  </si>
  <si>
    <t>exp(µ+nσ)</t>
  </si>
  <si>
    <t>cdf</t>
  </si>
  <si>
    <t>Prediction</t>
  </si>
  <si>
    <t>n</t>
  </si>
  <si>
    <t>TPS</t>
  </si>
  <si>
    <t>ln(events)</t>
  </si>
  <si>
    <t>log-Mean</t>
  </si>
  <si>
    <t>log-Std</t>
  </si>
  <si>
    <t>CPU mean</t>
  </si>
  <si>
    <t>CPU-std</t>
  </si>
  <si>
    <t>CPU mean+3 std</t>
  </si>
  <si>
    <t>Server</t>
  </si>
  <si>
    <t>Events per Hr (M)</t>
  </si>
  <si>
    <t>Median</t>
  </si>
  <si>
    <t>99.90% Minimum performance Level (MPL)</t>
  </si>
  <si>
    <t>99.99% Expected Performance Level (EPL)</t>
  </si>
  <si>
    <t>97.60% MPL for 1 hr of 24</t>
  </si>
  <si>
    <t>99.76% EPL for 1 hr of 24</t>
  </si>
  <si>
    <t>MPL</t>
  </si>
  <si>
    <t>EPL</t>
  </si>
  <si>
    <t>Difference</t>
  </si>
  <si>
    <t>Difference$ per server</t>
  </si>
  <si>
    <t>All servers</t>
  </si>
  <si>
    <t>Max events per peak hr (M)</t>
  </si>
  <si>
    <t>Performance credit</t>
  </si>
  <si>
    <t>Adjusted total break point $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</si>
</sst>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/>
    <xf numFmtId="0" fontId="4" fillId="3" borderId="0" xfId="0" applyFont="1" applyFill="1" applyAlignment="1">
      <alignment horizontal="center"/>
    </xf>
    <xf numFmtId="9" fontId="0" fillId="0" borderId="0" xfId="0" applyNumberFormat="1"/>
    <xf numFmtId="10" fontId="0" fillId="0" borderId="0" xfId="0" applyNumberFormat="1"/>
    <xf numFmtId="10" fontId="0" fillId="0" borderId="0" xfId="2" applyNumberFormat="1" applyFont="1"/>
    <xf numFmtId="2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Alignment="1">
      <alignment wrapText="1"/>
    </xf>
    <xf numFmtId="166" fontId="0" fillId="0" borderId="0" xfId="2" applyNumberFormat="1" applyFon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30">
    <dxf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" formatCode="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" formatCode="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65" formatCode="0.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border outline="0">
        <bottom style="thin">
          <color rgb="FF95B3D7"/>
        </bottom>
      </border>
    </dxf>
    <dxf>
      <alignment horizontal="center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64" formatCode="_(* #,##0_);_(* \(#,##0\);_(* &quot;-&quot;??_);_(@_)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'rb4 (2)'!$L$44</c:f>
              <c:strCache>
                <c:ptCount val="1"/>
                <c:pt idx="0">
                  <c:v>Median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'rb4 (2)'!$K$50:$K$74</c:f>
              <c:numCache>
                <c:formatCode>0.00</c:formatCode>
                <c:ptCount val="25"/>
                <c:pt idx="0">
                  <c:v>3.7000000000000006</c:v>
                </c:pt>
                <c:pt idx="1">
                  <c:v>3.8000000000000007</c:v>
                </c:pt>
                <c:pt idx="2">
                  <c:v>3.9000000000000008</c:v>
                </c:pt>
                <c:pt idx="3">
                  <c:v>4.0000000000000009</c:v>
                </c:pt>
                <c:pt idx="4">
                  <c:v>4.1000000000000005</c:v>
                </c:pt>
                <c:pt idx="5">
                  <c:v>4.2</c:v>
                </c:pt>
                <c:pt idx="6">
                  <c:v>4.3</c:v>
                </c:pt>
                <c:pt idx="7">
                  <c:v>4.3999999999999995</c:v>
                </c:pt>
                <c:pt idx="8">
                  <c:v>4.4999999999999991</c:v>
                </c:pt>
                <c:pt idx="9">
                  <c:v>4.5999999999999988</c:v>
                </c:pt>
                <c:pt idx="10">
                  <c:v>4.6999999999999984</c:v>
                </c:pt>
                <c:pt idx="11">
                  <c:v>4.799999999999998</c:v>
                </c:pt>
                <c:pt idx="12">
                  <c:v>4.8999999999999977</c:v>
                </c:pt>
                <c:pt idx="13">
                  <c:v>4.9999999999999973</c:v>
                </c:pt>
                <c:pt idx="14">
                  <c:v>5.099999999999997</c:v>
                </c:pt>
                <c:pt idx="15">
                  <c:v>5.1999999999999966</c:v>
                </c:pt>
                <c:pt idx="16">
                  <c:v>5.2999999999999963</c:v>
                </c:pt>
                <c:pt idx="17">
                  <c:v>5.3999999999999959</c:v>
                </c:pt>
                <c:pt idx="18">
                  <c:v>5.4999999999999956</c:v>
                </c:pt>
                <c:pt idx="19">
                  <c:v>5.5999999999999952</c:v>
                </c:pt>
                <c:pt idx="20">
                  <c:v>5.6999999999999948</c:v>
                </c:pt>
                <c:pt idx="21">
                  <c:v>5.7999999999999945</c:v>
                </c:pt>
                <c:pt idx="22">
                  <c:v>5.8999999999999941</c:v>
                </c:pt>
                <c:pt idx="23">
                  <c:v>5.9999999999999938</c:v>
                </c:pt>
                <c:pt idx="24">
                  <c:v>6.0999999999999934</c:v>
                </c:pt>
              </c:numCache>
            </c:numRef>
          </c:cat>
          <c:val>
            <c:numRef>
              <c:f>'rb4 (2)'!$L$50:$L$74</c:f>
              <c:numCache>
                <c:formatCode>0.00</c:formatCode>
                <c:ptCount val="25"/>
                <c:pt idx="0">
                  <c:v>49.192440392698231</c:v>
                </c:pt>
                <c:pt idx="1">
                  <c:v>50.231793687572022</c:v>
                </c:pt>
                <c:pt idx="2">
                  <c:v>51.294938100583707</c:v>
                </c:pt>
                <c:pt idx="3">
                  <c:v>52.387148699376155</c:v>
                </c:pt>
                <c:pt idx="4">
                  <c:v>53.514116887716042</c:v>
                </c:pt>
                <c:pt idx="5">
                  <c:v>54.681980592569026</c:v>
                </c:pt>
                <c:pt idx="6">
                  <c:v>55.897360947571435</c:v>
                </c:pt>
                <c:pt idx="7">
                  <c:v>57.16740630449911</c:v>
                </c:pt>
                <c:pt idx="8">
                  <c:v>58.499844515295962</c:v>
                </c:pt>
                <c:pt idx="9">
                  <c:v>59.903044563130251</c:v>
                </c:pt>
                <c:pt idx="10">
                  <c:v>61.38608878615134</c:v>
                </c:pt>
                <c:pt idx="11">
                  <c:v>62.958857137325182</c:v>
                </c:pt>
                <c:pt idx="12">
                  <c:v>64.63212516417866</c:v>
                </c:pt>
                <c:pt idx="13">
                  <c:v>66.417677681041482</c:v>
                </c:pt>
                <c:pt idx="14">
                  <c:v>68.328440452610522</c:v>
                </c:pt>
                <c:pt idx="15">
                  <c:v>70.378632622547997</c:v>
                </c:pt>
                <c:pt idx="16">
                  <c:v>72.583943117994281</c:v>
                </c:pt>
                <c:pt idx="17">
                  <c:v>74.961734857045087</c:v>
                </c:pt>
                <c:pt idx="18">
                  <c:v>77.531281301875424</c:v>
                </c:pt>
                <c:pt idx="19">
                  <c:v>80.314040760497079</c:v>
                </c:pt>
                <c:pt idx="20">
                  <c:v>83.333974876136992</c:v>
                </c:pt>
                <c:pt idx="21">
                  <c:v>86.61791899322634</c:v>
                </c:pt>
                <c:pt idx="22">
                  <c:v>90.196013600424351</c:v>
                </c:pt>
                <c:pt idx="23">
                  <c:v>94.102207882742221</c:v>
                </c:pt>
                <c:pt idx="24">
                  <c:v>98.374848639769866</c:v>
                </c:pt>
              </c:numCache>
            </c:numRef>
          </c:val>
        </c:ser>
        <c:ser>
          <c:idx val="3"/>
          <c:order val="1"/>
          <c:tx>
            <c:strRef>
              <c:f>'rb4 (2)'!$M$44</c:f>
              <c:strCache>
                <c:ptCount val="1"/>
                <c:pt idx="0">
                  <c:v>99.90% Minimum performance Level (MPL)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'rb4 (2)'!$K$50:$K$74</c:f>
              <c:numCache>
                <c:formatCode>0.00</c:formatCode>
                <c:ptCount val="25"/>
                <c:pt idx="0">
                  <c:v>3.7000000000000006</c:v>
                </c:pt>
                <c:pt idx="1">
                  <c:v>3.8000000000000007</c:v>
                </c:pt>
                <c:pt idx="2">
                  <c:v>3.9000000000000008</c:v>
                </c:pt>
                <c:pt idx="3">
                  <c:v>4.0000000000000009</c:v>
                </c:pt>
                <c:pt idx="4">
                  <c:v>4.1000000000000005</c:v>
                </c:pt>
                <c:pt idx="5">
                  <c:v>4.2</c:v>
                </c:pt>
                <c:pt idx="6">
                  <c:v>4.3</c:v>
                </c:pt>
                <c:pt idx="7">
                  <c:v>4.3999999999999995</c:v>
                </c:pt>
                <c:pt idx="8">
                  <c:v>4.4999999999999991</c:v>
                </c:pt>
                <c:pt idx="9">
                  <c:v>4.5999999999999988</c:v>
                </c:pt>
                <c:pt idx="10">
                  <c:v>4.6999999999999984</c:v>
                </c:pt>
                <c:pt idx="11">
                  <c:v>4.799999999999998</c:v>
                </c:pt>
                <c:pt idx="12">
                  <c:v>4.8999999999999977</c:v>
                </c:pt>
                <c:pt idx="13">
                  <c:v>4.9999999999999973</c:v>
                </c:pt>
                <c:pt idx="14">
                  <c:v>5.099999999999997</c:v>
                </c:pt>
                <c:pt idx="15">
                  <c:v>5.1999999999999966</c:v>
                </c:pt>
                <c:pt idx="16">
                  <c:v>5.2999999999999963</c:v>
                </c:pt>
                <c:pt idx="17">
                  <c:v>5.3999999999999959</c:v>
                </c:pt>
                <c:pt idx="18">
                  <c:v>5.4999999999999956</c:v>
                </c:pt>
                <c:pt idx="19">
                  <c:v>5.5999999999999952</c:v>
                </c:pt>
                <c:pt idx="20">
                  <c:v>5.6999999999999948</c:v>
                </c:pt>
                <c:pt idx="21">
                  <c:v>5.7999999999999945</c:v>
                </c:pt>
                <c:pt idx="22">
                  <c:v>5.8999999999999941</c:v>
                </c:pt>
                <c:pt idx="23">
                  <c:v>5.9999999999999938</c:v>
                </c:pt>
                <c:pt idx="24">
                  <c:v>6.0999999999999934</c:v>
                </c:pt>
              </c:numCache>
            </c:numRef>
          </c:cat>
          <c:val>
            <c:numRef>
              <c:f>'rb4 (2)'!$M$50:$M$74</c:f>
              <c:numCache>
                <c:formatCode>0.00</c:formatCode>
                <c:ptCount val="25"/>
                <c:pt idx="0">
                  <c:v>74.188347852884931</c:v>
                </c:pt>
                <c:pt idx="1">
                  <c:v>75.208456383840442</c:v>
                </c:pt>
                <c:pt idx="2">
                  <c:v>76.259677882022999</c:v>
                </c:pt>
                <c:pt idx="3">
                  <c:v>77.349115718495497</c:v>
                </c:pt>
                <c:pt idx="4">
                  <c:v>78.484323818285091</c:v>
                </c:pt>
                <c:pt idx="5">
                  <c:v>79.673341844821934</c:v>
                </c:pt>
                <c:pt idx="6">
                  <c:v>80.924738776272008</c:v>
                </c:pt>
                <c:pt idx="7">
                  <c:v>82.247665754411926</c:v>
                </c:pt>
                <c:pt idx="8">
                  <c:v>83.651919221687919</c:v>
                </c:pt>
                <c:pt idx="9">
                  <c:v>85.148015526241224</c:v>
                </c:pt>
                <c:pt idx="10">
                  <c:v>86.747278372926203</c:v>
                </c:pt>
                <c:pt idx="11">
                  <c:v>88.461940736603452</c:v>
                </c:pt>
                <c:pt idx="12">
                  <c:v>90.305263139337242</c:v>
                </c:pt>
                <c:pt idx="13">
                  <c:v>92.291670534170265</c:v>
                </c:pt>
                <c:pt idx="14">
                  <c:v>94.436910445311796</c:v>
                </c:pt>
                <c:pt idx="15">
                  <c:v>96.75823550058621</c:v>
                </c:pt>
                <c:pt idx="16">
                  <c:v>99.274614072378583</c:v>
                </c:pt>
                <c:pt idx="17">
                  <c:v>102.00697343714138</c:v>
                </c:pt>
                <c:pt idx="18">
                  <c:v>104.9784806941104</c:v>
                </c:pt>
                <c:pt idx="19">
                  <c:v>108.21486767994773</c:v>
                </c:pt>
                <c:pt idx="20">
                  <c:v>111.74480731291352</c:v>
                </c:pt>
                <c:pt idx="21">
                  <c:v>115.60035024146292</c:v>
                </c:pt>
                <c:pt idx="22">
                  <c:v>119.81743241180192</c:v>
                </c:pt>
                <c:pt idx="23">
                  <c:v>124.43646627369019</c:v>
                </c:pt>
                <c:pt idx="24">
                  <c:v>129.5030308966042</c:v>
                </c:pt>
              </c:numCache>
            </c:numRef>
          </c:val>
        </c:ser>
        <c:ser>
          <c:idx val="4"/>
          <c:order val="2"/>
          <c:tx>
            <c:strRef>
              <c:f>'rb4 (2)'!$N$44</c:f>
              <c:strCache>
                <c:ptCount val="1"/>
                <c:pt idx="0">
                  <c:v>99.99% Expected Performance Level (EPL)</c:v>
                </c:pt>
              </c:strCache>
            </c:strRef>
          </c:tx>
          <c:spPr>
            <a:ln>
              <a:solidFill>
                <a:srgbClr val="00B050"/>
              </a:solidFill>
              <a:prstDash val="sysDot"/>
            </a:ln>
          </c:spPr>
          <c:marker>
            <c:symbol val="none"/>
          </c:marker>
          <c:cat>
            <c:numRef>
              <c:f>'rb4 (2)'!$K$50:$K$74</c:f>
              <c:numCache>
                <c:formatCode>0.00</c:formatCode>
                <c:ptCount val="25"/>
                <c:pt idx="0">
                  <c:v>3.7000000000000006</c:v>
                </c:pt>
                <c:pt idx="1">
                  <c:v>3.8000000000000007</c:v>
                </c:pt>
                <c:pt idx="2">
                  <c:v>3.9000000000000008</c:v>
                </c:pt>
                <c:pt idx="3">
                  <c:v>4.0000000000000009</c:v>
                </c:pt>
                <c:pt idx="4">
                  <c:v>4.1000000000000005</c:v>
                </c:pt>
                <c:pt idx="5">
                  <c:v>4.2</c:v>
                </c:pt>
                <c:pt idx="6">
                  <c:v>4.3</c:v>
                </c:pt>
                <c:pt idx="7">
                  <c:v>4.3999999999999995</c:v>
                </c:pt>
                <c:pt idx="8">
                  <c:v>4.4999999999999991</c:v>
                </c:pt>
                <c:pt idx="9">
                  <c:v>4.5999999999999988</c:v>
                </c:pt>
                <c:pt idx="10">
                  <c:v>4.6999999999999984</c:v>
                </c:pt>
                <c:pt idx="11">
                  <c:v>4.799999999999998</c:v>
                </c:pt>
                <c:pt idx="12">
                  <c:v>4.8999999999999977</c:v>
                </c:pt>
                <c:pt idx="13">
                  <c:v>4.9999999999999973</c:v>
                </c:pt>
                <c:pt idx="14">
                  <c:v>5.099999999999997</c:v>
                </c:pt>
                <c:pt idx="15">
                  <c:v>5.1999999999999966</c:v>
                </c:pt>
                <c:pt idx="16">
                  <c:v>5.2999999999999963</c:v>
                </c:pt>
                <c:pt idx="17">
                  <c:v>5.3999999999999959</c:v>
                </c:pt>
                <c:pt idx="18">
                  <c:v>5.4999999999999956</c:v>
                </c:pt>
                <c:pt idx="19">
                  <c:v>5.5999999999999952</c:v>
                </c:pt>
                <c:pt idx="20">
                  <c:v>5.6999999999999948</c:v>
                </c:pt>
                <c:pt idx="21">
                  <c:v>5.7999999999999945</c:v>
                </c:pt>
                <c:pt idx="22">
                  <c:v>5.8999999999999941</c:v>
                </c:pt>
                <c:pt idx="23">
                  <c:v>5.9999999999999938</c:v>
                </c:pt>
                <c:pt idx="24">
                  <c:v>6.0999999999999934</c:v>
                </c:pt>
              </c:numCache>
            </c:numRef>
          </c:cat>
          <c:val>
            <c:numRef>
              <c:f>'rb4 (2)'!$N$50:$N$74</c:f>
              <c:numCache>
                <c:formatCode>0.00</c:formatCode>
                <c:ptCount val="25"/>
                <c:pt idx="0">
                  <c:v>80.563561939908624</c:v>
                </c:pt>
                <c:pt idx="1">
                  <c:v>81.552584301599325</c:v>
                </c:pt>
                <c:pt idx="2">
                  <c:v>82.575369809701087</c:v>
                </c:pt>
                <c:pt idx="3">
                  <c:v>83.63941869062127</c:v>
                </c:pt>
                <c:pt idx="4">
                  <c:v>84.75268769545022</c:v>
                </c:pt>
                <c:pt idx="5">
                  <c:v>85.923626428086408</c:v>
                </c:pt>
                <c:pt idx="6">
                  <c:v>87.161222525108499</c:v>
                </c:pt>
                <c:pt idx="7">
                  <c:v>88.475056568530391</c:v>
                </c:pt>
                <c:pt idx="8">
                  <c:v>89.875367754455482</c:v>
                </c:pt>
                <c:pt idx="9">
                  <c:v>91.373131512375409</c:v>
                </c:pt>
                <c:pt idx="10">
                  <c:v>92.980150476543855</c:v>
                </c:pt>
                <c:pt idx="11">
                  <c:v>94.709160458602497</c:v>
                </c:pt>
                <c:pt idx="12">
                  <c:v>96.573953366713425</c:v>
                </c:pt>
                <c:pt idx="13">
                  <c:v>98.589519369712647</c:v>
                </c:pt>
                <c:pt idx="14">
                  <c:v>100.77221102594947</c:v>
                </c:pt>
                <c:pt idx="15">
                  <c:v>103.13993259859859</c:v>
                </c:pt>
                <c:pt idx="16">
                  <c:v>105.71235837827093</c:v>
                </c:pt>
                <c:pt idx="17">
                  <c:v>108.51118454928761</c:v>
                </c:pt>
                <c:pt idx="18">
                  <c:v>111.56041999195811</c:v>
                </c:pt>
                <c:pt idx="19">
                  <c:v>114.88672243912272</c:v>
                </c:pt>
                <c:pt idx="20">
                  <c:v>118.5197876373408</c:v>
                </c:pt>
                <c:pt idx="21">
                  <c:v>122.49280064617908</c:v>
                </c:pt>
                <c:pt idx="22">
                  <c:v>126.84296019841887</c:v>
                </c:pt>
                <c:pt idx="23">
                  <c:v>131.61208920816605</c:v>
                </c:pt>
                <c:pt idx="24">
                  <c:v>136.84734713789226</c:v>
                </c:pt>
              </c:numCache>
            </c:numRef>
          </c:val>
        </c:ser>
        <c:ser>
          <c:idx val="1"/>
          <c:order val="3"/>
          <c:tx>
            <c:strRef>
              <c:f>'rb4 (2)'!$O$44</c:f>
              <c:strCache>
                <c:ptCount val="1"/>
                <c:pt idx="0">
                  <c:v>97.60% MPL for 1 hr of 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'rb4 (2)'!$K$50:$K$74</c:f>
              <c:numCache>
                <c:formatCode>0.00</c:formatCode>
                <c:ptCount val="25"/>
                <c:pt idx="0">
                  <c:v>3.7000000000000006</c:v>
                </c:pt>
                <c:pt idx="1">
                  <c:v>3.8000000000000007</c:v>
                </c:pt>
                <c:pt idx="2">
                  <c:v>3.9000000000000008</c:v>
                </c:pt>
                <c:pt idx="3">
                  <c:v>4.0000000000000009</c:v>
                </c:pt>
                <c:pt idx="4">
                  <c:v>4.1000000000000005</c:v>
                </c:pt>
                <c:pt idx="5">
                  <c:v>4.2</c:v>
                </c:pt>
                <c:pt idx="6">
                  <c:v>4.3</c:v>
                </c:pt>
                <c:pt idx="7">
                  <c:v>4.3999999999999995</c:v>
                </c:pt>
                <c:pt idx="8">
                  <c:v>4.4999999999999991</c:v>
                </c:pt>
                <c:pt idx="9">
                  <c:v>4.5999999999999988</c:v>
                </c:pt>
                <c:pt idx="10">
                  <c:v>4.6999999999999984</c:v>
                </c:pt>
                <c:pt idx="11">
                  <c:v>4.799999999999998</c:v>
                </c:pt>
                <c:pt idx="12">
                  <c:v>4.8999999999999977</c:v>
                </c:pt>
                <c:pt idx="13">
                  <c:v>4.9999999999999973</c:v>
                </c:pt>
                <c:pt idx="14">
                  <c:v>5.099999999999997</c:v>
                </c:pt>
                <c:pt idx="15">
                  <c:v>5.1999999999999966</c:v>
                </c:pt>
                <c:pt idx="16">
                  <c:v>5.2999999999999963</c:v>
                </c:pt>
                <c:pt idx="17">
                  <c:v>5.3999999999999959</c:v>
                </c:pt>
                <c:pt idx="18">
                  <c:v>5.4999999999999956</c:v>
                </c:pt>
                <c:pt idx="19">
                  <c:v>5.5999999999999952</c:v>
                </c:pt>
                <c:pt idx="20">
                  <c:v>5.6999999999999948</c:v>
                </c:pt>
                <c:pt idx="21">
                  <c:v>5.7999999999999945</c:v>
                </c:pt>
                <c:pt idx="22">
                  <c:v>5.8999999999999941</c:v>
                </c:pt>
                <c:pt idx="23">
                  <c:v>5.9999999999999938</c:v>
                </c:pt>
                <c:pt idx="24">
                  <c:v>6.0999999999999934</c:v>
                </c:pt>
              </c:numCache>
            </c:numRef>
          </c:cat>
          <c:val>
            <c:numRef>
              <c:f>'rb4 (2)'!$O$50:$O$74</c:f>
              <c:numCache>
                <c:formatCode>0.00</c:formatCode>
                <c:ptCount val="25"/>
                <c:pt idx="0">
                  <c:v>64.008382454973585</c:v>
                </c:pt>
                <c:pt idx="1">
                  <c:v>65.057765858412395</c:v>
                </c:pt>
                <c:pt idx="2">
                  <c:v>66.134696620183945</c:v>
                </c:pt>
                <c:pt idx="3">
                  <c:v>67.245585818237132</c:v>
                </c:pt>
                <c:pt idx="4">
                  <c:v>68.397283973886573</c:v>
                </c:pt>
                <c:pt idx="5">
                  <c:v>69.597114283072059</c:v>
                </c:pt>
                <c:pt idx="6">
                  <c:v>70.85291349086755</c:v>
                </c:pt>
                <c:pt idx="7">
                  <c:v>72.173081279521838</c:v>
                </c:pt>
                <c:pt idx="8">
                  <c:v>73.566639165039632</c:v>
                </c:pt>
                <c:pt idx="9">
                  <c:v>75.043300049761811</c:v>
                </c:pt>
                <c:pt idx="10">
                  <c:v>76.6135497632811</c:v>
                </c:pt>
                <c:pt idx="11">
                  <c:v>78.288742146962193</c:v>
                </c:pt>
                <c:pt idx="12">
                  <c:v>80.08120950508156</c:v>
                </c:pt>
                <c:pt idx="13">
                  <c:v>82.004390566363028</c:v>
                </c:pt>
                <c:pt idx="14">
                  <c:v>84.072978483403432</c:v>
                </c:pt>
                <c:pt idx="15">
                  <c:v>86.303091856301677</c:v>
                </c:pt>
                <c:pt idx="16">
                  <c:v>88.712472315536061</c:v>
                </c:pt>
                <c:pt idx="17">
                  <c:v>91.320712855952522</c:v>
                </c:pt>
                <c:pt idx="18">
                  <c:v>94.14952190088384</c:v>
                </c:pt>
                <c:pt idx="19">
                  <c:v>97.223029020312751</c:v>
                </c:pt>
                <c:pt idx="20">
                  <c:v>100.56813936334981</c:v>
                </c:pt>
                <c:pt idx="21">
                  <c:v>104.21494523472032</c:v>
                </c:pt>
                <c:pt idx="22">
                  <c:v>108.19720489895349</c:v>
                </c:pt>
                <c:pt idx="23">
                  <c:v>112.55290069832175</c:v>
                </c:pt>
                <c:pt idx="24">
                  <c:v>117.32489100055008</c:v>
                </c:pt>
              </c:numCache>
            </c:numRef>
          </c:val>
        </c:ser>
        <c:ser>
          <c:idx val="2"/>
          <c:order val="4"/>
          <c:tx>
            <c:strRef>
              <c:f>'rb4 (2)'!$P$44</c:f>
              <c:strCache>
                <c:ptCount val="1"/>
                <c:pt idx="0">
                  <c:v>99.76% EPL for 1 hr of 24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'rb4 (2)'!$K$50:$K$74</c:f>
              <c:numCache>
                <c:formatCode>0.00</c:formatCode>
                <c:ptCount val="25"/>
                <c:pt idx="0">
                  <c:v>3.7000000000000006</c:v>
                </c:pt>
                <c:pt idx="1">
                  <c:v>3.8000000000000007</c:v>
                </c:pt>
                <c:pt idx="2">
                  <c:v>3.9000000000000008</c:v>
                </c:pt>
                <c:pt idx="3">
                  <c:v>4.0000000000000009</c:v>
                </c:pt>
                <c:pt idx="4">
                  <c:v>4.1000000000000005</c:v>
                </c:pt>
                <c:pt idx="5">
                  <c:v>4.2</c:v>
                </c:pt>
                <c:pt idx="6">
                  <c:v>4.3</c:v>
                </c:pt>
                <c:pt idx="7">
                  <c:v>4.3999999999999995</c:v>
                </c:pt>
                <c:pt idx="8">
                  <c:v>4.4999999999999991</c:v>
                </c:pt>
                <c:pt idx="9">
                  <c:v>4.5999999999999988</c:v>
                </c:pt>
                <c:pt idx="10">
                  <c:v>4.6999999999999984</c:v>
                </c:pt>
                <c:pt idx="11">
                  <c:v>4.799999999999998</c:v>
                </c:pt>
                <c:pt idx="12">
                  <c:v>4.8999999999999977</c:v>
                </c:pt>
                <c:pt idx="13">
                  <c:v>4.9999999999999973</c:v>
                </c:pt>
                <c:pt idx="14">
                  <c:v>5.099999999999997</c:v>
                </c:pt>
                <c:pt idx="15">
                  <c:v>5.1999999999999966</c:v>
                </c:pt>
                <c:pt idx="16">
                  <c:v>5.2999999999999963</c:v>
                </c:pt>
                <c:pt idx="17">
                  <c:v>5.3999999999999959</c:v>
                </c:pt>
                <c:pt idx="18">
                  <c:v>5.4999999999999956</c:v>
                </c:pt>
                <c:pt idx="19">
                  <c:v>5.5999999999999952</c:v>
                </c:pt>
                <c:pt idx="20">
                  <c:v>5.6999999999999948</c:v>
                </c:pt>
                <c:pt idx="21">
                  <c:v>5.7999999999999945</c:v>
                </c:pt>
                <c:pt idx="22">
                  <c:v>5.8999999999999941</c:v>
                </c:pt>
                <c:pt idx="23">
                  <c:v>5.9999999999999938</c:v>
                </c:pt>
                <c:pt idx="24">
                  <c:v>6.0999999999999934</c:v>
                </c:pt>
              </c:numCache>
            </c:numRef>
          </c:cat>
          <c:val>
            <c:numRef>
              <c:f>'rb4 (2)'!$P$50:$P$74</c:f>
              <c:numCache>
                <c:formatCode>0.00</c:formatCode>
                <c:ptCount val="25"/>
                <c:pt idx="0">
                  <c:v>71.572154064899934</c:v>
                </c:pt>
                <c:pt idx="1">
                  <c:v>72.60227822818355</c:v>
                </c:pt>
                <c:pt idx="2">
                  <c:v>73.662520862318189</c:v>
                </c:pt>
                <c:pt idx="3">
                  <c:v>74.759814309532246</c:v>
                </c:pt>
                <c:pt idx="4">
                  <c:v>75.901538839353492</c:v>
                </c:pt>
                <c:pt idx="5">
                  <c:v>77.095557344744478</c:v>
                </c:pt>
                <c:pt idx="6">
                  <c:v>78.350258239772899</c:v>
                </c:pt>
                <c:pt idx="7">
                  <c:v>79.67460743795192</c:v>
                </c:pt>
                <c:pt idx="8">
                  <c:v>81.078210422662039</c:v>
                </c:pt>
                <c:pt idx="9">
                  <c:v>82.571385582158072</c:v>
                </c:pt>
                <c:pt idx="10">
                  <c:v>84.165250176467296</c:v>
                </c:pt>
                <c:pt idx="11">
                  <c:v>85.871820537826295</c:v>
                </c:pt>
                <c:pt idx="12">
                  <c:v>87.704128387195695</c:v>
                </c:pt>
                <c:pt idx="13">
                  <c:v>89.676355485318425</c:v>
                </c:pt>
                <c:pt idx="14">
                  <c:v>91.803989238070841</c:v>
                </c:pt>
                <c:pt idx="15">
                  <c:v>94.10400235506269</c:v>
                </c:pt>
                <c:pt idx="16">
                  <c:v>96.595060232932227</c:v>
                </c:pt>
                <c:pt idx="17">
                  <c:v>99.297760419396198</c:v>
                </c:pt>
                <c:pt idx="18">
                  <c:v>102.23490933389749</c:v>
                </c:pt>
                <c:pt idx="19">
                  <c:v>105.43184240405404</c:v>
                </c:pt>
                <c:pt idx="20">
                  <c:v>108.91679495897664</c:v>
                </c:pt>
                <c:pt idx="21">
                  <c:v>112.72133264399439</c:v>
                </c:pt>
                <c:pt idx="22">
                  <c:v>116.8808518397401</c:v>
                </c:pt>
                <c:pt idx="23">
                  <c:v>121.43516264793021</c:v>
                </c:pt>
                <c:pt idx="24">
                  <c:v>126.42916952857411</c:v>
                </c:pt>
              </c:numCache>
            </c:numRef>
          </c:val>
        </c:ser>
        <c:marker val="1"/>
        <c:axId val="89153536"/>
        <c:axId val="89155456"/>
      </c:lineChart>
      <c:catAx>
        <c:axId val="89153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 Per Hr (M)</a:t>
                </a:r>
              </a:p>
            </c:rich>
          </c:tx>
          <c:layout/>
        </c:title>
        <c:numFmt formatCode="0.00" sourceLinked="1"/>
        <c:tickLblPos val="nextTo"/>
        <c:crossAx val="89155456"/>
        <c:crosses val="autoZero"/>
        <c:auto val="1"/>
        <c:lblAlgn val="ctr"/>
        <c:lblOffset val="100"/>
      </c:catAx>
      <c:valAx>
        <c:axId val="89155456"/>
        <c:scaling>
          <c:orientation val="minMax"/>
          <c:max val="100"/>
        </c:scaling>
        <c:axPos val="l"/>
        <c:majorGridlines/>
        <c:numFmt formatCode="0.00" sourceLinked="1"/>
        <c:tickLblPos val="nextTo"/>
        <c:crossAx val="891535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Average of Log(CPU%) as a function of events</a:t>
            </a:r>
            <a:r>
              <a:rPr lang="en-US" sz="1400" baseline="0"/>
              <a:t> </a:t>
            </a:r>
            <a:endParaRPr lang="en-US" sz="1400"/>
          </a:p>
        </c:rich>
      </c:tx>
    </c:title>
    <c:plotArea>
      <c:layout/>
      <c:scatterChart>
        <c:scatterStyle val="lineMarker"/>
        <c:ser>
          <c:idx val="0"/>
          <c:order val="0"/>
          <c:tx>
            <c:v>Actual</c:v>
          </c:tx>
          <c:spPr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trendlineType val="poly"/>
            <c:order val="3"/>
            <c:forward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'rb4 (2)'!$B$2:$B$25</c:f>
              <c:numCache>
                <c:formatCode>0.00</c:formatCode>
                <c:ptCount val="24"/>
                <c:pt idx="0">
                  <c:v>0.1975044</c:v>
                </c:pt>
                <c:pt idx="1">
                  <c:v>0.21165963333333332</c:v>
                </c:pt>
                <c:pt idx="2">
                  <c:v>0.33129406666666666</c:v>
                </c:pt>
                <c:pt idx="3">
                  <c:v>0.39698836666666665</c:v>
                </c:pt>
                <c:pt idx="4">
                  <c:v>0.59518893333333334</c:v>
                </c:pt>
                <c:pt idx="5">
                  <c:v>1.0459385000000001</c:v>
                </c:pt>
                <c:pt idx="6">
                  <c:v>1.0809855333333334</c:v>
                </c:pt>
                <c:pt idx="7">
                  <c:v>1.5360558666666666</c:v>
                </c:pt>
                <c:pt idx="8">
                  <c:v>1.8363363666666668</c:v>
                </c:pt>
                <c:pt idx="9">
                  <c:v>2.1217391666666665</c:v>
                </c:pt>
                <c:pt idx="10">
                  <c:v>2.1707995000000002</c:v>
                </c:pt>
                <c:pt idx="11">
                  <c:v>2.3618616551724139</c:v>
                </c:pt>
                <c:pt idx="12">
                  <c:v>2.5027048333333335</c:v>
                </c:pt>
                <c:pt idx="13">
                  <c:v>2.5883957</c:v>
                </c:pt>
                <c:pt idx="14">
                  <c:v>2.8291471666666665</c:v>
                </c:pt>
                <c:pt idx="15">
                  <c:v>2.8584605999999999</c:v>
                </c:pt>
                <c:pt idx="16">
                  <c:v>2.8612277333333336</c:v>
                </c:pt>
                <c:pt idx="17">
                  <c:v>2.8816046666666666</c:v>
                </c:pt>
                <c:pt idx="18">
                  <c:v>2.8939556333333334</c:v>
                </c:pt>
                <c:pt idx="19">
                  <c:v>2.9478751333333335</c:v>
                </c:pt>
                <c:pt idx="20">
                  <c:v>3.5558004333333333</c:v>
                </c:pt>
                <c:pt idx="21">
                  <c:v>3.8927381724137931</c:v>
                </c:pt>
                <c:pt idx="22">
                  <c:v>4.533158733333333</c:v>
                </c:pt>
                <c:pt idx="23">
                  <c:v>4.6744309666666668</c:v>
                </c:pt>
              </c:numCache>
            </c:numRef>
          </c:xVal>
          <c:yVal>
            <c:numRef>
              <c:f>'rb4 (2)'!$F$2:$F$25</c:f>
              <c:numCache>
                <c:formatCode>0.00</c:formatCode>
                <c:ptCount val="24"/>
                <c:pt idx="0">
                  <c:v>2.4463825315285406</c:v>
                </c:pt>
                <c:pt idx="1">
                  <c:v>2.5047252214803928</c:v>
                </c:pt>
                <c:pt idx="2">
                  <c:v>2.6119720823506252</c:v>
                </c:pt>
                <c:pt idx="3">
                  <c:v>2.6252357175420227</c:v>
                </c:pt>
                <c:pt idx="4">
                  <c:v>2.8098111622269855</c:v>
                </c:pt>
                <c:pt idx="5">
                  <c:v>3.0329415922794456</c:v>
                </c:pt>
                <c:pt idx="6">
                  <c:v>3.089438638018879</c:v>
                </c:pt>
                <c:pt idx="7">
                  <c:v>3.2592382954858143</c:v>
                </c:pt>
                <c:pt idx="8">
                  <c:v>3.3846727280120184</c:v>
                </c:pt>
                <c:pt idx="9">
                  <c:v>3.5030755719166526</c:v>
                </c:pt>
                <c:pt idx="10">
                  <c:v>3.494761447004938</c:v>
                </c:pt>
                <c:pt idx="11">
                  <c:v>3.5816119112089195</c:v>
                </c:pt>
                <c:pt idx="12">
                  <c:v>3.6284161002529416</c:v>
                </c:pt>
                <c:pt idx="13">
                  <c:v>3.6458570475831706</c:v>
                </c:pt>
                <c:pt idx="14">
                  <c:v>3.6946725557696585</c:v>
                </c:pt>
                <c:pt idx="15">
                  <c:v>3.6971136225097547</c:v>
                </c:pt>
                <c:pt idx="16">
                  <c:v>3.7059012661191382</c:v>
                </c:pt>
                <c:pt idx="17">
                  <c:v>3.725551457300619</c:v>
                </c:pt>
                <c:pt idx="18">
                  <c:v>3.7305284710325917</c:v>
                </c:pt>
                <c:pt idx="19">
                  <c:v>3.7200604577187022</c:v>
                </c:pt>
                <c:pt idx="20">
                  <c:v>3.8474514985993364</c:v>
                </c:pt>
                <c:pt idx="21">
                  <c:v>3.9732613724290986</c:v>
                </c:pt>
                <c:pt idx="22">
                  <c:v>4.068792900623758</c:v>
                </c:pt>
                <c:pt idx="23">
                  <c:v>4.1059308432539696</c:v>
                </c:pt>
              </c:numCache>
            </c:numRef>
          </c:yVal>
        </c:ser>
        <c:axId val="128883328"/>
        <c:axId val="89199360"/>
      </c:scatterChart>
      <c:valAx>
        <c:axId val="128883328"/>
        <c:scaling>
          <c:orientation val="minMax"/>
          <c:max val="6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 b="1" i="0" baseline="0"/>
                  <a:t>Events Per Hr (M)</a:t>
                </a:r>
                <a:endParaRPr lang="en-US" sz="1100"/>
              </a:p>
            </c:rich>
          </c:tx>
        </c:title>
        <c:numFmt formatCode="0.00" sourceLinked="1"/>
        <c:tickLblPos val="nextTo"/>
        <c:crossAx val="89199360"/>
        <c:crosses val="autoZero"/>
        <c:crossBetween val="midCat"/>
      </c:valAx>
      <c:valAx>
        <c:axId val="891993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</a:t>
                </a:r>
                <a:r>
                  <a:rPr lang="en-US" baseline="0"/>
                  <a:t> ( log( CPU%)  )</a:t>
                </a:r>
                <a:endParaRPr lang="en-US"/>
              </a:p>
            </c:rich>
          </c:tx>
        </c:title>
        <c:numFmt formatCode="0.00" sourceLinked="1"/>
        <c:tickLblPos val="nextTo"/>
        <c:crossAx val="128883328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Actual</c:v>
          </c:tx>
          <c:spPr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trendlineType val="log"/>
            <c:forward val="2"/>
            <c:dispRSqr val="1"/>
            <c:dispEq val="1"/>
            <c:trendlineLbl>
              <c:layout>
                <c:manualLayout>
                  <c:x val="2.7158792650918652E-3"/>
                  <c:y val="-0.21977617381160691"/>
                </c:manualLayout>
              </c:layout>
              <c:numFmt formatCode="General" sourceLinked="0"/>
            </c:trendlineLbl>
          </c:trendline>
          <c:xVal>
            <c:numRef>
              <c:f>'rb4 (2)'!$B$2:$B$25</c:f>
              <c:numCache>
                <c:formatCode>0.00</c:formatCode>
                <c:ptCount val="24"/>
                <c:pt idx="0">
                  <c:v>0.1975044</c:v>
                </c:pt>
                <c:pt idx="1">
                  <c:v>0.21165963333333332</c:v>
                </c:pt>
                <c:pt idx="2">
                  <c:v>0.33129406666666666</c:v>
                </c:pt>
                <c:pt idx="3">
                  <c:v>0.39698836666666665</c:v>
                </c:pt>
                <c:pt idx="4">
                  <c:v>0.59518893333333334</c:v>
                </c:pt>
                <c:pt idx="5">
                  <c:v>1.0459385000000001</c:v>
                </c:pt>
                <c:pt idx="6">
                  <c:v>1.0809855333333334</c:v>
                </c:pt>
                <c:pt idx="7">
                  <c:v>1.5360558666666666</c:v>
                </c:pt>
                <c:pt idx="8">
                  <c:v>1.8363363666666668</c:v>
                </c:pt>
                <c:pt idx="9">
                  <c:v>2.1217391666666665</c:v>
                </c:pt>
                <c:pt idx="10">
                  <c:v>2.1707995000000002</c:v>
                </c:pt>
                <c:pt idx="11">
                  <c:v>2.3618616551724139</c:v>
                </c:pt>
                <c:pt idx="12">
                  <c:v>2.5027048333333335</c:v>
                </c:pt>
                <c:pt idx="13">
                  <c:v>2.5883957</c:v>
                </c:pt>
                <c:pt idx="14">
                  <c:v>2.8291471666666665</c:v>
                </c:pt>
                <c:pt idx="15">
                  <c:v>2.8584605999999999</c:v>
                </c:pt>
                <c:pt idx="16">
                  <c:v>2.8612277333333336</c:v>
                </c:pt>
                <c:pt idx="17">
                  <c:v>2.8816046666666666</c:v>
                </c:pt>
                <c:pt idx="18">
                  <c:v>2.8939556333333334</c:v>
                </c:pt>
                <c:pt idx="19">
                  <c:v>2.9478751333333335</c:v>
                </c:pt>
                <c:pt idx="20">
                  <c:v>3.5558004333333333</c:v>
                </c:pt>
                <c:pt idx="21">
                  <c:v>3.8927381724137931</c:v>
                </c:pt>
                <c:pt idx="22">
                  <c:v>4.533158733333333</c:v>
                </c:pt>
                <c:pt idx="23">
                  <c:v>4.6744309666666668</c:v>
                </c:pt>
              </c:numCache>
            </c:numRef>
          </c:xVal>
          <c:yVal>
            <c:numRef>
              <c:f>'rb4 (2)'!$G$2:$G$25</c:f>
              <c:numCache>
                <c:formatCode>0.00</c:formatCode>
                <c:ptCount val="24"/>
                <c:pt idx="0">
                  <c:v>0.37213345448174012</c:v>
                </c:pt>
                <c:pt idx="1">
                  <c:v>0.37193686731953873</c:v>
                </c:pt>
                <c:pt idx="2">
                  <c:v>0.35553909998315475</c:v>
                </c:pt>
                <c:pt idx="3">
                  <c:v>0.34504163612919808</c:v>
                </c:pt>
                <c:pt idx="4">
                  <c:v>0.2939597019376976</c:v>
                </c:pt>
                <c:pt idx="5">
                  <c:v>0.2554384317380774</c:v>
                </c:pt>
                <c:pt idx="6">
                  <c:v>0.25670055942387188</c:v>
                </c:pt>
                <c:pt idx="7">
                  <c:v>0.20593425740585081</c:v>
                </c:pt>
                <c:pt idx="8">
                  <c:v>0.19874325621392255</c:v>
                </c:pt>
                <c:pt idx="9">
                  <c:v>0.18952466016870081</c:v>
                </c:pt>
                <c:pt idx="10">
                  <c:v>0.22512806675311184</c:v>
                </c:pt>
                <c:pt idx="11">
                  <c:v>0.17829782967858968</c:v>
                </c:pt>
                <c:pt idx="12">
                  <c:v>0.16563842221472977</c:v>
                </c:pt>
                <c:pt idx="13">
                  <c:v>0.15952551935538048</c:v>
                </c:pt>
                <c:pt idx="14">
                  <c:v>0.1391267357059659</c:v>
                </c:pt>
                <c:pt idx="15">
                  <c:v>0.13380299381656208</c:v>
                </c:pt>
                <c:pt idx="16">
                  <c:v>0.13454998498988349</c:v>
                </c:pt>
                <c:pt idx="17">
                  <c:v>0.13931564898759144</c:v>
                </c:pt>
                <c:pt idx="18">
                  <c:v>0.13855847809260557</c:v>
                </c:pt>
                <c:pt idx="19">
                  <c:v>0.13009354820397193</c:v>
                </c:pt>
                <c:pt idx="20">
                  <c:v>0.16204393759977731</c:v>
                </c:pt>
                <c:pt idx="21">
                  <c:v>0.14340841229367982</c:v>
                </c:pt>
                <c:pt idx="22">
                  <c:v>0.12041482811609706</c:v>
                </c:pt>
                <c:pt idx="23">
                  <c:v>0.10611536398307773</c:v>
                </c:pt>
              </c:numCache>
            </c:numRef>
          </c:yVal>
        </c:ser>
        <c:axId val="89234048"/>
        <c:axId val="89256704"/>
      </c:scatterChart>
      <c:scatterChart>
        <c:scatterStyle val="smoothMarker"/>
        <c:ser>
          <c:idx val="1"/>
          <c:order val="1"/>
          <c:tx>
            <c:v>Predicted</c:v>
          </c:tx>
          <c:spPr>
            <a:ln w="381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'rb4 (2)'!$A$45:$A$74</c:f>
              <c:numCache>
                <c:formatCode>0.00</c:formatCode>
                <c:ptCount val="30"/>
                <c:pt idx="0">
                  <c:v>3.2</c:v>
                </c:pt>
                <c:pt idx="1">
                  <c:v>3.3000000000000003</c:v>
                </c:pt>
                <c:pt idx="2">
                  <c:v>3.4000000000000004</c:v>
                </c:pt>
                <c:pt idx="3">
                  <c:v>3.5000000000000004</c:v>
                </c:pt>
                <c:pt idx="4">
                  <c:v>3.6000000000000005</c:v>
                </c:pt>
                <c:pt idx="5">
                  <c:v>3.7000000000000006</c:v>
                </c:pt>
                <c:pt idx="6">
                  <c:v>3.8000000000000007</c:v>
                </c:pt>
                <c:pt idx="7">
                  <c:v>3.9000000000000008</c:v>
                </c:pt>
                <c:pt idx="8">
                  <c:v>4.0000000000000009</c:v>
                </c:pt>
                <c:pt idx="9">
                  <c:v>4.1000000000000005</c:v>
                </c:pt>
                <c:pt idx="10">
                  <c:v>4.2</c:v>
                </c:pt>
                <c:pt idx="11">
                  <c:v>4.3</c:v>
                </c:pt>
                <c:pt idx="12">
                  <c:v>4.3999999999999995</c:v>
                </c:pt>
                <c:pt idx="13">
                  <c:v>4.4999999999999991</c:v>
                </c:pt>
                <c:pt idx="14">
                  <c:v>4.5999999999999988</c:v>
                </c:pt>
                <c:pt idx="15">
                  <c:v>4.6999999999999984</c:v>
                </c:pt>
                <c:pt idx="16">
                  <c:v>4.799999999999998</c:v>
                </c:pt>
                <c:pt idx="17">
                  <c:v>4.8999999999999977</c:v>
                </c:pt>
                <c:pt idx="18">
                  <c:v>4.9999999999999973</c:v>
                </c:pt>
                <c:pt idx="19">
                  <c:v>5.099999999999997</c:v>
                </c:pt>
                <c:pt idx="20">
                  <c:v>5.1999999999999966</c:v>
                </c:pt>
                <c:pt idx="21">
                  <c:v>5.2999999999999963</c:v>
                </c:pt>
                <c:pt idx="22">
                  <c:v>5.3999999999999959</c:v>
                </c:pt>
                <c:pt idx="23">
                  <c:v>5.4999999999999956</c:v>
                </c:pt>
                <c:pt idx="24">
                  <c:v>5.5999999999999952</c:v>
                </c:pt>
                <c:pt idx="25">
                  <c:v>5.6999999999999948</c:v>
                </c:pt>
                <c:pt idx="26">
                  <c:v>5.7999999999999945</c:v>
                </c:pt>
                <c:pt idx="27">
                  <c:v>5.8999999999999941</c:v>
                </c:pt>
                <c:pt idx="28">
                  <c:v>5.9999999999999938</c:v>
                </c:pt>
                <c:pt idx="29">
                  <c:v>6.0999999999999934</c:v>
                </c:pt>
              </c:numCache>
            </c:numRef>
          </c:xVal>
          <c:yVal>
            <c:numRef>
              <c:f>'rb4 (2)'!$E$45:$E$74</c:f>
              <c:numCache>
                <c:formatCode>0.00</c:formatCode>
                <c:ptCount val="30"/>
                <c:pt idx="0">
                  <c:v>0.14574272873710009</c:v>
                </c:pt>
                <c:pt idx="1">
                  <c:v>0.14303482277442575</c:v>
                </c:pt>
                <c:pt idx="2">
                  <c:v>0.1404077620172538</c:v>
                </c:pt>
                <c:pt idx="3">
                  <c:v>0.13785685877240761</c:v>
                </c:pt>
                <c:pt idx="4">
                  <c:v>0.13537782159933831</c:v>
                </c:pt>
                <c:pt idx="5">
                  <c:v>0.13296671187078424</c:v>
                </c:pt>
                <c:pt idx="6">
                  <c:v>0.13061990612755406</c:v>
                </c:pt>
                <c:pt idx="7">
                  <c:v>0.1283340633240671</c:v>
                </c:pt>
                <c:pt idx="8">
                  <c:v>0.12610609622144961</c:v>
                </c:pt>
                <c:pt idx="9">
                  <c:v>0.12393314631349692</c:v>
                </c:pt>
                <c:pt idx="10">
                  <c:v>0.12181256177453959</c:v>
                </c:pt>
                <c:pt idx="11">
                  <c:v>0.11974187800244251</c:v>
                </c:pt>
                <c:pt idx="12">
                  <c:v>0.11771880039866905</c:v>
                </c:pt>
                <c:pt idx="13">
                  <c:v>0.11574118908368788</c:v>
                </c:pt>
                <c:pt idx="14">
                  <c:v>0.11380704529243568</c:v>
                </c:pt>
                <c:pt idx="15">
                  <c:v>0.1119144992329909</c:v>
                </c:pt>
                <c:pt idx="16">
                  <c:v>0.11006179922358164</c:v>
                </c:pt>
                <c:pt idx="17">
                  <c:v>0.10824730194974092</c:v>
                </c:pt>
                <c:pt idx="18">
                  <c:v>0.10646946370579921</c:v>
                </c:pt>
                <c:pt idx="19">
                  <c:v>0.10472683250373538</c:v>
                </c:pt>
                <c:pt idx="20">
                  <c:v>0.10301804094831046</c:v>
                </c:pt>
                <c:pt idx="21">
                  <c:v>0.10134179979088936</c:v>
                </c:pt>
                <c:pt idx="22">
                  <c:v>9.9696892085819944E-2</c:v>
                </c:pt>
                <c:pt idx="23">
                  <c:v>9.8082167883018656E-2</c:v>
                </c:pt>
                <c:pt idx="24">
                  <c:v>9.6496539398782971E-2</c:v>
                </c:pt>
                <c:pt idx="25">
                  <c:v>9.4938976614035692E-2</c:v>
                </c:pt>
                <c:pt idx="26">
                  <c:v>9.3408503255391184E-2</c:v>
                </c:pt>
                <c:pt idx="27">
                  <c:v>9.1904193119772798E-2</c:v>
                </c:pt>
                <c:pt idx="28">
                  <c:v>9.0425166707931243E-2</c:v>
                </c:pt>
                <c:pt idx="29">
                  <c:v>8.8970588136224715E-2</c:v>
                </c:pt>
              </c:numCache>
            </c:numRef>
          </c:yVal>
          <c:smooth val="1"/>
        </c:ser>
        <c:axId val="89234048"/>
        <c:axId val="89256704"/>
      </c:scatterChart>
      <c:valAx>
        <c:axId val="89234048"/>
        <c:scaling>
          <c:orientation val="minMax"/>
          <c:max val="6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 b="1" i="0" baseline="0"/>
                  <a:t>Events Per Hr (M)</a:t>
                </a:r>
                <a:endParaRPr lang="en-US" sz="1100"/>
              </a:p>
            </c:rich>
          </c:tx>
        </c:title>
        <c:numFmt formatCode="0.00" sourceLinked="1"/>
        <c:tickLblPos val="nextTo"/>
        <c:crossAx val="89256704"/>
        <c:crosses val="autoZero"/>
        <c:crossBetween val="midCat"/>
      </c:valAx>
      <c:valAx>
        <c:axId val="8925670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Stdv </a:t>
                </a:r>
                <a:r>
                  <a:rPr lang="en-US" baseline="0"/>
                  <a:t>( log( CPU%)  )</a:t>
                </a:r>
                <a:endParaRPr lang="en-US"/>
              </a:p>
            </c:rich>
          </c:tx>
        </c:title>
        <c:numFmt formatCode="0.00" sourceLinked="1"/>
        <c:tickLblPos val="nextTo"/>
        <c:crossAx val="89234048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55</xdr:row>
      <xdr:rowOff>9525</xdr:rowOff>
    </xdr:from>
    <xdr:to>
      <xdr:col>9</xdr:col>
      <xdr:colOff>428625</xdr:colOff>
      <xdr:row>75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1009650</xdr:colOff>
      <xdr:row>7</xdr:row>
      <xdr:rowOff>95250</xdr:rowOff>
    </xdr:from>
    <xdr:to>
      <xdr:col>10</xdr:col>
      <xdr:colOff>0</xdr:colOff>
      <xdr:row>21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361950</xdr:colOff>
      <xdr:row>23</xdr:row>
      <xdr:rowOff>57150</xdr:rowOff>
    </xdr:from>
    <xdr:to>
      <xdr:col>12</xdr:col>
      <xdr:colOff>542925</xdr:colOff>
      <xdr:row>36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224" displayName="Table224" ref="A1:G25" totalsRowShown="0" headerRowDxfId="21" dataDxfId="20" headerRowBorderDxfId="19">
  <autoFilter ref="A1:G25">
    <filterColumn colId="2"/>
    <filterColumn colId="3"/>
    <filterColumn colId="4"/>
    <filterColumn colId="5"/>
    <filterColumn colId="6"/>
  </autoFilter>
  <sortState ref="A2:D25">
    <sortCondition ref="C1:C25"/>
  </sortState>
  <tableColumns count="7">
    <tableColumn id="1" name="Row Labels" dataDxfId="28"/>
    <tableColumn id="3" name="Events per hr (M)" dataDxfId="27">
      <calculatedColumnFormula>Table224[[#This Row],[Events]]/1000000</calculatedColumnFormula>
    </tableColumn>
    <tableColumn id="4" name="Events" dataDxfId="26" dataCellStyle="Comma"/>
    <tableColumn id="5" name="EPS" dataDxfId="25">
      <calculatedColumnFormula>C2/3600</calculatedColumnFormula>
    </tableColumn>
    <tableColumn id="6" name="Lambda" dataDxfId="24">
      <calculatedColumnFormula>SQRT(D2)</calculatedColumnFormula>
    </tableColumn>
    <tableColumn id="7" name="Average of log-cpu" dataDxfId="23"/>
    <tableColumn id="8" name="StdDev of log-cpu" dataDxfId="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03925" displayName="Table203925" ref="A44:I77" totalsRowShown="0" headerRowDxfId="9" dataDxfId="8">
  <autoFilter ref="A44:I77">
    <filterColumn colId="0"/>
    <filterColumn colId="8"/>
  </autoFilter>
  <tableColumns count="9">
    <tableColumn id="10" name="Events per hr (M)" dataDxfId="18"/>
    <tableColumn id="1" name="TPS" dataDxfId="17">
      <calculatedColumnFormula>Table203925[[#This Row],[Events per hr (M)]]/0.0036</calculatedColumnFormula>
    </tableColumn>
    <tableColumn id="2" name="ln(events)" dataDxfId="16">
      <calculatedColumnFormula>LN(Table203925[[#This Row],[Events per hr (M)]])</calculatedColumnFormula>
    </tableColumn>
    <tableColumn id="3" name="log-Mean" dataDxfId="15">
      <calculatedColumnFormula>B45*B45*B45*$B$29+B45*B45*$C$29+B45*$D$29+$E$29</calculatedColumnFormula>
    </tableColumn>
    <tableColumn id="4" name="log-Std" dataDxfId="14">
      <calculatedColumnFormula>$E$38*Table203925[[#This Row],[ln(events)]]+$F$38</calculatedColumnFormula>
    </tableColumn>
    <tableColumn id="5" name="CPU mean" dataDxfId="13">
      <calculatedColumnFormula>EXP(D45+E45*E45/2)</calculatedColumnFormula>
    </tableColumn>
    <tableColumn id="6" name="CPU-std" dataDxfId="12">
      <calculatedColumnFormula>SQRT((EXP(E45*E45)-1)*(EXP(2*D45+E45*E45)))</calculatedColumnFormula>
    </tableColumn>
    <tableColumn id="7" name="CPU mean+3 std" dataDxfId="11">
      <calculatedColumnFormula>F45+3*G45</calculatedColumnFormula>
    </tableColumn>
    <tableColumn id="8" name="Server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2226" displayName="Table2226" ref="K44:Q77" totalsRowShown="0" dataDxfId="0">
  <autoFilter ref="K44:Q77">
    <filterColumn colId="4"/>
    <filterColumn colId="5"/>
    <filterColumn colId="6"/>
  </autoFilter>
  <tableColumns count="7">
    <tableColumn id="1" name="Events per Hr (M)" dataDxfId="7">
      <calculatedColumnFormula>$A45</calculatedColumnFormula>
    </tableColumn>
    <tableColumn id="2" name="Median" dataDxfId="6">
      <calculatedColumnFormula>EXP($D45+L$43*$E45)</calculatedColumnFormula>
    </tableColumn>
    <tableColumn id="5" name="99.90% Minimum performance Level (MPL)" dataDxfId="5">
      <calculatedColumnFormula>EXP($D45+M$43*$E45)</calculatedColumnFormula>
    </tableColumn>
    <tableColumn id="6" name="99.99% Expected Performance Level (EPL)" dataDxfId="4">
      <calculatedColumnFormula>EXP($D45+N$43*$E45)</calculatedColumnFormula>
    </tableColumn>
    <tableColumn id="3" name="97.60% MPL for 1 hr of 24" dataDxfId="3">
      <calculatedColumnFormula>EXP($D45+O$43*$E45)</calculatedColumnFormula>
    </tableColumn>
    <tableColumn id="4" name="99.76% EPL for 1 hr of 24" dataDxfId="2">
      <calculatedColumnFormula>EXP($D45+P$43*$E45)</calculatedColumnFormula>
    </tableColumn>
    <tableColumn id="7" name="Events" dataDxfId="1">
      <calculatedColumnFormula>Table2226[[#This Row],[Events per Hr (M)]]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2"/>
  <sheetViews>
    <sheetView tabSelected="1" topLeftCell="D40" workbookViewId="0">
      <selection activeCell="L69" sqref="L69"/>
    </sheetView>
  </sheetViews>
  <sheetFormatPr defaultRowHeight="15"/>
  <cols>
    <col min="1" max="1" width="12.85546875" customWidth="1"/>
    <col min="2" max="2" width="19.5703125" customWidth="1"/>
    <col min="3" max="3" width="18.5703125" customWidth="1"/>
    <col min="4" max="4" width="11" customWidth="1"/>
    <col min="10" max="10" width="8.42578125" customWidth="1"/>
    <col min="11" max="11" width="9.140625" customWidth="1"/>
    <col min="12" max="12" width="11.7109375" customWidth="1"/>
    <col min="13" max="13" width="15.140625" customWidth="1"/>
    <col min="14" max="14" width="13" customWidth="1"/>
    <col min="17" max="17" width="20.42578125" bestFit="1" customWidth="1"/>
    <col min="18" max="18" width="13.28515625" bestFit="1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>
        <v>3</v>
      </c>
      <c r="B2" s="4">
        <f>Table224[[#This Row],[Events]]/1000000</f>
        <v>0.1975044</v>
      </c>
      <c r="C2" s="5">
        <v>197504.4</v>
      </c>
      <c r="D2" s="6">
        <f>C2/3600</f>
        <v>54.862333333333332</v>
      </c>
      <c r="E2" s="7">
        <f>SQRT(D2)</f>
        <v>7.4069111870828674</v>
      </c>
      <c r="F2" s="4">
        <v>2.4463825315285406</v>
      </c>
      <c r="G2" s="4">
        <v>0.37213345448174012</v>
      </c>
    </row>
    <row r="3" spans="1:7">
      <c r="A3" s="3">
        <v>2</v>
      </c>
      <c r="B3" s="4">
        <f>Table224[[#This Row],[Events]]/1000000</f>
        <v>0.21165963333333332</v>
      </c>
      <c r="C3" s="5">
        <v>211659.63333333333</v>
      </c>
      <c r="D3" s="6">
        <f t="shared" ref="D3:D25" si="0">C3/3600</f>
        <v>58.794342592592592</v>
      </c>
      <c r="E3" s="7">
        <f t="shared" ref="E3:E25" si="1">SQRT(D3)</f>
        <v>7.6677469045732458</v>
      </c>
      <c r="F3" s="4">
        <v>2.5047252214803928</v>
      </c>
      <c r="G3" s="4">
        <v>0.37193686731953873</v>
      </c>
    </row>
    <row r="4" spans="1:7">
      <c r="A4" s="3">
        <v>1</v>
      </c>
      <c r="B4" s="4">
        <f>Table224[[#This Row],[Events]]/1000000</f>
        <v>0.33129406666666666</v>
      </c>
      <c r="C4" s="5">
        <v>331294.06666666665</v>
      </c>
      <c r="D4" s="6">
        <f t="shared" si="0"/>
        <v>92.026129629629622</v>
      </c>
      <c r="E4" s="7">
        <f t="shared" si="1"/>
        <v>9.5930250510268973</v>
      </c>
      <c r="F4" s="4">
        <v>2.6119720823506252</v>
      </c>
      <c r="G4" s="4">
        <v>0.35553909998315475</v>
      </c>
    </row>
    <row r="5" spans="1:7">
      <c r="A5" s="3">
        <v>4</v>
      </c>
      <c r="B5" s="4">
        <f>Table224[[#This Row],[Events]]/1000000</f>
        <v>0.39698836666666665</v>
      </c>
      <c r="C5" s="5">
        <v>396988.36666666664</v>
      </c>
      <c r="D5" s="6">
        <f t="shared" si="0"/>
        <v>110.27454629629629</v>
      </c>
      <c r="E5" s="7">
        <f t="shared" si="1"/>
        <v>10.501168806199447</v>
      </c>
      <c r="F5" s="4">
        <v>2.6252357175420227</v>
      </c>
      <c r="G5" s="4">
        <v>0.34504163612919808</v>
      </c>
    </row>
    <row r="6" spans="1:7">
      <c r="A6" s="3">
        <v>0</v>
      </c>
      <c r="B6" s="4">
        <f>Table224[[#This Row],[Events]]/1000000</f>
        <v>0.59518893333333334</v>
      </c>
      <c r="C6" s="5">
        <v>595188.93333333335</v>
      </c>
      <c r="D6" s="6">
        <f t="shared" si="0"/>
        <v>165.33025925925926</v>
      </c>
      <c r="E6" s="7">
        <f t="shared" si="1"/>
        <v>12.858081476614592</v>
      </c>
      <c r="F6" s="4">
        <v>2.8098111622269855</v>
      </c>
      <c r="G6" s="4">
        <v>0.2939597019376976</v>
      </c>
    </row>
    <row r="7" spans="1:7">
      <c r="A7" s="3">
        <v>5</v>
      </c>
      <c r="B7" s="4">
        <f>Table224[[#This Row],[Events]]/1000000</f>
        <v>1.0459385000000001</v>
      </c>
      <c r="C7" s="5">
        <v>1045938.5</v>
      </c>
      <c r="D7" s="6">
        <f t="shared" si="0"/>
        <v>290.5384722222222</v>
      </c>
      <c r="E7" s="7">
        <f t="shared" si="1"/>
        <v>17.04518912251261</v>
      </c>
      <c r="F7" s="4">
        <v>3.0329415922794456</v>
      </c>
      <c r="G7" s="4">
        <v>0.2554384317380774</v>
      </c>
    </row>
    <row r="8" spans="1:7">
      <c r="A8" s="3">
        <v>23</v>
      </c>
      <c r="B8" s="4">
        <f>Table224[[#This Row],[Events]]/1000000</f>
        <v>1.0809855333333334</v>
      </c>
      <c r="C8" s="5">
        <v>1080985.5333333334</v>
      </c>
      <c r="D8" s="6">
        <f t="shared" si="0"/>
        <v>300.27375925925929</v>
      </c>
      <c r="E8" s="7">
        <f t="shared" si="1"/>
        <v>17.328409022736601</v>
      </c>
      <c r="F8" s="4">
        <v>3.089438638018879</v>
      </c>
      <c r="G8" s="4">
        <v>0.25670055942387188</v>
      </c>
    </row>
    <row r="9" spans="1:7">
      <c r="A9" s="3">
        <v>6</v>
      </c>
      <c r="B9" s="4">
        <f>Table224[[#This Row],[Events]]/1000000</f>
        <v>1.5360558666666666</v>
      </c>
      <c r="C9" s="5">
        <v>1536055.8666666667</v>
      </c>
      <c r="D9" s="6">
        <f t="shared" si="0"/>
        <v>426.68218518518518</v>
      </c>
      <c r="E9" s="7">
        <f t="shared" si="1"/>
        <v>20.656286819880894</v>
      </c>
      <c r="F9" s="4">
        <v>3.2592382954858143</v>
      </c>
      <c r="G9" s="4">
        <v>0.20593425740585081</v>
      </c>
    </row>
    <row r="10" spans="1:7">
      <c r="A10" s="3">
        <v>7</v>
      </c>
      <c r="B10" s="4">
        <f>Table224[[#This Row],[Events]]/1000000</f>
        <v>1.8363363666666668</v>
      </c>
      <c r="C10" s="5">
        <v>1836336.3666666667</v>
      </c>
      <c r="D10" s="6">
        <f t="shared" si="0"/>
        <v>510.09343518518517</v>
      </c>
      <c r="E10" s="7">
        <f t="shared" si="1"/>
        <v>22.585248176302716</v>
      </c>
      <c r="F10" s="4">
        <v>3.3846727280120184</v>
      </c>
      <c r="G10" s="4">
        <v>0.19874325621392255</v>
      </c>
    </row>
    <row r="11" spans="1:7">
      <c r="A11" s="3">
        <v>8</v>
      </c>
      <c r="B11" s="4">
        <f>Table224[[#This Row],[Events]]/1000000</f>
        <v>2.1217391666666665</v>
      </c>
      <c r="C11" s="5">
        <v>2121739.1666666665</v>
      </c>
      <c r="D11" s="6">
        <f t="shared" si="0"/>
        <v>589.37199074074067</v>
      </c>
      <c r="E11" s="7">
        <f t="shared" si="1"/>
        <v>24.276984795084019</v>
      </c>
      <c r="F11" s="4">
        <v>3.5030755719166526</v>
      </c>
      <c r="G11" s="4">
        <v>0.18952466016870081</v>
      </c>
    </row>
    <row r="12" spans="1:7">
      <c r="A12" s="3">
        <v>22</v>
      </c>
      <c r="B12" s="4">
        <f>Table224[[#This Row],[Events]]/1000000</f>
        <v>2.1707995000000002</v>
      </c>
      <c r="C12" s="5">
        <v>2170799.5</v>
      </c>
      <c r="D12" s="6">
        <f t="shared" si="0"/>
        <v>602.99986111111116</v>
      </c>
      <c r="E12" s="7">
        <f t="shared" si="1"/>
        <v>24.556055487620792</v>
      </c>
      <c r="F12" s="4">
        <v>3.494761447004938</v>
      </c>
      <c r="G12" s="4">
        <v>0.22512806675311184</v>
      </c>
    </row>
    <row r="13" spans="1:7">
      <c r="A13" s="3">
        <v>9</v>
      </c>
      <c r="B13" s="4">
        <f>Table224[[#This Row],[Events]]/1000000</f>
        <v>2.3618616551724139</v>
      </c>
      <c r="C13" s="5">
        <v>2361861.6551724137</v>
      </c>
      <c r="D13" s="6">
        <f t="shared" si="0"/>
        <v>656.07268199233715</v>
      </c>
      <c r="E13" s="7">
        <f t="shared" si="1"/>
        <v>25.613915787952788</v>
      </c>
      <c r="F13" s="4">
        <v>3.5816119112089195</v>
      </c>
      <c r="G13" s="4">
        <v>0.17829782967858968</v>
      </c>
    </row>
    <row r="14" spans="1:7">
      <c r="A14" s="3">
        <v>10</v>
      </c>
      <c r="B14" s="4">
        <f>Table224[[#This Row],[Events]]/1000000</f>
        <v>2.5027048333333335</v>
      </c>
      <c r="C14" s="5">
        <v>2502704.8333333335</v>
      </c>
      <c r="D14" s="6">
        <f t="shared" si="0"/>
        <v>695.19578703703712</v>
      </c>
      <c r="E14" s="7">
        <f t="shared" si="1"/>
        <v>26.366565704259575</v>
      </c>
      <c r="F14" s="4">
        <v>3.6284161002529416</v>
      </c>
      <c r="G14" s="4">
        <v>0.16563842221472977</v>
      </c>
    </row>
    <row r="15" spans="1:7">
      <c r="A15" s="3">
        <v>11</v>
      </c>
      <c r="B15" s="4">
        <f>Table224[[#This Row],[Events]]/1000000</f>
        <v>2.5883957</v>
      </c>
      <c r="C15" s="5">
        <v>2588395.7000000002</v>
      </c>
      <c r="D15" s="6">
        <f t="shared" si="0"/>
        <v>718.99880555555558</v>
      </c>
      <c r="E15" s="7">
        <f t="shared" si="1"/>
        <v>26.814153082944006</v>
      </c>
      <c r="F15" s="4">
        <v>3.6458570475831706</v>
      </c>
      <c r="G15" s="4">
        <v>0.15952551935538048</v>
      </c>
    </row>
    <row r="16" spans="1:7">
      <c r="A16" s="3">
        <v>13</v>
      </c>
      <c r="B16" s="4">
        <f>Table224[[#This Row],[Events]]/1000000</f>
        <v>2.8291471666666665</v>
      </c>
      <c r="C16" s="5">
        <v>2829147.1666666665</v>
      </c>
      <c r="D16" s="6">
        <f t="shared" si="0"/>
        <v>785.87421296296293</v>
      </c>
      <c r="E16" s="7">
        <f t="shared" si="1"/>
        <v>28.033448110479789</v>
      </c>
      <c r="F16" s="4">
        <v>3.6946725557696585</v>
      </c>
      <c r="G16" s="4">
        <v>0.1391267357059659</v>
      </c>
    </row>
    <row r="17" spans="1:7">
      <c r="A17" s="3">
        <v>15</v>
      </c>
      <c r="B17" s="4">
        <f>Table224[[#This Row],[Events]]/1000000</f>
        <v>2.8584605999999999</v>
      </c>
      <c r="C17" s="5">
        <v>2858460.6</v>
      </c>
      <c r="D17" s="6">
        <f t="shared" si="0"/>
        <v>794.01683333333335</v>
      </c>
      <c r="E17" s="7">
        <f t="shared" si="1"/>
        <v>28.1783043019507</v>
      </c>
      <c r="F17" s="4">
        <v>3.6971136225097547</v>
      </c>
      <c r="G17" s="4">
        <v>0.13380299381656208</v>
      </c>
    </row>
    <row r="18" spans="1:7">
      <c r="A18" s="3">
        <v>14</v>
      </c>
      <c r="B18" s="4">
        <f>Table224[[#This Row],[Events]]/1000000</f>
        <v>2.8612277333333336</v>
      </c>
      <c r="C18" s="5">
        <v>2861227.7333333334</v>
      </c>
      <c r="D18" s="6">
        <f t="shared" si="0"/>
        <v>794.7854814814815</v>
      </c>
      <c r="E18" s="7">
        <f t="shared" si="1"/>
        <v>28.191940009184922</v>
      </c>
      <c r="F18" s="4">
        <v>3.7059012661191382</v>
      </c>
      <c r="G18" s="4">
        <v>0.13454998498988349</v>
      </c>
    </row>
    <row r="19" spans="1:7">
      <c r="A19" s="3">
        <v>12</v>
      </c>
      <c r="B19" s="4">
        <f>Table224[[#This Row],[Events]]/1000000</f>
        <v>2.8816046666666666</v>
      </c>
      <c r="C19" s="5">
        <v>2881604.6666666665</v>
      </c>
      <c r="D19" s="6">
        <f t="shared" si="0"/>
        <v>800.44574074074069</v>
      </c>
      <c r="E19" s="7">
        <f t="shared" si="1"/>
        <v>28.292149807689423</v>
      </c>
      <c r="F19" s="4">
        <v>3.725551457300619</v>
      </c>
      <c r="G19" s="4">
        <v>0.13931564898759144</v>
      </c>
    </row>
    <row r="20" spans="1:7">
      <c r="A20" s="3">
        <v>17</v>
      </c>
      <c r="B20" s="4">
        <f>Table224[[#This Row],[Events]]/1000000</f>
        <v>2.8939556333333334</v>
      </c>
      <c r="C20" s="5">
        <v>2893955.6333333333</v>
      </c>
      <c r="D20" s="6">
        <f t="shared" si="0"/>
        <v>803.87656481481486</v>
      </c>
      <c r="E20" s="7">
        <f t="shared" si="1"/>
        <v>28.3527170622996</v>
      </c>
      <c r="F20" s="4">
        <v>3.7305284710325917</v>
      </c>
      <c r="G20" s="4">
        <v>0.13855847809260557</v>
      </c>
    </row>
    <row r="21" spans="1:7">
      <c r="A21" s="3">
        <v>16</v>
      </c>
      <c r="B21" s="4">
        <f>Table224[[#This Row],[Events]]/1000000</f>
        <v>2.9478751333333335</v>
      </c>
      <c r="C21" s="5">
        <v>2947875.1333333333</v>
      </c>
      <c r="D21" s="6">
        <f t="shared" si="0"/>
        <v>818.85420370370366</v>
      </c>
      <c r="E21" s="7">
        <f t="shared" si="1"/>
        <v>28.615628661689467</v>
      </c>
      <c r="F21" s="4">
        <v>3.7200604577187022</v>
      </c>
      <c r="G21" s="4">
        <v>0.13009354820397193</v>
      </c>
    </row>
    <row r="22" spans="1:7">
      <c r="A22" s="3">
        <v>21</v>
      </c>
      <c r="B22" s="4">
        <f>Table224[[#This Row],[Events]]/1000000</f>
        <v>3.5558004333333333</v>
      </c>
      <c r="C22" s="5">
        <v>3555800.4333333331</v>
      </c>
      <c r="D22" s="6">
        <f t="shared" si="0"/>
        <v>987.72234259259255</v>
      </c>
      <c r="E22" s="7">
        <f t="shared" si="1"/>
        <v>31.428050251210184</v>
      </c>
      <c r="F22" s="4">
        <v>3.8474514985993364</v>
      </c>
      <c r="G22" s="4">
        <v>0.16204393759977731</v>
      </c>
    </row>
    <row r="23" spans="1:7">
      <c r="A23" s="3">
        <v>18</v>
      </c>
      <c r="B23" s="4">
        <f>Table224[[#This Row],[Events]]/1000000</f>
        <v>3.8927381724137931</v>
      </c>
      <c r="C23" s="5">
        <v>3892738.1724137929</v>
      </c>
      <c r="D23" s="6">
        <f t="shared" si="0"/>
        <v>1081.3161590038314</v>
      </c>
      <c r="E23" s="7">
        <f t="shared" si="1"/>
        <v>32.883372074710216</v>
      </c>
      <c r="F23" s="4">
        <v>3.9732613724290986</v>
      </c>
      <c r="G23" s="4">
        <v>0.14340841229367982</v>
      </c>
    </row>
    <row r="24" spans="1:7">
      <c r="A24" s="3">
        <v>20</v>
      </c>
      <c r="B24" s="4">
        <f>Table224[[#This Row],[Events]]/1000000</f>
        <v>4.533158733333333</v>
      </c>
      <c r="C24" s="5">
        <v>4533158.7333333334</v>
      </c>
      <c r="D24" s="6">
        <f t="shared" si="0"/>
        <v>1259.2107592592592</v>
      </c>
      <c r="E24" s="7">
        <f t="shared" si="1"/>
        <v>35.485359787654112</v>
      </c>
      <c r="F24" s="4">
        <v>4.068792900623758</v>
      </c>
      <c r="G24" s="4">
        <v>0.12041482811609706</v>
      </c>
    </row>
    <row r="25" spans="1:7">
      <c r="A25" s="3">
        <v>19</v>
      </c>
      <c r="B25" s="4">
        <f>Table224[[#This Row],[Events]]/1000000</f>
        <v>4.6744309666666668</v>
      </c>
      <c r="C25" s="5">
        <v>4674430.9666666668</v>
      </c>
      <c r="D25" s="6">
        <f t="shared" si="0"/>
        <v>1298.4530462962964</v>
      </c>
      <c r="E25" s="7">
        <f t="shared" si="1"/>
        <v>36.034053980870603</v>
      </c>
      <c r="F25" s="4">
        <v>4.1059308432539696</v>
      </c>
      <c r="G25" s="4">
        <v>0.10611536398307773</v>
      </c>
    </row>
    <row r="27" spans="1:7" ht="18.75">
      <c r="A27" s="8" t="s">
        <v>7</v>
      </c>
      <c r="B27" s="4"/>
      <c r="C27" s="4"/>
      <c r="D27" s="6"/>
    </row>
    <row r="28" spans="1:7">
      <c r="B28" s="9" t="s">
        <v>8</v>
      </c>
      <c r="C28" s="10" t="s">
        <v>9</v>
      </c>
      <c r="D28" s="10" t="s">
        <v>10</v>
      </c>
      <c r="E28" s="11" t="s">
        <v>11</v>
      </c>
    </row>
    <row r="29" spans="1:7">
      <c r="A29" s="12" t="s">
        <v>12</v>
      </c>
      <c r="B29" s="13">
        <f t="array" ref="B29:E33">LINEST(F2:F25,D2:D25^{1,2,3},TRUE,TRUE)</f>
        <v>6.9689835644253739E-10</v>
      </c>
      <c r="C29" s="13">
        <v>-2.1837094337736449E-6</v>
      </c>
      <c r="D29" s="13">
        <v>3.0334062808380995E-3</v>
      </c>
      <c r="E29" s="3">
        <v>2.3281826331729558</v>
      </c>
    </row>
    <row r="30" spans="1:7">
      <c r="A30" s="12" t="s">
        <v>13</v>
      </c>
      <c r="B30" s="3">
        <v>1.0570362186254539E-10</v>
      </c>
      <c r="C30" s="3">
        <v>2.1611978807562258E-7</v>
      </c>
      <c r="D30" s="3">
        <v>1.2006598107197565E-4</v>
      </c>
      <c r="E30" s="3">
        <v>1.5814894205579046E-2</v>
      </c>
    </row>
    <row r="31" spans="1:7">
      <c r="A31" s="12" t="s">
        <v>14</v>
      </c>
      <c r="B31" s="3">
        <v>0.9985418213295788</v>
      </c>
      <c r="C31" s="3">
        <v>2.0482649654952924E-2</v>
      </c>
      <c r="D31" s="3" t="e">
        <v>#N/A</v>
      </c>
      <c r="E31" s="3" t="e">
        <v>#N/A</v>
      </c>
    </row>
    <row r="32" spans="1:7">
      <c r="A32" s="12" t="s">
        <v>15</v>
      </c>
      <c r="B32" s="3">
        <v>4565.2467770688008</v>
      </c>
      <c r="C32" s="3">
        <v>20</v>
      </c>
      <c r="D32" s="3" t="e">
        <v>#N/A</v>
      </c>
      <c r="E32" s="3" t="e">
        <v>#N/A</v>
      </c>
    </row>
    <row r="33" spans="1:17">
      <c r="A33" s="12" t="s">
        <v>16</v>
      </c>
      <c r="B33" s="3">
        <v>5.7458963384421819</v>
      </c>
      <c r="C33" s="3">
        <v>8.3907787377508619E-3</v>
      </c>
      <c r="D33" s="3" t="e">
        <v>#N/A</v>
      </c>
      <c r="E33" s="3" t="e">
        <v>#N/A</v>
      </c>
    </row>
    <row r="34" spans="1:17">
      <c r="A34" s="12"/>
      <c r="B34" s="14"/>
      <c r="C34" s="14"/>
      <c r="D34" s="14"/>
    </row>
    <row r="35" spans="1:17" ht="18.75">
      <c r="A35" s="8" t="s">
        <v>17</v>
      </c>
      <c r="B35" s="14"/>
      <c r="C35" s="14"/>
      <c r="D35" s="14"/>
    </row>
    <row r="36" spans="1:17" ht="18.75">
      <c r="A36" s="8"/>
      <c r="B36" s="15" t="s">
        <v>10</v>
      </c>
      <c r="C36" s="15" t="s">
        <v>11</v>
      </c>
      <c r="D36" s="14"/>
    </row>
    <row r="37" spans="1:17">
      <c r="A37" s="12" t="s">
        <v>18</v>
      </c>
      <c r="B37">
        <f t="array" ref="B37:C41">LINEST(G2:G25,E2:E25,TRUE,TRUE)</f>
        <v>-9.6620809708760618E-3</v>
      </c>
      <c r="C37">
        <v>0.42999175426087222</v>
      </c>
    </row>
    <row r="38" spans="1:17">
      <c r="A38" s="12" t="s">
        <v>13</v>
      </c>
      <c r="B38">
        <v>5.1944406353045974E-4</v>
      </c>
      <c r="C38">
        <v>1.2853866097410996E-2</v>
      </c>
      <c r="E38">
        <v>-8.7999999999999995E-2</v>
      </c>
      <c r="F38">
        <v>0.24809999999999999</v>
      </c>
    </row>
    <row r="39" spans="1:17">
      <c r="A39" s="12" t="s">
        <v>14</v>
      </c>
      <c r="B39">
        <v>0.94021579572521419</v>
      </c>
      <c r="C39">
        <v>2.1335079485291234E-2</v>
      </c>
    </row>
    <row r="40" spans="1:17" ht="18.75">
      <c r="A40" s="12" t="s">
        <v>15</v>
      </c>
      <c r="B40">
        <v>345.99017845719766</v>
      </c>
      <c r="C40">
        <v>22</v>
      </c>
      <c r="L40" s="8" t="s">
        <v>19</v>
      </c>
      <c r="N40" s="8"/>
      <c r="O40" s="8" t="s">
        <v>20</v>
      </c>
    </row>
    <row r="41" spans="1:17">
      <c r="A41" s="12" t="s">
        <v>16</v>
      </c>
      <c r="B41">
        <v>0.15748975273370155</v>
      </c>
      <c r="C41">
        <v>1.0014083566161288E-2</v>
      </c>
    </row>
    <row r="42" spans="1:17">
      <c r="A42" s="12"/>
      <c r="K42" t="s">
        <v>21</v>
      </c>
      <c r="L42" s="16">
        <v>0.5</v>
      </c>
      <c r="M42" s="17">
        <v>0.999</v>
      </c>
      <c r="N42" s="17">
        <v>0.99990000000000001</v>
      </c>
      <c r="O42" s="18">
        <f>1-(1-M42)*24</f>
        <v>0.97599999999999998</v>
      </c>
      <c r="P42" s="18">
        <f>1-(1-N42)*24</f>
        <v>0.99760000000000026</v>
      </c>
    </row>
    <row r="43" spans="1:17" ht="18.75">
      <c r="A43" s="8" t="s">
        <v>22</v>
      </c>
      <c r="K43" t="s">
        <v>23</v>
      </c>
      <c r="L43">
        <v>0</v>
      </c>
      <c r="M43">
        <v>3.09</v>
      </c>
      <c r="N43">
        <v>3.71</v>
      </c>
      <c r="O43">
        <v>1.98</v>
      </c>
      <c r="P43">
        <v>2.82</v>
      </c>
    </row>
    <row r="44" spans="1:17">
      <c r="A44" s="13" t="s">
        <v>1</v>
      </c>
      <c r="B44" s="13" t="s">
        <v>24</v>
      </c>
      <c r="C44" s="3" t="s">
        <v>25</v>
      </c>
      <c r="D44" s="3" t="s">
        <v>26</v>
      </c>
      <c r="E44" s="3" t="s">
        <v>27</v>
      </c>
      <c r="F44" s="3" t="s">
        <v>28</v>
      </c>
      <c r="G44" s="3" t="s">
        <v>29</v>
      </c>
      <c r="H44" s="3" t="s">
        <v>30</v>
      </c>
      <c r="I44" s="3" t="s">
        <v>31</v>
      </c>
      <c r="J44" s="3"/>
      <c r="K44" s="3" t="s">
        <v>32</v>
      </c>
      <c r="L44" s="3" t="s">
        <v>33</v>
      </c>
      <c r="M44" t="s">
        <v>34</v>
      </c>
      <c r="N44" t="s">
        <v>35</v>
      </c>
      <c r="O44" t="s">
        <v>36</v>
      </c>
      <c r="P44" t="s">
        <v>37</v>
      </c>
      <c r="Q44" t="s">
        <v>2</v>
      </c>
    </row>
    <row r="45" spans="1:17">
      <c r="A45" s="4">
        <v>3.2</v>
      </c>
      <c r="B45" s="6">
        <f>Table203925[[#This Row],[Events per hr (M)]]/0.0036</f>
        <v>888.88888888888891</v>
      </c>
      <c r="C45" s="7">
        <f>LN(Table203925[[#This Row],[Events per hr (M)]])</f>
        <v>1.1631508098056809</v>
      </c>
      <c r="D45" s="4">
        <f t="shared" ref="D45:D77" si="2">B45*B45*B45*$B$29+B45*B45*$C$29+B45*$D$29+$E$29</f>
        <v>3.7885977149672603</v>
      </c>
      <c r="E45" s="4">
        <f>$E$38*Table203925[[#This Row],[ln(events)]]+$F$38</f>
        <v>0.14574272873710009</v>
      </c>
      <c r="F45" s="4">
        <f>EXP(D45+E45*E45/2)</f>
        <v>44.666250159728513</v>
      </c>
      <c r="G45" s="4">
        <f>SQRT((EXP(E45*E45)-1)*(EXP(2*D45+E45*E45)))</f>
        <v>6.5445031142625929</v>
      </c>
      <c r="H45" s="4">
        <f>F45+3*G45</f>
        <v>64.299759502516295</v>
      </c>
      <c r="I45" s="6">
        <v>4</v>
      </c>
      <c r="J45" s="4"/>
      <c r="K45" s="4">
        <f>$A45</f>
        <v>3.2</v>
      </c>
      <c r="L45" s="4">
        <f t="shared" ref="L45:P64" si="3">EXP($D45+L$43*$E45)</f>
        <v>44.194383680907414</v>
      </c>
      <c r="M45" s="4">
        <f t="shared" si="3"/>
        <v>69.334508940697205</v>
      </c>
      <c r="N45" s="4">
        <f t="shared" si="3"/>
        <v>75.891389950682353</v>
      </c>
      <c r="O45" s="4">
        <f t="shared" si="3"/>
        <v>58.978225582698371</v>
      </c>
      <c r="P45" s="4">
        <f t="shared" si="3"/>
        <v>66.659142566352983</v>
      </c>
      <c r="Q45" s="4">
        <f>Table2226[[#This Row],[Events per Hr (M)]]</f>
        <v>3.2</v>
      </c>
    </row>
    <row r="46" spans="1:17">
      <c r="A46" s="4">
        <f>A45+0.1</f>
        <v>3.3000000000000003</v>
      </c>
      <c r="B46" s="6">
        <f>Table203925[[#This Row],[Events per hr (M)]]/0.0036</f>
        <v>916.66666666666674</v>
      </c>
      <c r="C46" s="7">
        <f>LN(Table203925[[#This Row],[Events per hr (M)]])</f>
        <v>1.1939224684724346</v>
      </c>
      <c r="D46" s="4">
        <f t="shared" si="2"/>
        <v>3.8106717323820036</v>
      </c>
      <c r="E46" s="4">
        <f>$E$38*Table203925[[#This Row],[ln(events)]]+$F$38</f>
        <v>0.14303482277442575</v>
      </c>
      <c r="F46" s="4">
        <f t="shared" ref="F46:F77" si="4">EXP(D46+E46*E46/2)</f>
        <v>45.645325935129449</v>
      </c>
      <c r="G46" s="4">
        <f t="shared" ref="G46:G77" si="5">SQRT((EXP(E46*E46)-1)*(EXP(2*D46+E46*E46)))</f>
        <v>6.5624073549208761</v>
      </c>
      <c r="H46" s="4">
        <f t="shared" ref="H46:H77" si="6">F46+3*G46</f>
        <v>65.332547999892085</v>
      </c>
      <c r="I46" s="6">
        <v>4</v>
      </c>
      <c r="J46" s="4"/>
      <c r="K46" s="4">
        <f t="shared" ref="K46:K77" si="7">$A46</f>
        <v>3.3000000000000003</v>
      </c>
      <c r="L46" s="4">
        <f t="shared" si="3"/>
        <v>45.180778066937833</v>
      </c>
      <c r="M46" s="4">
        <f t="shared" si="3"/>
        <v>70.291391303605423</v>
      </c>
      <c r="N46" s="4">
        <f t="shared" si="3"/>
        <v>76.809699279033438</v>
      </c>
      <c r="O46" s="4">
        <f t="shared" si="3"/>
        <v>59.972173609758265</v>
      </c>
      <c r="P46" s="4">
        <f t="shared" si="3"/>
        <v>67.628529808697664</v>
      </c>
      <c r="Q46" s="4">
        <f>Table2226[[#This Row],[Events per Hr (M)]]</f>
        <v>3.3000000000000003</v>
      </c>
    </row>
    <row r="47" spans="1:17">
      <c r="A47" s="4">
        <f t="shared" ref="A47:A77" si="8">A46+0.1</f>
        <v>3.4000000000000004</v>
      </c>
      <c r="B47" s="6">
        <f>Table203925[[#This Row],[Events per hr (M)]]/0.0036</f>
        <v>944.44444444444457</v>
      </c>
      <c r="C47" s="7">
        <f>LN(Table203925[[#This Row],[Events per hr (M)]])</f>
        <v>1.2237754316221159</v>
      </c>
      <c r="D47" s="4">
        <f t="shared" si="2"/>
        <v>3.8323333440042209</v>
      </c>
      <c r="E47" s="4">
        <f>$E$38*Table203925[[#This Row],[ln(events)]]+$F$38</f>
        <v>0.1404077620172538</v>
      </c>
      <c r="F47" s="4">
        <f t="shared" si="4"/>
        <v>46.627500838926778</v>
      </c>
      <c r="G47" s="4">
        <f t="shared" si="5"/>
        <v>6.5792627289779499</v>
      </c>
      <c r="H47" s="4">
        <f t="shared" si="6"/>
        <v>66.365289025860619</v>
      </c>
      <c r="I47" s="6">
        <v>4</v>
      </c>
      <c r="J47" s="4"/>
      <c r="K47" s="4">
        <f t="shared" si="7"/>
        <v>3.4000000000000004</v>
      </c>
      <c r="L47" s="4">
        <f t="shared" si="3"/>
        <v>46.1701434728203</v>
      </c>
      <c r="M47" s="4">
        <f t="shared" si="3"/>
        <v>71.249893801154386</v>
      </c>
      <c r="N47" s="4">
        <f t="shared" si="3"/>
        <v>77.730377601294819</v>
      </c>
      <c r="O47" s="4">
        <f t="shared" si="3"/>
        <v>60.967486434225741</v>
      </c>
      <c r="P47" s="4">
        <f t="shared" si="3"/>
        <v>68.599361896814926</v>
      </c>
      <c r="Q47" s="4">
        <f>Table2226[[#This Row],[Events per Hr (M)]]</f>
        <v>3.4000000000000004</v>
      </c>
    </row>
    <row r="48" spans="1:17">
      <c r="A48" s="4">
        <f t="shared" si="8"/>
        <v>3.5000000000000004</v>
      </c>
      <c r="B48" s="6">
        <f>Table203925[[#This Row],[Events per hr (M)]]/0.0036</f>
        <v>972.2222222222224</v>
      </c>
      <c r="C48" s="7">
        <f>LN(Table203925[[#This Row],[Events per hr (M)]])</f>
        <v>1.2527629684953681</v>
      </c>
      <c r="D48" s="4">
        <f t="shared" si="2"/>
        <v>3.8536721715361297</v>
      </c>
      <c r="E48" s="4">
        <f>$E$38*Table203925[[#This Row],[ln(events)]]+$F$38</f>
        <v>0.13785685877240761</v>
      </c>
      <c r="F48" s="4">
        <f t="shared" si="4"/>
        <v>47.616266130415127</v>
      </c>
      <c r="G48" s="4">
        <f t="shared" si="5"/>
        <v>6.59554020185616</v>
      </c>
      <c r="H48" s="4">
        <f t="shared" si="6"/>
        <v>67.4028867359836</v>
      </c>
      <c r="I48" s="6">
        <v>4</v>
      </c>
      <c r="J48" s="4"/>
      <c r="K48" s="4">
        <f t="shared" si="7"/>
        <v>3.5000000000000004</v>
      </c>
      <c r="L48" s="4">
        <f t="shared" si="3"/>
        <v>47.165947056027527</v>
      </c>
      <c r="M48" s="4">
        <f t="shared" si="3"/>
        <v>72.215150538804934</v>
      </c>
      <c r="N48" s="4">
        <f t="shared" si="3"/>
        <v>78.658926343800601</v>
      </c>
      <c r="O48" s="4">
        <f t="shared" si="3"/>
        <v>61.968658669620524</v>
      </c>
      <c r="P48" s="4">
        <f t="shared" si="3"/>
        <v>69.576614566607674</v>
      </c>
      <c r="Q48" s="4">
        <f>Table2226[[#This Row],[Events per Hr (M)]]</f>
        <v>3.5000000000000004</v>
      </c>
    </row>
    <row r="49" spans="1:17">
      <c r="A49" s="4">
        <f t="shared" si="8"/>
        <v>3.6000000000000005</v>
      </c>
      <c r="B49" s="6">
        <f>Table203925[[#This Row],[Events per hr (M)]]/0.0036</f>
        <v>1000.0000000000002</v>
      </c>
      <c r="C49" s="7">
        <f>LN(Table203925[[#This Row],[Events per hr (M)]])</f>
        <v>1.2809338454620645</v>
      </c>
      <c r="D49" s="4">
        <f t="shared" si="2"/>
        <v>3.8747778366799479</v>
      </c>
      <c r="E49" s="4">
        <f>$E$38*Table203925[[#This Row],[ln(events)]]+$F$38</f>
        <v>0.13537782159933831</v>
      </c>
      <c r="F49" s="4">
        <f t="shared" si="4"/>
        <v>48.61545157267647</v>
      </c>
      <c r="G49" s="4">
        <f t="shared" si="5"/>
        <v>6.6117242139018906</v>
      </c>
      <c r="H49" s="4">
        <f t="shared" si="6"/>
        <v>68.450624214382145</v>
      </c>
      <c r="I49" s="6">
        <v>4</v>
      </c>
      <c r="J49" s="4"/>
      <c r="K49" s="4">
        <f t="shared" si="7"/>
        <v>3.6000000000000005</v>
      </c>
      <c r="L49" s="4">
        <f t="shared" si="3"/>
        <v>48.171995051854999</v>
      </c>
      <c r="M49" s="4">
        <f t="shared" si="3"/>
        <v>73.192671908913482</v>
      </c>
      <c r="N49" s="4">
        <f t="shared" si="3"/>
        <v>79.601230781782334</v>
      </c>
      <c r="O49" s="4">
        <f t="shared" si="3"/>
        <v>62.980548417979087</v>
      </c>
      <c r="P49" s="4">
        <f t="shared" si="3"/>
        <v>70.565636691399263</v>
      </c>
      <c r="Q49" s="4">
        <f>Table2226[[#This Row],[Events per Hr (M)]]</f>
        <v>3.6000000000000005</v>
      </c>
    </row>
    <row r="50" spans="1:17">
      <c r="A50" s="4">
        <f t="shared" si="8"/>
        <v>3.7000000000000006</v>
      </c>
      <c r="B50" s="6">
        <f>Table203925[[#This Row],[Events per hr (M)]]/0.0036</f>
        <v>1027.7777777777781</v>
      </c>
      <c r="C50" s="7">
        <f>LN(Table203925[[#This Row],[Events per hr (M)]])</f>
        <v>1.3083328196501789</v>
      </c>
      <c r="D50" s="4">
        <f t="shared" si="2"/>
        <v>3.8957399611378927</v>
      </c>
      <c r="E50" s="4">
        <f>$E$38*Table203925[[#This Row],[ln(events)]]+$F$38</f>
        <v>0.13296671187078424</v>
      </c>
      <c r="F50" s="4">
        <f t="shared" si="4"/>
        <v>49.629232962932321</v>
      </c>
      <c r="G50" s="4">
        <f t="shared" si="5"/>
        <v>6.6283116219101244</v>
      </c>
      <c r="H50" s="4">
        <f t="shared" si="6"/>
        <v>69.514167828662693</v>
      </c>
      <c r="I50" s="6">
        <v>4</v>
      </c>
      <c r="J50" s="4"/>
      <c r="K50" s="4">
        <f t="shared" si="7"/>
        <v>3.7000000000000006</v>
      </c>
      <c r="L50" s="4">
        <f t="shared" si="3"/>
        <v>49.192440392698231</v>
      </c>
      <c r="M50" s="4">
        <f t="shared" si="3"/>
        <v>74.188347852884931</v>
      </c>
      <c r="N50" s="4">
        <f t="shared" si="3"/>
        <v>80.563561939908624</v>
      </c>
      <c r="O50" s="4">
        <f t="shared" si="3"/>
        <v>64.008382454973585</v>
      </c>
      <c r="P50" s="4">
        <f t="shared" si="3"/>
        <v>71.572154064899934</v>
      </c>
      <c r="Q50" s="4">
        <f>Table2226[[#This Row],[Events per Hr (M)]]</f>
        <v>3.7000000000000006</v>
      </c>
    </row>
    <row r="51" spans="1:17">
      <c r="A51" s="4">
        <f t="shared" si="8"/>
        <v>3.8000000000000007</v>
      </c>
      <c r="B51" s="6">
        <f>Table203925[[#This Row],[Events per hr (M)]]/0.0036</f>
        <v>1055.5555555555559</v>
      </c>
      <c r="C51" s="7">
        <f>LN(Table203925[[#This Row],[Events per hr (M)]])</f>
        <v>1.3350010667323402</v>
      </c>
      <c r="D51" s="4">
        <f t="shared" si="2"/>
        <v>3.9166481666121813</v>
      </c>
      <c r="E51" s="4">
        <f>$E$38*Table203925[[#This Row],[ln(events)]]+$F$38</f>
        <v>0.13061990612755406</v>
      </c>
      <c r="F51" s="4">
        <f t="shared" si="4"/>
        <v>50.662143063484308</v>
      </c>
      <c r="G51" s="4">
        <f t="shared" si="5"/>
        <v>6.6458111094988812</v>
      </c>
      <c r="H51" s="4">
        <f t="shared" si="6"/>
        <v>70.599576391980946</v>
      </c>
      <c r="I51" s="6">
        <v>4</v>
      </c>
      <c r="J51" s="4"/>
      <c r="K51" s="4">
        <f t="shared" si="7"/>
        <v>3.8000000000000007</v>
      </c>
      <c r="L51" s="4">
        <f t="shared" si="3"/>
        <v>50.231793687572022</v>
      </c>
      <c r="M51" s="4">
        <f t="shared" si="3"/>
        <v>75.208456383840442</v>
      </c>
      <c r="N51" s="4">
        <f t="shared" si="3"/>
        <v>81.552584301599325</v>
      </c>
      <c r="O51" s="4">
        <f t="shared" si="3"/>
        <v>65.057765858412395</v>
      </c>
      <c r="P51" s="4">
        <f t="shared" si="3"/>
        <v>72.60227822818355</v>
      </c>
      <c r="Q51" s="4">
        <f>Table2226[[#This Row],[Events per Hr (M)]]</f>
        <v>3.8000000000000007</v>
      </c>
    </row>
    <row r="52" spans="1:17">
      <c r="A52" s="4">
        <f t="shared" si="8"/>
        <v>3.9000000000000008</v>
      </c>
      <c r="B52" s="6">
        <f>Table203925[[#This Row],[Events per hr (M)]]/0.0036</f>
        <v>1083.3333333333335</v>
      </c>
      <c r="C52" s="7">
        <f>LN(Table203925[[#This Row],[Events per hr (M)]])</f>
        <v>1.3609765531356008</v>
      </c>
      <c r="D52" s="4">
        <f t="shared" si="2"/>
        <v>3.9375920748050306</v>
      </c>
      <c r="E52" s="4">
        <f>$E$38*Table203925[[#This Row],[ln(events)]]+$F$38</f>
        <v>0.1283340633240671</v>
      </c>
      <c r="F52" s="4">
        <f t="shared" si="4"/>
        <v>51.71908646767465</v>
      </c>
      <c r="G52" s="4">
        <f t="shared" si="5"/>
        <v>6.6647430751703789</v>
      </c>
      <c r="H52" s="4">
        <f t="shared" si="6"/>
        <v>71.713315693185791</v>
      </c>
      <c r="I52" s="6">
        <v>4</v>
      </c>
      <c r="J52" s="4"/>
      <c r="K52" s="4">
        <f t="shared" si="7"/>
        <v>3.9000000000000008</v>
      </c>
      <c r="L52" s="4">
        <f t="shared" si="3"/>
        <v>51.294938100583707</v>
      </c>
      <c r="M52" s="4">
        <f t="shared" si="3"/>
        <v>76.259677882022999</v>
      </c>
      <c r="N52" s="4">
        <f t="shared" si="3"/>
        <v>82.575369809701087</v>
      </c>
      <c r="O52" s="4">
        <f t="shared" si="3"/>
        <v>66.134696620183945</v>
      </c>
      <c r="P52" s="4">
        <f t="shared" si="3"/>
        <v>73.662520862318189</v>
      </c>
      <c r="Q52" s="4">
        <f>Table2226[[#This Row],[Events per Hr (M)]]</f>
        <v>3.9000000000000008</v>
      </c>
    </row>
    <row r="53" spans="1:17">
      <c r="A53" s="4">
        <f t="shared" si="8"/>
        <v>4.0000000000000009</v>
      </c>
      <c r="B53" s="6">
        <f>Table203925[[#This Row],[Events per hr (M)]]/0.0036</f>
        <v>1111.1111111111113</v>
      </c>
      <c r="C53" s="7">
        <f>LN(Table203925[[#This Row],[Events per hr (M)]])</f>
        <v>1.3862943611198908</v>
      </c>
      <c r="D53" s="4">
        <f t="shared" si="2"/>
        <v>3.9586613074186587</v>
      </c>
      <c r="E53" s="4">
        <f>$E$38*Table203925[[#This Row],[ln(events)]]+$F$38</f>
        <v>0.12610609622144961</v>
      </c>
      <c r="F53" s="4">
        <f t="shared" si="4"/>
        <v>52.805358968148894</v>
      </c>
      <c r="G53" s="4">
        <f t="shared" si="5"/>
        <v>6.6856400080042393</v>
      </c>
      <c r="H53" s="4">
        <f t="shared" si="6"/>
        <v>72.862278992161606</v>
      </c>
      <c r="I53" s="6">
        <v>4</v>
      </c>
      <c r="J53" s="4"/>
      <c r="K53" s="4">
        <f t="shared" si="7"/>
        <v>4.0000000000000009</v>
      </c>
      <c r="L53" s="4">
        <f t="shared" si="3"/>
        <v>52.387148699376155</v>
      </c>
      <c r="M53" s="4">
        <f t="shared" si="3"/>
        <v>77.349115718495497</v>
      </c>
      <c r="N53" s="4">
        <f t="shared" si="3"/>
        <v>83.63941869062127</v>
      </c>
      <c r="O53" s="4">
        <f t="shared" si="3"/>
        <v>67.245585818237132</v>
      </c>
      <c r="P53" s="4">
        <f t="shared" si="3"/>
        <v>74.759814309532246</v>
      </c>
      <c r="Q53" s="4">
        <f>Table2226[[#This Row],[Events per Hr (M)]]</f>
        <v>4.0000000000000009</v>
      </c>
    </row>
    <row r="54" spans="1:17">
      <c r="A54" s="4">
        <f t="shared" si="8"/>
        <v>4.1000000000000005</v>
      </c>
      <c r="B54" s="6">
        <f>Table203925[[#This Row],[Events per hr (M)]]/0.0036</f>
        <v>1138.8888888888891</v>
      </c>
      <c r="C54" s="7">
        <f>LN(Table203925[[#This Row],[Events per hr (M)]])</f>
        <v>1.4109869737102623</v>
      </c>
      <c r="D54" s="4">
        <f t="shared" si="2"/>
        <v>3.9799454861552839</v>
      </c>
      <c r="E54" s="4">
        <f>$E$38*Table203925[[#This Row],[ln(events)]]+$F$38</f>
        <v>0.12393314631349692</v>
      </c>
      <c r="F54" s="4">
        <f t="shared" si="4"/>
        <v>53.926672038365204</v>
      </c>
      <c r="G54" s="4">
        <f t="shared" si="5"/>
        <v>6.709047362777075</v>
      </c>
      <c r="H54" s="4">
        <f t="shared" si="6"/>
        <v>74.053814126696437</v>
      </c>
      <c r="I54" s="6">
        <v>4</v>
      </c>
      <c r="J54" s="4"/>
      <c r="K54" s="4">
        <f t="shared" si="7"/>
        <v>4.1000000000000005</v>
      </c>
      <c r="L54" s="4">
        <f t="shared" si="3"/>
        <v>53.514116887716042</v>
      </c>
      <c r="M54" s="4">
        <f t="shared" si="3"/>
        <v>78.484323818285091</v>
      </c>
      <c r="N54" s="4">
        <f t="shared" si="3"/>
        <v>84.75268769545022</v>
      </c>
      <c r="O54" s="4">
        <f t="shared" si="3"/>
        <v>68.397283973886573</v>
      </c>
      <c r="P54" s="4">
        <f t="shared" si="3"/>
        <v>75.901538839353492</v>
      </c>
      <c r="Q54" s="4">
        <f>Table2226[[#This Row],[Events per Hr (M)]]</f>
        <v>4.1000000000000005</v>
      </c>
    </row>
    <row r="55" spans="1:17">
      <c r="A55" s="4">
        <f t="shared" si="8"/>
        <v>4.2</v>
      </c>
      <c r="B55" s="6">
        <f>Table203925[[#This Row],[Events per hr (M)]]/0.0036</f>
        <v>1166.6666666666667</v>
      </c>
      <c r="C55" s="7">
        <f>LN(Table203925[[#This Row],[Events per hr (M)]])</f>
        <v>1.4350845252893227</v>
      </c>
      <c r="D55" s="4">
        <f t="shared" si="2"/>
        <v>4.0015342327171215</v>
      </c>
      <c r="E55" s="4">
        <f>$E$38*Table203925[[#This Row],[ln(events)]]+$F$38</f>
        <v>0.12181256177453959</v>
      </c>
      <c r="F55" s="4">
        <f t="shared" si="4"/>
        <v>55.089183094931407</v>
      </c>
      <c r="G55" s="4">
        <f t="shared" si="5"/>
        <v>6.7355249490301254</v>
      </c>
      <c r="H55" s="4">
        <f t="shared" si="6"/>
        <v>75.29575794202178</v>
      </c>
      <c r="I55" s="6">
        <v>4</v>
      </c>
      <c r="J55" s="4"/>
      <c r="K55" s="4">
        <f t="shared" si="7"/>
        <v>4.2</v>
      </c>
      <c r="L55" s="4">
        <f t="shared" si="3"/>
        <v>54.681980592569026</v>
      </c>
      <c r="M55" s="4">
        <f t="shared" si="3"/>
        <v>79.673341844821934</v>
      </c>
      <c r="N55" s="4">
        <f t="shared" si="3"/>
        <v>85.923626428086408</v>
      </c>
      <c r="O55" s="4">
        <f t="shared" si="3"/>
        <v>69.597114283072059</v>
      </c>
      <c r="P55" s="4">
        <f t="shared" si="3"/>
        <v>77.095557344744478</v>
      </c>
      <c r="Q55" s="4">
        <f>Table2226[[#This Row],[Events per Hr (M)]]</f>
        <v>4.2</v>
      </c>
    </row>
    <row r="56" spans="1:17">
      <c r="A56" s="4">
        <f t="shared" si="8"/>
        <v>4.3</v>
      </c>
      <c r="B56" s="6">
        <f>Table203925[[#This Row],[Events per hr (M)]]/0.0036</f>
        <v>1194.4444444444443</v>
      </c>
      <c r="C56" s="7">
        <f>LN(Table203925[[#This Row],[Events per hr (M)]])</f>
        <v>1.4586150226995167</v>
      </c>
      <c r="D56" s="4">
        <f t="shared" si="2"/>
        <v>4.0235171688063902</v>
      </c>
      <c r="E56" s="4">
        <f>$E$38*Table203925[[#This Row],[ln(events)]]+$F$38</f>
        <v>0.11974187800244251</v>
      </c>
      <c r="F56" s="4">
        <f t="shared" si="4"/>
        <v>56.299532280376411</v>
      </c>
      <c r="G56" s="4">
        <f t="shared" si="5"/>
        <v>6.7656488523309415</v>
      </c>
      <c r="H56" s="4">
        <f t="shared" si="6"/>
        <v>76.596478837369233</v>
      </c>
      <c r="I56" s="6">
        <v>4</v>
      </c>
      <c r="J56" s="4"/>
      <c r="K56" s="4">
        <f t="shared" si="7"/>
        <v>4.3</v>
      </c>
      <c r="L56" s="4">
        <f t="shared" si="3"/>
        <v>55.897360947571435</v>
      </c>
      <c r="M56" s="4">
        <f t="shared" si="3"/>
        <v>80.924738776272008</v>
      </c>
      <c r="N56" s="4">
        <f t="shared" si="3"/>
        <v>87.161222525108499</v>
      </c>
      <c r="O56" s="4">
        <f t="shared" si="3"/>
        <v>70.85291349086755</v>
      </c>
      <c r="P56" s="4">
        <f t="shared" si="3"/>
        <v>78.350258239772899</v>
      </c>
      <c r="Q56" s="4">
        <f>Table2226[[#This Row],[Events per Hr (M)]]</f>
        <v>4.3</v>
      </c>
    </row>
    <row r="57" spans="1:17">
      <c r="A57" s="4">
        <f t="shared" si="8"/>
        <v>4.3999999999999995</v>
      </c>
      <c r="B57" s="6">
        <f>Table203925[[#This Row],[Events per hr (M)]]/0.0036</f>
        <v>1222.2222222222222</v>
      </c>
      <c r="C57" s="7">
        <f>LN(Table203925[[#This Row],[Events per hr (M)]])</f>
        <v>1.4816045409242153</v>
      </c>
      <c r="D57" s="4">
        <f t="shared" si="2"/>
        <v>4.0459839161253077</v>
      </c>
      <c r="E57" s="4">
        <f>$E$38*Table203925[[#This Row],[ln(events)]]+$F$38</f>
        <v>0.11771880039866905</v>
      </c>
      <c r="F57" s="4">
        <f t="shared" si="4"/>
        <v>57.564886596102127</v>
      </c>
      <c r="G57" s="4">
        <f t="shared" si="5"/>
        <v>6.8000139108169577</v>
      </c>
      <c r="H57" s="4">
        <f t="shared" si="6"/>
        <v>77.964928328553</v>
      </c>
      <c r="I57" s="6">
        <v>4</v>
      </c>
      <c r="J57" s="4"/>
      <c r="K57" s="4">
        <f t="shared" si="7"/>
        <v>4.3999999999999995</v>
      </c>
      <c r="L57" s="4">
        <f t="shared" si="3"/>
        <v>57.16740630449911</v>
      </c>
      <c r="M57" s="4">
        <f t="shared" si="3"/>
        <v>82.247665754411926</v>
      </c>
      <c r="N57" s="4">
        <f t="shared" si="3"/>
        <v>88.475056568530391</v>
      </c>
      <c r="O57" s="4">
        <f t="shared" si="3"/>
        <v>72.173081279521838</v>
      </c>
      <c r="P57" s="4">
        <f t="shared" si="3"/>
        <v>79.67460743795192</v>
      </c>
      <c r="Q57" s="4">
        <f>Table2226[[#This Row],[Events per Hr (M)]]</f>
        <v>4.3999999999999995</v>
      </c>
    </row>
    <row r="58" spans="1:17">
      <c r="A58" s="4">
        <f t="shared" si="8"/>
        <v>4.4999999999999991</v>
      </c>
      <c r="B58" s="6">
        <f>Table203925[[#This Row],[Events per hr (M)]]/0.0036</f>
        <v>1249.9999999999998</v>
      </c>
      <c r="C58" s="7">
        <f>LN(Table203925[[#This Row],[Events per hr (M)]])</f>
        <v>1.5040773967762739</v>
      </c>
      <c r="D58" s="4">
        <f t="shared" si="2"/>
        <v>4.06902409637609</v>
      </c>
      <c r="E58" s="4">
        <f>$E$38*Table203925[[#This Row],[ln(events)]]+$F$38</f>
        <v>0.11574118908368788</v>
      </c>
      <c r="F58" s="4">
        <f t="shared" si="4"/>
        <v>58.892992326674687</v>
      </c>
      <c r="G58" s="4">
        <f t="shared" si="5"/>
        <v>6.8392367761951425</v>
      </c>
      <c r="H58" s="4">
        <f t="shared" si="6"/>
        <v>79.41070265526011</v>
      </c>
      <c r="I58" s="6"/>
      <c r="K58" s="4">
        <f t="shared" si="7"/>
        <v>4.4999999999999991</v>
      </c>
      <c r="L58" s="4">
        <f t="shared" si="3"/>
        <v>58.499844515295962</v>
      </c>
      <c r="M58" s="4">
        <f t="shared" si="3"/>
        <v>83.651919221687919</v>
      </c>
      <c r="N58" s="4">
        <f t="shared" si="3"/>
        <v>89.875367754455482</v>
      </c>
      <c r="O58" s="4">
        <f t="shared" si="3"/>
        <v>73.566639165039632</v>
      </c>
      <c r="P58" s="4">
        <f t="shared" si="3"/>
        <v>81.078210422662039</v>
      </c>
      <c r="Q58" s="4">
        <f>Table2226[[#This Row],[Events per Hr (M)]]</f>
        <v>4.4999999999999991</v>
      </c>
    </row>
    <row r="59" spans="1:17">
      <c r="A59" s="4">
        <f t="shared" si="8"/>
        <v>4.5999999999999988</v>
      </c>
      <c r="B59" s="6">
        <f>Table203925[[#This Row],[Events per hr (M)]]/0.0036</f>
        <v>1277.7777777777774</v>
      </c>
      <c r="C59" s="7">
        <f>LN(Table203925[[#This Row],[Events per hr (M)]])</f>
        <v>1.5260563034950489</v>
      </c>
      <c r="D59" s="4">
        <f t="shared" si="2"/>
        <v>4.0927273312609564</v>
      </c>
      <c r="E59" s="4">
        <f>$E$38*Table203925[[#This Row],[ln(events)]]+$F$38</f>
        <v>0.11380704529243568</v>
      </c>
      <c r="F59" s="4">
        <f t="shared" si="4"/>
        <v>60.292236832974183</v>
      </c>
      <c r="G59" s="4">
        <f t="shared" si="5"/>
        <v>6.8839595958429918</v>
      </c>
      <c r="H59" s="4">
        <f t="shared" si="6"/>
        <v>80.944115620503155</v>
      </c>
      <c r="I59" s="6"/>
      <c r="K59" s="4">
        <f t="shared" si="7"/>
        <v>4.5999999999999988</v>
      </c>
      <c r="L59" s="4">
        <f t="shared" si="3"/>
        <v>59.903044563130251</v>
      </c>
      <c r="M59" s="4">
        <f t="shared" si="3"/>
        <v>85.148015526241224</v>
      </c>
      <c r="N59" s="4">
        <f t="shared" si="3"/>
        <v>91.373131512375409</v>
      </c>
      <c r="O59" s="4">
        <f t="shared" si="3"/>
        <v>75.043300049761811</v>
      </c>
      <c r="P59" s="4">
        <f t="shared" si="3"/>
        <v>82.571385582158072</v>
      </c>
      <c r="Q59" s="4">
        <f>Table2226[[#This Row],[Events per Hr (M)]]</f>
        <v>4.5999999999999988</v>
      </c>
    </row>
    <row r="60" spans="1:17">
      <c r="A60" s="4">
        <f t="shared" si="8"/>
        <v>4.6999999999999984</v>
      </c>
      <c r="B60" s="6">
        <f>Table203925[[#This Row],[Events per hr (M)]]/0.0036</f>
        <v>1305.5555555555552</v>
      </c>
      <c r="C60" s="7">
        <f>LN(Table203925[[#This Row],[Events per hr (M)]])</f>
        <v>1.5475625087160125</v>
      </c>
      <c r="D60" s="4">
        <f t="shared" si="2"/>
        <v>4.117183242482124</v>
      </c>
      <c r="E60" s="4">
        <f>$E$38*Table203925[[#This Row],[ln(events)]]+$F$38</f>
        <v>0.1119144992329909</v>
      </c>
      <c r="F60" s="4">
        <f t="shared" si="4"/>
        <v>61.771720957397385</v>
      </c>
      <c r="G60" s="4">
        <f t="shared" si="5"/>
        <v>6.9348543616827909</v>
      </c>
      <c r="H60" s="4">
        <f t="shared" si="6"/>
        <v>82.576284042445764</v>
      </c>
      <c r="I60" s="6"/>
      <c r="K60" s="4">
        <f t="shared" si="7"/>
        <v>4.6999999999999984</v>
      </c>
      <c r="L60" s="4">
        <f t="shared" si="3"/>
        <v>61.38608878615134</v>
      </c>
      <c r="M60" s="4">
        <f t="shared" si="3"/>
        <v>86.747278372926203</v>
      </c>
      <c r="N60" s="4">
        <f t="shared" si="3"/>
        <v>92.980150476543855</v>
      </c>
      <c r="O60" s="4">
        <f t="shared" si="3"/>
        <v>76.6135497632811</v>
      </c>
      <c r="P60" s="4">
        <f t="shared" si="3"/>
        <v>84.165250176467296</v>
      </c>
      <c r="Q60" s="4">
        <f>Table2226[[#This Row],[Events per Hr (M)]]</f>
        <v>4.6999999999999984</v>
      </c>
    </row>
    <row r="61" spans="1:17">
      <c r="A61" s="4">
        <f t="shared" si="8"/>
        <v>4.799999999999998</v>
      </c>
      <c r="B61" s="6">
        <f>Table203925[[#This Row],[Events per hr (M)]]/0.0036</f>
        <v>1333.3333333333328</v>
      </c>
      <c r="C61" s="7">
        <f>LN(Table203925[[#This Row],[Events per hr (M)]])</f>
        <v>1.5686159179138448</v>
      </c>
      <c r="D61" s="4">
        <f t="shared" si="2"/>
        <v>4.1424814517418085</v>
      </c>
      <c r="E61" s="4">
        <f>$E$38*Table203925[[#This Row],[ln(events)]]+$F$38</f>
        <v>0.11006179922358164</v>
      </c>
      <c r="F61" s="4">
        <f t="shared" si="4"/>
        <v>63.341343484498061</v>
      </c>
      <c r="G61" s="4">
        <f t="shared" si="5"/>
        <v>6.9926279822833441</v>
      </c>
      <c r="H61" s="4">
        <f t="shared" si="6"/>
        <v>84.319227431348097</v>
      </c>
      <c r="I61" s="6"/>
      <c r="K61" s="4">
        <f t="shared" si="7"/>
        <v>4.799999999999998</v>
      </c>
      <c r="L61" s="4">
        <f t="shared" si="3"/>
        <v>62.958857137325182</v>
      </c>
      <c r="M61" s="4">
        <f t="shared" si="3"/>
        <v>88.461940736603452</v>
      </c>
      <c r="N61" s="4">
        <f t="shared" si="3"/>
        <v>94.709160458602497</v>
      </c>
      <c r="O61" s="4">
        <f t="shared" si="3"/>
        <v>78.288742146962193</v>
      </c>
      <c r="P61" s="4">
        <f t="shared" si="3"/>
        <v>85.871820537826295</v>
      </c>
      <c r="Q61" s="4">
        <f>Table2226[[#This Row],[Events per Hr (M)]]</f>
        <v>4.799999999999998</v>
      </c>
    </row>
    <row r="62" spans="1:17">
      <c r="A62" s="4">
        <f t="shared" si="8"/>
        <v>4.8999999999999977</v>
      </c>
      <c r="B62" s="6">
        <f>Table203925[[#This Row],[Events per hr (M)]]/0.0036</f>
        <v>1361.1111111111104</v>
      </c>
      <c r="C62" s="7">
        <f>LN(Table203925[[#This Row],[Events per hr (M)]])</f>
        <v>1.5892352051165806</v>
      </c>
      <c r="D62" s="4">
        <f t="shared" si="2"/>
        <v>4.1687115807422277</v>
      </c>
      <c r="E62" s="4">
        <f>$E$38*Table203925[[#This Row],[ln(events)]]+$F$38</f>
        <v>0.10824730194974092</v>
      </c>
      <c r="F62" s="4">
        <f t="shared" si="4"/>
        <v>65.01189934141307</v>
      </c>
      <c r="G62" s="4">
        <f t="shared" si="5"/>
        <v>7.0580281474344613</v>
      </c>
      <c r="H62" s="4">
        <f t="shared" si="6"/>
        <v>86.185983783716452</v>
      </c>
      <c r="I62" s="6"/>
      <c r="K62" s="4">
        <f t="shared" si="7"/>
        <v>4.8999999999999977</v>
      </c>
      <c r="L62" s="4">
        <f t="shared" si="3"/>
        <v>64.63212516417866</v>
      </c>
      <c r="M62" s="4">
        <f t="shared" si="3"/>
        <v>90.305263139337242</v>
      </c>
      <c r="N62" s="4">
        <f t="shared" si="3"/>
        <v>96.573953366713425</v>
      </c>
      <c r="O62" s="4">
        <f t="shared" si="3"/>
        <v>80.08120950508156</v>
      </c>
      <c r="P62" s="4">
        <f t="shared" si="3"/>
        <v>87.704128387195695</v>
      </c>
      <c r="Q62" s="4">
        <f>Table2226[[#This Row],[Events per Hr (M)]]</f>
        <v>4.8999999999999977</v>
      </c>
    </row>
    <row r="63" spans="1:17">
      <c r="A63" s="4">
        <f t="shared" si="8"/>
        <v>4.9999999999999973</v>
      </c>
      <c r="B63" s="6">
        <f>Table203925[[#This Row],[Events per hr (M)]]/0.0036</f>
        <v>1388.8888888888882</v>
      </c>
      <c r="C63" s="7">
        <f>LN(Table203925[[#This Row],[Events per hr (M)]])</f>
        <v>1.6094379124340998</v>
      </c>
      <c r="D63" s="4">
        <f t="shared" si="2"/>
        <v>4.1959632511856011</v>
      </c>
      <c r="E63" s="4">
        <f>$E$38*Table203925[[#This Row],[ln(events)]]+$F$38</f>
        <v>0.10646946370579921</v>
      </c>
      <c r="F63" s="4">
        <f t="shared" si="4"/>
        <v>66.795193511722502</v>
      </c>
      <c r="G63" s="4">
        <f t="shared" si="5"/>
        <v>7.1318500695366991</v>
      </c>
      <c r="H63" s="4">
        <f t="shared" si="6"/>
        <v>88.190743720332591</v>
      </c>
      <c r="I63" s="6"/>
      <c r="K63" s="4">
        <f t="shared" si="7"/>
        <v>4.9999999999999973</v>
      </c>
      <c r="L63" s="4">
        <f t="shared" si="3"/>
        <v>66.417677681041482</v>
      </c>
      <c r="M63" s="4">
        <f t="shared" si="3"/>
        <v>92.291670534170265</v>
      </c>
      <c r="N63" s="4">
        <f t="shared" si="3"/>
        <v>98.589519369712647</v>
      </c>
      <c r="O63" s="4">
        <f t="shared" si="3"/>
        <v>82.004390566363028</v>
      </c>
      <c r="P63" s="4">
        <f t="shared" si="3"/>
        <v>89.676355485318425</v>
      </c>
      <c r="Q63" s="4">
        <f>Table2226[[#This Row],[Events per Hr (M)]]</f>
        <v>4.9999999999999973</v>
      </c>
    </row>
    <row r="64" spans="1:17">
      <c r="A64" s="4">
        <f t="shared" si="8"/>
        <v>5.099999999999997</v>
      </c>
      <c r="B64" s="6">
        <f>Table203925[[#This Row],[Events per hr (M)]]/0.0036</f>
        <v>1416.6666666666658</v>
      </c>
      <c r="C64" s="7">
        <f>LN(Table203925[[#This Row],[Events per hr (M)]])</f>
        <v>1.6292405397302796</v>
      </c>
      <c r="D64" s="19">
        <f t="shared" si="2"/>
        <v>4.2243260847741428</v>
      </c>
      <c r="E64" s="4">
        <f>$E$38*Table203925[[#This Row],[ln(events)]]+$F$38</f>
        <v>0.10472683250373538</v>
      </c>
      <c r="F64" s="19">
        <f t="shared" si="4"/>
        <v>68.704172983211166</v>
      </c>
      <c r="G64" s="19">
        <f t="shared" si="5"/>
        <v>7.2149442039429132</v>
      </c>
      <c r="H64" s="19">
        <f t="shared" si="6"/>
        <v>90.349005595039898</v>
      </c>
      <c r="I64" s="20"/>
      <c r="K64" s="4">
        <f t="shared" si="7"/>
        <v>5.099999999999997</v>
      </c>
      <c r="L64" s="4">
        <f t="shared" si="3"/>
        <v>68.328440452610522</v>
      </c>
      <c r="M64" s="4">
        <f t="shared" si="3"/>
        <v>94.436910445311796</v>
      </c>
      <c r="N64" s="4">
        <f t="shared" si="3"/>
        <v>100.77221102594947</v>
      </c>
      <c r="O64" s="4">
        <f t="shared" si="3"/>
        <v>84.072978483403432</v>
      </c>
      <c r="P64" s="4">
        <f t="shared" si="3"/>
        <v>91.803989238070841</v>
      </c>
      <c r="Q64" s="4">
        <f>Table2226[[#This Row],[Events per Hr (M)]]</f>
        <v>5.099999999999997</v>
      </c>
    </row>
    <row r="65" spans="1:18">
      <c r="A65" s="4">
        <f t="shared" si="8"/>
        <v>5.1999999999999966</v>
      </c>
      <c r="B65" s="6">
        <f>Table203925[[#This Row],[Events per hr (M)]]/0.0036</f>
        <v>1444.4444444444434</v>
      </c>
      <c r="C65" s="7">
        <f>LN(Table203925[[#This Row],[Events per hr (M)]])</f>
        <v>1.648658625587381</v>
      </c>
      <c r="D65" s="4">
        <f t="shared" si="2"/>
        <v>4.2538897032100742</v>
      </c>
      <c r="E65" s="4">
        <f>$E$38*Table203925[[#This Row],[ln(events)]]+$F$38</f>
        <v>0.10301804094831046</v>
      </c>
      <c r="F65" s="4">
        <f t="shared" si="4"/>
        <v>70.753079465516748</v>
      </c>
      <c r="G65" s="4">
        <f t="shared" si="5"/>
        <v>7.3082250713301882</v>
      </c>
      <c r="H65" s="4">
        <f t="shared" si="6"/>
        <v>92.677754679507316</v>
      </c>
      <c r="I65" s="6"/>
      <c r="K65" s="4">
        <f t="shared" si="7"/>
        <v>5.1999999999999966</v>
      </c>
      <c r="L65" s="4">
        <f t="shared" ref="L65:P77" si="9">EXP($D65+L$43*$E65)</f>
        <v>70.378632622547997</v>
      </c>
      <c r="M65" s="4">
        <f t="shared" si="9"/>
        <v>96.75823550058621</v>
      </c>
      <c r="N65" s="4">
        <f t="shared" si="9"/>
        <v>103.13993259859859</v>
      </c>
      <c r="O65" s="4">
        <f t="shared" si="9"/>
        <v>86.303091856301677</v>
      </c>
      <c r="P65" s="4">
        <f t="shared" si="9"/>
        <v>94.10400235506269</v>
      </c>
      <c r="Q65" s="4">
        <f>Table2226[[#This Row],[Events per Hr (M)]]</f>
        <v>5.1999999999999966</v>
      </c>
    </row>
    <row r="66" spans="1:18">
      <c r="A66" s="4">
        <f t="shared" si="8"/>
        <v>5.2999999999999963</v>
      </c>
      <c r="B66" s="6">
        <f>Table203925[[#This Row],[Events per hr (M)]]/0.0036</f>
        <v>1472.2222222222213</v>
      </c>
      <c r="C66" s="7">
        <f>LN(Table203925[[#This Row],[Events per hr (M)]])</f>
        <v>1.6677068205580754</v>
      </c>
      <c r="D66" s="4">
        <f t="shared" si="2"/>
        <v>4.2847437281956093</v>
      </c>
      <c r="E66" s="4">
        <f>$E$38*Table203925[[#This Row],[ln(events)]]+$F$38</f>
        <v>0.10134179979088936</v>
      </c>
      <c r="F66" s="4">
        <f t="shared" si="4"/>
        <v>72.957626111518564</v>
      </c>
      <c r="G66" s="4">
        <f t="shared" si="5"/>
        <v>7.412681329854248</v>
      </c>
      <c r="H66" s="4">
        <f t="shared" si="6"/>
        <v>95.195670101081305</v>
      </c>
      <c r="I66" s="6"/>
      <c r="K66" s="4">
        <f t="shared" si="7"/>
        <v>5.2999999999999963</v>
      </c>
      <c r="L66" s="4">
        <f t="shared" si="9"/>
        <v>72.583943117994281</v>
      </c>
      <c r="M66" s="4">
        <f t="shared" si="9"/>
        <v>99.274614072378583</v>
      </c>
      <c r="N66" s="4">
        <f t="shared" si="9"/>
        <v>105.71235837827093</v>
      </c>
      <c r="O66" s="4">
        <f t="shared" si="9"/>
        <v>88.712472315536061</v>
      </c>
      <c r="P66" s="4">
        <f t="shared" si="9"/>
        <v>96.595060232932227</v>
      </c>
      <c r="Q66" s="4">
        <f>Table2226[[#This Row],[Events per Hr (M)]]</f>
        <v>5.2999999999999963</v>
      </c>
    </row>
    <row r="67" spans="1:18">
      <c r="A67" s="4">
        <f t="shared" si="8"/>
        <v>5.3999999999999959</v>
      </c>
      <c r="B67" s="6">
        <f>Table203925[[#This Row],[Events per hr (M)]]/0.0036</f>
        <v>1499.9999999999989</v>
      </c>
      <c r="C67" s="7">
        <f>LN(Table203925[[#This Row],[Events per hr (M)]])</f>
        <v>1.686398953570228</v>
      </c>
      <c r="D67" s="4">
        <f t="shared" si="2"/>
        <v>4.316977781432966</v>
      </c>
      <c r="E67" s="4">
        <f>$E$38*Table203925[[#This Row],[ln(events)]]+$F$38</f>
        <v>9.9696892085819944E-2</v>
      </c>
      <c r="F67" s="4">
        <f t="shared" si="4"/>
        <v>75.335202073262565</v>
      </c>
      <c r="G67" s="4">
        <f t="shared" si="5"/>
        <v>7.5293872739447281</v>
      </c>
      <c r="H67" s="4">
        <f t="shared" si="6"/>
        <v>97.923363895096742</v>
      </c>
      <c r="I67" s="6"/>
      <c r="K67" s="4">
        <f t="shared" si="7"/>
        <v>5.3999999999999959</v>
      </c>
      <c r="L67" s="4">
        <f t="shared" si="9"/>
        <v>74.961734857045087</v>
      </c>
      <c r="M67" s="4">
        <f t="shared" si="9"/>
        <v>102.00697343714138</v>
      </c>
      <c r="N67" s="4">
        <f t="shared" si="9"/>
        <v>108.51118454928761</v>
      </c>
      <c r="O67" s="4">
        <f t="shared" si="9"/>
        <v>91.320712855952522</v>
      </c>
      <c r="P67" s="4">
        <f t="shared" si="9"/>
        <v>99.297760419396198</v>
      </c>
      <c r="Q67" s="4">
        <f>Table2226[[#This Row],[Events per Hr (M)]]</f>
        <v>5.3999999999999959</v>
      </c>
    </row>
    <row r="68" spans="1:18">
      <c r="A68" s="4">
        <f t="shared" si="8"/>
        <v>5.4999999999999956</v>
      </c>
      <c r="B68" s="6">
        <f>Table203925[[#This Row],[Events per hr (M)]]/0.0036</f>
        <v>1527.7777777777767</v>
      </c>
      <c r="C68" s="7">
        <f>LN(Table203925[[#This Row],[Events per hr (M)]])</f>
        <v>1.7047480922384244</v>
      </c>
      <c r="D68" s="4">
        <f t="shared" si="2"/>
        <v>4.3506814846243644</v>
      </c>
      <c r="E68" s="4">
        <f>$E$38*Table203925[[#This Row],[ln(events)]]+$F$38</f>
        <v>9.8082167883018656E-2</v>
      </c>
      <c r="F68" s="4">
        <f t="shared" si="4"/>
        <v>77.90510943972474</v>
      </c>
      <c r="G68" s="4">
        <f t="shared" si="5"/>
        <v>7.6595159710023202</v>
      </c>
      <c r="H68" s="4">
        <f t="shared" si="6"/>
        <v>100.8836573527317</v>
      </c>
      <c r="I68" s="6"/>
      <c r="K68" s="4">
        <f t="shared" si="7"/>
        <v>5.4999999999999956</v>
      </c>
      <c r="L68" s="4">
        <f t="shared" si="9"/>
        <v>77.531281301875424</v>
      </c>
      <c r="M68" s="4">
        <f t="shared" si="9"/>
        <v>104.9784806941104</v>
      </c>
      <c r="N68" s="4">
        <f t="shared" si="9"/>
        <v>111.56041999195811</v>
      </c>
      <c r="O68" s="4">
        <f t="shared" si="9"/>
        <v>94.14952190088384</v>
      </c>
      <c r="P68" s="4">
        <f t="shared" si="9"/>
        <v>102.23490933389749</v>
      </c>
      <c r="Q68" s="4">
        <f>Table2226[[#This Row],[Events per Hr (M)]]</f>
        <v>5.4999999999999956</v>
      </c>
    </row>
    <row r="69" spans="1:18">
      <c r="A69" s="4">
        <f t="shared" si="8"/>
        <v>5.5999999999999952</v>
      </c>
      <c r="B69" s="6">
        <f>Table203925[[#This Row],[Events per hr (M)]]/0.0036</f>
        <v>1555.5555555555543</v>
      </c>
      <c r="C69" s="7">
        <f>LN(Table203925[[#This Row],[Events per hr (M)]])</f>
        <v>1.7227665977411026</v>
      </c>
      <c r="D69" s="4">
        <f t="shared" si="2"/>
        <v>4.3859444594720181</v>
      </c>
      <c r="E69" s="4">
        <f>$E$38*Table203925[[#This Row],[ln(events)]]+$F$38</f>
        <v>9.6496539398782971E-2</v>
      </c>
      <c r="F69" s="4">
        <f t="shared" si="4"/>
        <v>80.688837965015338</v>
      </c>
      <c r="G69" s="4">
        <f t="shared" si="5"/>
        <v>7.8043542880241761</v>
      </c>
      <c r="H69" s="4">
        <f t="shared" si="6"/>
        <v>104.10190082908787</v>
      </c>
      <c r="I69" s="6"/>
      <c r="K69" s="4">
        <f t="shared" si="7"/>
        <v>5.5999999999999952</v>
      </c>
      <c r="L69" s="4">
        <f t="shared" si="9"/>
        <v>80.314040760497079</v>
      </c>
      <c r="M69" s="4">
        <f t="shared" si="9"/>
        <v>108.21486767994773</v>
      </c>
      <c r="N69" s="4">
        <f t="shared" si="9"/>
        <v>114.88672243912272</v>
      </c>
      <c r="O69" s="4">
        <f t="shared" si="9"/>
        <v>97.223029020312751</v>
      </c>
      <c r="P69" s="4">
        <f t="shared" si="9"/>
        <v>105.43184240405404</v>
      </c>
      <c r="Q69" s="4">
        <f>Table2226[[#This Row],[Events per Hr (M)]]</f>
        <v>5.5999999999999952</v>
      </c>
    </row>
    <row r="70" spans="1:18">
      <c r="A70" s="4">
        <f t="shared" si="8"/>
        <v>5.6999999999999948</v>
      </c>
      <c r="B70" s="6">
        <f>Table203925[[#This Row],[Events per hr (M)]]/0.0036</f>
        <v>1583.3333333333319</v>
      </c>
      <c r="C70" s="7">
        <f>LN(Table203925[[#This Row],[Events per hr (M)]])</f>
        <v>1.7404661748405035</v>
      </c>
      <c r="D70" s="4">
        <f t="shared" si="2"/>
        <v>4.4228563276781472</v>
      </c>
      <c r="E70" s="4">
        <f>$E$38*Table203925[[#This Row],[ln(events)]]+$F$38</f>
        <v>9.4938976614035692E-2</v>
      </c>
      <c r="F70" s="4">
        <f t="shared" si="4"/>
        <v>83.71038403276458</v>
      </c>
      <c r="G70" s="4">
        <f t="shared" si="5"/>
        <v>7.9653201086211967</v>
      </c>
      <c r="H70" s="4">
        <f t="shared" si="6"/>
        <v>107.60634435862818</v>
      </c>
      <c r="I70" s="6"/>
      <c r="K70" s="4">
        <f t="shared" si="7"/>
        <v>5.6999999999999948</v>
      </c>
      <c r="L70" s="4">
        <f t="shared" si="9"/>
        <v>83.333974876136992</v>
      </c>
      <c r="M70" s="4">
        <f t="shared" si="9"/>
        <v>111.74480731291352</v>
      </c>
      <c r="N70" s="4">
        <f t="shared" si="9"/>
        <v>118.5197876373408</v>
      </c>
      <c r="O70" s="4">
        <f t="shared" si="9"/>
        <v>100.56813936334981</v>
      </c>
      <c r="P70" s="4">
        <f t="shared" si="9"/>
        <v>108.91679495897664</v>
      </c>
      <c r="Q70" s="4">
        <f>Table2226[[#This Row],[Events per Hr (M)]]</f>
        <v>5.6999999999999948</v>
      </c>
    </row>
    <row r="71" spans="1:18">
      <c r="A71" s="4">
        <f t="shared" si="8"/>
        <v>5.7999999999999945</v>
      </c>
      <c r="B71" s="6">
        <f>Table203925[[#This Row],[Events per hr (M)]]/0.0036</f>
        <v>1611.1111111111097</v>
      </c>
      <c r="C71" s="7">
        <f>LN(Table203925[[#This Row],[Events per hr (M)]])</f>
        <v>1.7578579175523728</v>
      </c>
      <c r="D71" s="4">
        <f t="shared" si="2"/>
        <v>4.4615067109449695</v>
      </c>
      <c r="E71" s="4">
        <f>$E$38*Table203925[[#This Row],[ln(events)]]+$F$38</f>
        <v>9.3408503255391184E-2</v>
      </c>
      <c r="F71" s="4">
        <f t="shared" si="4"/>
        <v>86.996621553760306</v>
      </c>
      <c r="G71" s="4">
        <f t="shared" si="5"/>
        <v>8.143982098591751</v>
      </c>
      <c r="H71" s="4">
        <f t="shared" si="6"/>
        <v>111.42856784953557</v>
      </c>
      <c r="I71" s="6"/>
      <c r="K71" s="4">
        <f t="shared" si="7"/>
        <v>5.7999999999999945</v>
      </c>
      <c r="L71" s="4">
        <f t="shared" si="9"/>
        <v>86.61791899322634</v>
      </c>
      <c r="M71" s="4">
        <f t="shared" si="9"/>
        <v>115.60035024146292</v>
      </c>
      <c r="N71" s="4">
        <f t="shared" si="9"/>
        <v>122.49280064617908</v>
      </c>
      <c r="O71" s="4">
        <f t="shared" si="9"/>
        <v>104.21494523472032</v>
      </c>
      <c r="P71" s="4">
        <f t="shared" si="9"/>
        <v>112.72133264399439</v>
      </c>
      <c r="Q71" s="4">
        <f>Table2226[[#This Row],[Events per Hr (M)]]</f>
        <v>5.7999999999999945</v>
      </c>
    </row>
    <row r="72" spans="1:18">
      <c r="A72" s="4">
        <f t="shared" si="8"/>
        <v>5.8999999999999941</v>
      </c>
      <c r="B72" s="6">
        <f>Table203925[[#This Row],[Events per hr (M)]]/0.0036</f>
        <v>1638.8888888888873</v>
      </c>
      <c r="C72" s="7">
        <f>LN(Table203925[[#This Row],[Events per hr (M)]])</f>
        <v>1.7749523509116727</v>
      </c>
      <c r="D72" s="19">
        <f t="shared" si="2"/>
        <v>4.5019852309746984</v>
      </c>
      <c r="E72" s="4">
        <f>$E$38*Table203925[[#This Row],[ln(events)]]+$F$38</f>
        <v>9.1904193119772798E-2</v>
      </c>
      <c r="F72" s="19">
        <f t="shared" si="4"/>
        <v>90.577734006883475</v>
      </c>
      <c r="G72" s="19">
        <f t="shared" si="5"/>
        <v>8.3420824471786421</v>
      </c>
      <c r="H72" s="19">
        <f t="shared" si="6"/>
        <v>115.60398134841941</v>
      </c>
      <c r="I72" s="20"/>
      <c r="K72" s="4">
        <f t="shared" si="7"/>
        <v>5.8999999999999941</v>
      </c>
      <c r="L72" s="4">
        <f t="shared" si="9"/>
        <v>90.196013600424351</v>
      </c>
      <c r="M72" s="4">
        <f t="shared" si="9"/>
        <v>119.81743241180192</v>
      </c>
      <c r="N72" s="4">
        <f t="shared" si="9"/>
        <v>126.84296019841887</v>
      </c>
      <c r="O72" s="4">
        <f t="shared" si="9"/>
        <v>108.19720489895349</v>
      </c>
      <c r="P72" s="4">
        <f t="shared" si="9"/>
        <v>116.8808518397401</v>
      </c>
      <c r="Q72" s="4">
        <f>Table2226[[#This Row],[Events per Hr (M)]]</f>
        <v>5.8999999999999941</v>
      </c>
    </row>
    <row r="73" spans="1:18">
      <c r="A73" s="4">
        <f t="shared" si="8"/>
        <v>5.9999999999999938</v>
      </c>
      <c r="B73" s="6">
        <f>Table203925[[#This Row],[Events per hr (M)]]/0.0036</f>
        <v>1666.6666666666649</v>
      </c>
      <c r="C73" s="7">
        <f>LN(Table203925[[#This Row],[Events per hr (M)]])</f>
        <v>1.7917594692280541</v>
      </c>
      <c r="D73" s="4">
        <f t="shared" si="2"/>
        <v>4.5443815094695559</v>
      </c>
      <c r="E73" s="4">
        <f>$E$38*Table203925[[#This Row],[ln(events)]]+$F$38</f>
        <v>9.0425166707931243E-2</v>
      </c>
      <c r="F73" s="4">
        <f t="shared" si="4"/>
        <v>94.487718666848082</v>
      </c>
      <c r="G73" s="4">
        <f t="shared" si="5"/>
        <v>8.561563093767985</v>
      </c>
      <c r="H73" s="4">
        <f t="shared" si="6"/>
        <v>120.17240794815203</v>
      </c>
      <c r="I73" s="6"/>
      <c r="K73" s="4">
        <f t="shared" si="7"/>
        <v>5.9999999999999938</v>
      </c>
      <c r="L73" s="19">
        <f t="shared" si="9"/>
        <v>94.102207882742221</v>
      </c>
      <c r="M73" s="19">
        <f t="shared" si="9"/>
        <v>124.43646627369019</v>
      </c>
      <c r="N73" s="19">
        <f t="shared" si="9"/>
        <v>131.61208920816605</v>
      </c>
      <c r="O73" s="4">
        <f t="shared" si="9"/>
        <v>112.55290069832175</v>
      </c>
      <c r="P73" s="4">
        <f t="shared" si="9"/>
        <v>121.43516264793021</v>
      </c>
      <c r="Q73" s="4">
        <f>Table2226[[#This Row],[Events per Hr (M)]]</f>
        <v>5.9999999999999938</v>
      </c>
    </row>
    <row r="74" spans="1:18">
      <c r="A74" s="4">
        <f t="shared" si="8"/>
        <v>6.0999999999999934</v>
      </c>
      <c r="B74" s="6">
        <f>Table203925[[#This Row],[Events per hr (M)]]/0.0036</f>
        <v>1694.4444444444428</v>
      </c>
      <c r="C74" s="7">
        <f>LN(Table203925[[#This Row],[Events per hr (M)]])</f>
        <v>1.8082887711792646</v>
      </c>
      <c r="D74" s="4">
        <f t="shared" si="2"/>
        <v>4.5887851681317571</v>
      </c>
      <c r="E74" s="4">
        <f>$E$38*Table203925[[#This Row],[ln(events)]]+$F$38</f>
        <v>8.8970588136224715E-2</v>
      </c>
      <c r="F74" s="4">
        <f t="shared" si="4"/>
        <v>98.764976289335777</v>
      </c>
      <c r="G74" s="4">
        <f t="shared" si="5"/>
        <v>8.8045960491093052</v>
      </c>
      <c r="H74" s="4">
        <f t="shared" si="6"/>
        <v>125.1787644366637</v>
      </c>
      <c r="I74" s="6"/>
      <c r="K74" s="4">
        <f t="shared" si="7"/>
        <v>6.0999999999999934</v>
      </c>
      <c r="L74" s="4">
        <f t="shared" si="9"/>
        <v>98.374848639769866</v>
      </c>
      <c r="M74" s="4">
        <f t="shared" si="9"/>
        <v>129.5030308966042</v>
      </c>
      <c r="N74" s="4">
        <f t="shared" si="9"/>
        <v>136.84734713789226</v>
      </c>
      <c r="O74" s="4">
        <f t="shared" si="9"/>
        <v>117.32489100055008</v>
      </c>
      <c r="P74" s="4">
        <f t="shared" si="9"/>
        <v>126.42916952857411</v>
      </c>
      <c r="Q74" s="4">
        <f>Table2226[[#This Row],[Events per Hr (M)]]</f>
        <v>6.0999999999999934</v>
      </c>
    </row>
    <row r="75" spans="1:18">
      <c r="A75" s="4">
        <f t="shared" si="8"/>
        <v>6.1999999999999931</v>
      </c>
      <c r="B75" s="6">
        <f>Table203925[[#This Row],[Events per hr (M)]]/0.0036</f>
        <v>1722.2222222222204</v>
      </c>
      <c r="C75" s="7">
        <f>LN(Table203925[[#This Row],[Events per hr (M)]])</f>
        <v>1.8245492920510447</v>
      </c>
      <c r="D75" s="4">
        <f t="shared" si="2"/>
        <v>4.6352858286635197</v>
      </c>
      <c r="E75" s="4">
        <f>$E$38*Table203925[[#This Row],[ln(events)]]+$F$38</f>
        <v>8.7539662299508075E-2</v>
      </c>
      <c r="F75" s="4">
        <f t="shared" si="4"/>
        <v>103.4530022359842</v>
      </c>
      <c r="G75" s="4">
        <f t="shared" si="5"/>
        <v>9.073618539850715</v>
      </c>
      <c r="H75" s="4">
        <f t="shared" si="6"/>
        <v>130.67385785553634</v>
      </c>
      <c r="I75" s="6"/>
      <c r="K75" s="4">
        <f t="shared" si="7"/>
        <v>6.1999999999999931</v>
      </c>
      <c r="L75" s="4">
        <f t="shared" si="9"/>
        <v>103.0573705363248</v>
      </c>
      <c r="M75" s="4">
        <f t="shared" si="9"/>
        <v>135.06867937254199</v>
      </c>
      <c r="N75" s="4">
        <f t="shared" si="9"/>
        <v>142.602063125272</v>
      </c>
      <c r="O75" s="4">
        <f t="shared" si="9"/>
        <v>122.5616734486385</v>
      </c>
      <c r="P75" s="4">
        <f t="shared" si="9"/>
        <v>131.91366774090991</v>
      </c>
      <c r="Q75" s="4">
        <f>Table2226[[#This Row],[Events per Hr (M)]]</f>
        <v>6.1999999999999931</v>
      </c>
    </row>
    <row r="76" spans="1:18">
      <c r="A76" s="4">
        <f t="shared" si="8"/>
        <v>6.2999999999999927</v>
      </c>
      <c r="B76" s="6">
        <f>Table203925[[#This Row],[Events per hr (M)]]/0.0036</f>
        <v>1749.999999999998</v>
      </c>
      <c r="C76" s="7">
        <f>LN(Table203925[[#This Row],[Events per hr (M)]])</f>
        <v>1.8405496333974858</v>
      </c>
      <c r="D76" s="4">
        <f t="shared" si="2"/>
        <v>4.6839731127670632</v>
      </c>
      <c r="E76" s="4">
        <f>$E$38*Table203925[[#This Row],[ln(events)]]+$F$38</f>
        <v>8.6131632261021246E-2</v>
      </c>
      <c r="F76" s="4">
        <f t="shared" si="4"/>
        <v>108.60119833215626</v>
      </c>
      <c r="G76" s="4">
        <f t="shared" si="5"/>
        <v>9.3713738498853338</v>
      </c>
      <c r="H76" s="4">
        <f t="shared" si="6"/>
        <v>136.71531988181226</v>
      </c>
      <c r="I76" s="6"/>
      <c r="K76" s="4">
        <f t="shared" si="7"/>
        <v>6.2999999999999927</v>
      </c>
      <c r="L76" s="4">
        <f t="shared" si="9"/>
        <v>108.19910695926202</v>
      </c>
      <c r="M76" s="4">
        <f t="shared" si="9"/>
        <v>141.19188566606218</v>
      </c>
      <c r="N76" s="4">
        <f t="shared" si="9"/>
        <v>148.93671265835854</v>
      </c>
      <c r="O76" s="4">
        <f t="shared" si="9"/>
        <v>128.31828059097495</v>
      </c>
      <c r="P76" s="4">
        <f t="shared" si="9"/>
        <v>137.94627748049118</v>
      </c>
      <c r="Q76" s="4">
        <f>Table2226[[#This Row],[Events per Hr (M)]]</f>
        <v>6.2999999999999927</v>
      </c>
    </row>
    <row r="77" spans="1:18">
      <c r="A77" s="4">
        <f t="shared" si="8"/>
        <v>6.3999999999999924</v>
      </c>
      <c r="B77" s="6">
        <f>Table203925[[#This Row],[Events per hr (M)]]/0.0036</f>
        <v>1777.7777777777758</v>
      </c>
      <c r="C77" s="7">
        <f>LN(Table203925[[#This Row],[Events per hr (M)]])</f>
        <v>1.8562979903656249</v>
      </c>
      <c r="D77" s="19">
        <f t="shared" si="2"/>
        <v>4.7349366421446009</v>
      </c>
      <c r="E77" s="4">
        <f>$E$38*Table203925[[#This Row],[ln(events)]]+$F$38</f>
        <v>8.4745776847825E-2</v>
      </c>
      <c r="F77" s="19">
        <f t="shared" si="4"/>
        <v>114.26582880207572</v>
      </c>
      <c r="G77" s="19">
        <f t="shared" si="5"/>
        <v>9.7009589074147922</v>
      </c>
      <c r="H77" s="19">
        <f t="shared" si="6"/>
        <v>143.36870552432009</v>
      </c>
      <c r="I77" s="20"/>
      <c r="K77" s="4">
        <f t="shared" si="7"/>
        <v>6.3999999999999924</v>
      </c>
      <c r="L77" s="19">
        <f t="shared" si="9"/>
        <v>113.85624480218893</v>
      </c>
      <c r="M77" s="19">
        <f t="shared" si="9"/>
        <v>147.93915769782058</v>
      </c>
      <c r="N77" s="19">
        <f t="shared" si="9"/>
        <v>155.92006533840294</v>
      </c>
      <c r="O77" s="4">
        <f t="shared" si="9"/>
        <v>134.65733337949169</v>
      </c>
      <c r="P77" s="4">
        <f t="shared" si="9"/>
        <v>144.59254217704137</v>
      </c>
      <c r="Q77" s="4">
        <f>Table2226[[#This Row],[Events per Hr (M)]]</f>
        <v>6.3999999999999924</v>
      </c>
    </row>
    <row r="78" spans="1:18">
      <c r="R78">
        <v>30</v>
      </c>
    </row>
    <row r="79" spans="1:18">
      <c r="N79" t="s">
        <v>38</v>
      </c>
      <c r="O79" t="s">
        <v>39</v>
      </c>
      <c r="P79" t="s">
        <v>40</v>
      </c>
      <c r="Q79" t="s">
        <v>41</v>
      </c>
      <c r="R79" t="s">
        <v>42</v>
      </c>
    </row>
    <row r="80" spans="1:18" ht="30">
      <c r="M80" s="21" t="s">
        <v>43</v>
      </c>
      <c r="N80">
        <f>VLOOKUP(100,Table2226[[#All],[97.60% MPL for 1 hr of 24]:[Events]],3,TRUE)</f>
        <v>5.5999999999999952</v>
      </c>
      <c r="O80">
        <f>VLOOKUP(100,Table2226[[#All],[99.76% EPL for 1 hr of 24]:[Events]],2,TRUE)</f>
        <v>5.3999999999999959</v>
      </c>
      <c r="P80" s="22">
        <f>(N80-O80)/O80</f>
        <v>3.7037037037036931E-2</v>
      </c>
      <c r="Q80" s="23">
        <f>P80*1400000</f>
        <v>51851.851851851701</v>
      </c>
      <c r="R80" s="24">
        <f>R78*Q80</f>
        <v>1555555.5555555511</v>
      </c>
    </row>
    <row r="81" spans="13:18">
      <c r="M81" t="s">
        <v>44</v>
      </c>
      <c r="N81" s="25">
        <f>0.2*0.1</f>
        <v>2.0000000000000004E-2</v>
      </c>
      <c r="O81" s="25">
        <f>0.2*0.1*2</f>
        <v>4.0000000000000008E-2</v>
      </c>
      <c r="P81" s="22">
        <f>(N81-O81)/O81</f>
        <v>-0.5</v>
      </c>
      <c r="Q81" s="26"/>
    </row>
    <row r="82" spans="13:18">
      <c r="M82" t="s">
        <v>45</v>
      </c>
      <c r="Q82" s="24">
        <f>Q80/(O81-N81)</f>
        <v>2592592.5925925844</v>
      </c>
      <c r="R82" s="24">
        <f>R80/(O81-N81)</f>
        <v>77777777.777777538</v>
      </c>
    </row>
  </sheetData>
  <conditionalFormatting sqref="M45:P77">
    <cfRule type="cellIs" dxfId="29" priority="1" operator="greaterThan">
      <formula>100</formula>
    </cfRule>
  </conditionalFormatting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rb4 (2)</vt:lpstr>
    </vt:vector>
  </TitlesOfParts>
  <Company>Amdocs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 Shama</dc:creator>
  <cp:lastModifiedBy>Gilli Shama</cp:lastModifiedBy>
  <dcterms:created xsi:type="dcterms:W3CDTF">2011-02-17T08:30:21Z</dcterms:created>
  <dcterms:modified xsi:type="dcterms:W3CDTF">2011-02-17T08:30:32Z</dcterms:modified>
</cp:coreProperties>
</file>