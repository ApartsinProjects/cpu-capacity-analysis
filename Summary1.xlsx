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40" windowHeight="10110" activeTab="8"/>
  </bookViews>
  <sheets>
    <sheet name="CMCPU" sheetId="4" r:id="rId1"/>
    <sheet name="Load" sheetId="1" r:id="rId2"/>
    <sheet name="CMALL" sheetId="2" r:id="rId3"/>
    <sheet name="Sheet2" sheetId="10" r:id="rId4"/>
    <sheet name="CMVALS" sheetId="5" r:id="rId5"/>
    <sheet name="PivotByLoad" sheetId="6" r:id="rId6"/>
    <sheet name="PivotByVal" sheetId="7" r:id="rId7"/>
    <sheet name="2points" sheetId="8" r:id="rId8"/>
    <sheet name="2points log-normal" sheetId="11" r:id="rId9"/>
  </sheets>
  <calcPr calcId="125725"/>
  <pivotCaches>
    <pivotCache cacheId="1" r:id="rId10"/>
    <pivotCache cacheId="4" r:id="rId11"/>
  </pivotCaches>
</workbook>
</file>

<file path=xl/calcChain.xml><?xml version="1.0" encoding="utf-8"?>
<calcChain xmlns="http://schemas.openxmlformats.org/spreadsheetml/2006/main">
  <c r="G3" i="11"/>
  <c r="G2"/>
  <c r="E3"/>
  <c r="E2"/>
  <c r="D3"/>
  <c r="F3" s="1"/>
  <c r="D2"/>
  <c r="F2" s="1"/>
  <c r="F277" i="5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I3" i="8"/>
  <c r="I2"/>
  <c r="H3"/>
  <c r="H2"/>
  <c r="E3"/>
  <c r="E2"/>
  <c r="D3"/>
  <c r="D2"/>
  <c r="M4"/>
  <c r="C4"/>
  <c r="B4"/>
  <c r="M3"/>
  <c r="C3"/>
  <c r="B3"/>
  <c r="M2"/>
  <c r="C2"/>
  <c r="B2"/>
  <c r="I4" i="7" l="1"/>
  <c r="I3"/>
  <c r="I2"/>
  <c r="C4"/>
  <c r="C3"/>
  <c r="C2"/>
  <c r="B4"/>
  <c r="B3"/>
  <c r="B2"/>
  <c r="D280" i="2"/>
  <c r="B280"/>
  <c r="D279"/>
  <c r="B279"/>
  <c r="D278"/>
  <c r="B278"/>
  <c r="D277"/>
  <c r="B277"/>
  <c r="D276"/>
  <c r="B276"/>
  <c r="D275"/>
  <c r="B275"/>
  <c r="D274"/>
  <c r="B274"/>
  <c r="D273"/>
  <c r="B273"/>
  <c r="D272"/>
  <c r="B272"/>
  <c r="D271"/>
  <c r="B271"/>
  <c r="D270"/>
  <c r="B270"/>
  <c r="D269"/>
  <c r="B269"/>
  <c r="D268"/>
  <c r="B268"/>
  <c r="D267"/>
  <c r="B267"/>
  <c r="D266"/>
  <c r="B266"/>
  <c r="D265"/>
  <c r="B265"/>
  <c r="D264"/>
  <c r="B264"/>
  <c r="D263"/>
  <c r="B263"/>
  <c r="D262"/>
  <c r="B262"/>
  <c r="D261"/>
  <c r="B261"/>
  <c r="D260"/>
  <c r="B260"/>
  <c r="D259"/>
  <c r="B259"/>
  <c r="D258"/>
  <c r="B258"/>
  <c r="D257"/>
  <c r="B257"/>
  <c r="D256"/>
  <c r="B256"/>
  <c r="D255"/>
  <c r="B255"/>
  <c r="D254"/>
  <c r="B254"/>
  <c r="D253"/>
  <c r="B253"/>
  <c r="D252"/>
  <c r="B252"/>
  <c r="D251"/>
  <c r="B251"/>
  <c r="D250"/>
  <c r="B250"/>
  <c r="D249"/>
  <c r="B249"/>
  <c r="D248"/>
  <c r="B248"/>
  <c r="D247"/>
  <c r="B247"/>
  <c r="D246"/>
  <c r="B246"/>
  <c r="D245"/>
  <c r="B245"/>
  <c r="D244"/>
  <c r="B244"/>
  <c r="D243"/>
  <c r="B243"/>
  <c r="D242"/>
  <c r="B242"/>
  <c r="D241"/>
  <c r="B241"/>
  <c r="D240"/>
  <c r="B240"/>
  <c r="D239"/>
  <c r="B239"/>
  <c r="D238"/>
  <c r="B238"/>
  <c r="D237"/>
  <c r="B237"/>
  <c r="D236"/>
  <c r="B236"/>
  <c r="D235"/>
  <c r="B235"/>
  <c r="D234"/>
  <c r="B234"/>
  <c r="D233"/>
  <c r="B233"/>
  <c r="D232"/>
  <c r="B232"/>
  <c r="D231"/>
  <c r="B231"/>
  <c r="D230"/>
  <c r="B230"/>
  <c r="D229"/>
  <c r="B229"/>
  <c r="D228"/>
  <c r="B228"/>
  <c r="D227"/>
  <c r="B227"/>
  <c r="D226"/>
  <c r="B226"/>
  <c r="D225"/>
  <c r="B225"/>
  <c r="D224"/>
  <c r="B224"/>
  <c r="D223"/>
  <c r="B223"/>
  <c r="D222"/>
  <c r="B222"/>
  <c r="D221"/>
  <c r="B221"/>
  <c r="D220"/>
  <c r="B220"/>
  <c r="D219"/>
  <c r="B219"/>
  <c r="D218"/>
  <c r="B218"/>
  <c r="D217"/>
  <c r="B217"/>
  <c r="D216"/>
  <c r="B216"/>
  <c r="D215"/>
  <c r="B215"/>
  <c r="D214"/>
  <c r="B214"/>
  <c r="D213"/>
  <c r="B213"/>
  <c r="D212"/>
  <c r="B212"/>
  <c r="D211"/>
  <c r="B211"/>
  <c r="D210"/>
  <c r="B210"/>
  <c r="D209"/>
  <c r="B209"/>
  <c r="D208" l="1"/>
  <c r="F208" s="1"/>
  <c r="D207"/>
  <c r="D206"/>
  <c r="G206" s="1"/>
  <c r="D205"/>
  <c r="F205" s="1"/>
  <c r="D204"/>
  <c r="F204" s="1"/>
  <c r="D203"/>
  <c r="D202"/>
  <c r="G202" s="1"/>
  <c r="D201"/>
  <c r="F201" s="1"/>
  <c r="D200"/>
  <c r="F200" s="1"/>
  <c r="D199"/>
  <c r="D198"/>
  <c r="G198" s="1"/>
  <c r="D197"/>
  <c r="F197" s="1"/>
  <c r="D196"/>
  <c r="F196" s="1"/>
  <c r="D195"/>
  <c r="D194"/>
  <c r="G194" s="1"/>
  <c r="D193"/>
  <c r="F193" s="1"/>
  <c r="D192"/>
  <c r="F192" s="1"/>
  <c r="D191"/>
  <c r="D190"/>
  <c r="G190" s="1"/>
  <c r="D189"/>
  <c r="F189" s="1"/>
  <c r="D188"/>
  <c r="F188" s="1"/>
  <c r="D187"/>
  <c r="D186"/>
  <c r="G186" s="1"/>
  <c r="D185"/>
  <c r="F185" s="1"/>
  <c r="D184"/>
  <c r="F184" s="1"/>
  <c r="D183"/>
  <c r="D182"/>
  <c r="G182" s="1"/>
  <c r="D181"/>
  <c r="F181" s="1"/>
  <c r="D180"/>
  <c r="F180" s="1"/>
  <c r="D179"/>
  <c r="D178"/>
  <c r="G178" s="1"/>
  <c r="D177"/>
  <c r="F177" s="1"/>
  <c r="D176"/>
  <c r="F176" s="1"/>
  <c r="D175"/>
  <c r="D174"/>
  <c r="G174" s="1"/>
  <c r="D173"/>
  <c r="F173" s="1"/>
  <c r="D172"/>
  <c r="F172" s="1"/>
  <c r="D171"/>
  <c r="D170"/>
  <c r="G170" s="1"/>
  <c r="D169"/>
  <c r="F169" s="1"/>
  <c r="D168"/>
  <c r="F168" s="1"/>
  <c r="D167"/>
  <c r="D166"/>
  <c r="G166" s="1"/>
  <c r="D165"/>
  <c r="F165" s="1"/>
  <c r="D164"/>
  <c r="F164" s="1"/>
  <c r="D163"/>
  <c r="D162"/>
  <c r="G162" s="1"/>
  <c r="D161"/>
  <c r="F161" s="1"/>
  <c r="D160"/>
  <c r="F160" s="1"/>
  <c r="D159"/>
  <c r="D158"/>
  <c r="G158" s="1"/>
  <c r="D157"/>
  <c r="F157" s="1"/>
  <c r="D156"/>
  <c r="F156" s="1"/>
  <c r="D155"/>
  <c r="D154"/>
  <c r="G154" s="1"/>
  <c r="D153"/>
  <c r="F153" s="1"/>
  <c r="D152"/>
  <c r="F152" s="1"/>
  <c r="D151"/>
  <c r="D150"/>
  <c r="G150" s="1"/>
  <c r="D149"/>
  <c r="F149" s="1"/>
  <c r="D148"/>
  <c r="F148" s="1"/>
  <c r="D147"/>
  <c r="D146"/>
  <c r="G146" s="1"/>
  <c r="D145"/>
  <c r="F145" s="1"/>
  <c r="D144"/>
  <c r="F144" s="1"/>
  <c r="D143"/>
  <c r="D142"/>
  <c r="G142" s="1"/>
  <c r="D141"/>
  <c r="F141" s="1"/>
  <c r="D140"/>
  <c r="F140" s="1"/>
  <c r="D139"/>
  <c r="D138"/>
  <c r="G138" s="1"/>
  <c r="D137"/>
  <c r="F137" s="1"/>
  <c r="D136"/>
  <c r="F136" s="1"/>
  <c r="D135"/>
  <c r="D134"/>
  <c r="G134" s="1"/>
  <c r="D133"/>
  <c r="F133" s="1"/>
  <c r="D132"/>
  <c r="F132" s="1"/>
  <c r="D131"/>
  <c r="D130"/>
  <c r="G130" s="1"/>
  <c r="D129"/>
  <c r="F129" s="1"/>
  <c r="D128"/>
  <c r="F128" s="1"/>
  <c r="D127"/>
  <c r="D126"/>
  <c r="G126" s="1"/>
  <c r="D125"/>
  <c r="F125" s="1"/>
  <c r="D124"/>
  <c r="F124" s="1"/>
  <c r="D123"/>
  <c r="D122"/>
  <c r="G122" s="1"/>
  <c r="D121"/>
  <c r="F121" s="1"/>
  <c r="D120"/>
  <c r="F120" s="1"/>
  <c r="D119"/>
  <c r="D118"/>
  <c r="G118" s="1"/>
  <c r="D117"/>
  <c r="F117" s="1"/>
  <c r="D116"/>
  <c r="F116" s="1"/>
  <c r="D115"/>
  <c r="D114"/>
  <c r="G114" s="1"/>
  <c r="D113"/>
  <c r="F113" s="1"/>
  <c r="D112"/>
  <c r="F112" s="1"/>
  <c r="D111"/>
  <c r="D110"/>
  <c r="G110" s="1"/>
  <c r="D109"/>
  <c r="F109" s="1"/>
  <c r="D108"/>
  <c r="F108" s="1"/>
  <c r="D107"/>
  <c r="D106"/>
  <c r="G106" s="1"/>
  <c r="D105"/>
  <c r="F105" s="1"/>
  <c r="D104"/>
  <c r="F104" s="1"/>
  <c r="D103"/>
  <c r="D102"/>
  <c r="G102" s="1"/>
  <c r="D101"/>
  <c r="F101" s="1"/>
  <c r="D100"/>
  <c r="F100" s="1"/>
  <c r="D99"/>
  <c r="D98"/>
  <c r="G98" s="1"/>
  <c r="D97"/>
  <c r="F97" s="1"/>
  <c r="D96"/>
  <c r="F96" s="1"/>
  <c r="D95"/>
  <c r="D94"/>
  <c r="G94" s="1"/>
  <c r="D93"/>
  <c r="F93" s="1"/>
  <c r="D92"/>
  <c r="F92" s="1"/>
  <c r="D91"/>
  <c r="D90"/>
  <c r="G90" s="1"/>
  <c r="D89"/>
  <c r="F89" s="1"/>
  <c r="D88"/>
  <c r="F88" s="1"/>
  <c r="D87"/>
  <c r="D86"/>
  <c r="G86" s="1"/>
  <c r="D85"/>
  <c r="F85" s="1"/>
  <c r="D84"/>
  <c r="F84" s="1"/>
  <c r="D83"/>
  <c r="D82"/>
  <c r="G82" s="1"/>
  <c r="D81"/>
  <c r="F81" s="1"/>
  <c r="D80"/>
  <c r="F80" s="1"/>
  <c r="D79"/>
  <c r="D78"/>
  <c r="G78" s="1"/>
  <c r="D77"/>
  <c r="F77" s="1"/>
  <c r="D76"/>
  <c r="F76" s="1"/>
  <c r="D75"/>
  <c r="D74"/>
  <c r="G74" s="1"/>
  <c r="D73"/>
  <c r="F73" s="1"/>
  <c r="D72"/>
  <c r="F72" s="1"/>
  <c r="D71"/>
  <c r="D70"/>
  <c r="G70" s="1"/>
  <c r="D69"/>
  <c r="F69" s="1"/>
  <c r="D68"/>
  <c r="F68" s="1"/>
  <c r="D67"/>
  <c r="D66"/>
  <c r="G66" s="1"/>
  <c r="D65"/>
  <c r="F65" s="1"/>
  <c r="D64"/>
  <c r="F64" s="1"/>
  <c r="D63"/>
  <c r="D62"/>
  <c r="G62" s="1"/>
  <c r="D61"/>
  <c r="F61" s="1"/>
  <c r="D60"/>
  <c r="F60" s="1"/>
  <c r="D59"/>
  <c r="D58"/>
  <c r="G58" s="1"/>
  <c r="D57"/>
  <c r="F57" s="1"/>
  <c r="D56"/>
  <c r="F56" s="1"/>
  <c r="D55"/>
  <c r="D54"/>
  <c r="G54" s="1"/>
  <c r="D53"/>
  <c r="F53" s="1"/>
  <c r="D52"/>
  <c r="F52" s="1"/>
  <c r="D51"/>
  <c r="D50"/>
  <c r="G50" s="1"/>
  <c r="D49"/>
  <c r="F49" s="1"/>
  <c r="D48"/>
  <c r="F48" s="1"/>
  <c r="D47"/>
  <c r="D46"/>
  <c r="G46" s="1"/>
  <c r="D45"/>
  <c r="F45" s="1"/>
  <c r="D44"/>
  <c r="F44" s="1"/>
  <c r="D43"/>
  <c r="D42"/>
  <c r="G42" s="1"/>
  <c r="D41"/>
  <c r="F41" s="1"/>
  <c r="D40"/>
  <c r="F40" s="1"/>
  <c r="D39"/>
  <c r="D38"/>
  <c r="G38" s="1"/>
  <c r="D37"/>
  <c r="F37" s="1"/>
  <c r="D36"/>
  <c r="F36" s="1"/>
  <c r="D35"/>
  <c r="D34"/>
  <c r="G34" s="1"/>
  <c r="D33"/>
  <c r="F33" s="1"/>
  <c r="D32"/>
  <c r="F32" s="1"/>
  <c r="D31"/>
  <c r="D30"/>
  <c r="G30" s="1"/>
  <c r="D29"/>
  <c r="F29" s="1"/>
  <c r="D28"/>
  <c r="F28" s="1"/>
  <c r="D27"/>
  <c r="D26"/>
  <c r="G26" s="1"/>
  <c r="D25"/>
  <c r="F25" s="1"/>
  <c r="D24"/>
  <c r="F24" s="1"/>
  <c r="D23"/>
  <c r="D22"/>
  <c r="G22" s="1"/>
  <c r="D21"/>
  <c r="F21" s="1"/>
  <c r="D20"/>
  <c r="F20" s="1"/>
  <c r="D19"/>
  <c r="D18"/>
  <c r="G18" s="1"/>
  <c r="D17"/>
  <c r="F17" s="1"/>
  <c r="D16"/>
  <c r="F16" s="1"/>
  <c r="D15"/>
  <c r="D14"/>
  <c r="G14" s="1"/>
  <c r="D13"/>
  <c r="F13" s="1"/>
  <c r="D12"/>
  <c r="F12" s="1"/>
  <c r="D11"/>
  <c r="D10"/>
  <c r="G10" s="1"/>
  <c r="D9"/>
  <c r="F9" s="1"/>
  <c r="D8"/>
  <c r="F8" s="1"/>
  <c r="D7"/>
  <c r="D6"/>
  <c r="G6" s="1"/>
  <c r="D5"/>
  <c r="F5" s="1"/>
  <c r="B208"/>
  <c r="B207"/>
  <c r="B206"/>
  <c r="B205"/>
  <c r="B204"/>
  <c r="B203"/>
  <c r="B202"/>
  <c r="B201"/>
  <c r="B200"/>
  <c r="B199"/>
  <c r="B198"/>
  <c r="B197"/>
  <c r="B196"/>
  <c r="B195"/>
  <c r="B194"/>
  <c r="B193"/>
  <c r="B192"/>
  <c r="B191"/>
  <c r="B190"/>
  <c r="B189"/>
  <c r="B188"/>
  <c r="B187"/>
  <c r="B186"/>
  <c r="B185"/>
  <c r="B184"/>
  <c r="B183"/>
  <c r="B182"/>
  <c r="B181"/>
  <c r="B180"/>
  <c r="B179"/>
  <c r="B178"/>
  <c r="B177"/>
  <c r="B176"/>
  <c r="B175"/>
  <c r="B174"/>
  <c r="B173"/>
  <c r="B172"/>
  <c r="B171"/>
  <c r="B170"/>
  <c r="B169"/>
  <c r="B168"/>
  <c r="B167"/>
  <c r="B166"/>
  <c r="B165"/>
  <c r="B164"/>
  <c r="B163"/>
  <c r="B162"/>
  <c r="B161"/>
  <c r="B160"/>
  <c r="B159"/>
  <c r="B158"/>
  <c r="B157"/>
  <c r="B156"/>
  <c r="B155"/>
  <c r="B154"/>
  <c r="B153"/>
  <c r="B152"/>
  <c r="B151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F6" l="1"/>
  <c r="G7"/>
  <c r="F10"/>
  <c r="G11"/>
  <c r="F14"/>
  <c r="G15"/>
  <c r="F18"/>
  <c r="G19"/>
  <c r="F22"/>
  <c r="G23"/>
  <c r="F26"/>
  <c r="G27"/>
  <c r="F30"/>
  <c r="G31"/>
  <c r="F34"/>
  <c r="G35"/>
  <c r="F38"/>
  <c r="G39"/>
  <c r="F42"/>
  <c r="G43"/>
  <c r="F46"/>
  <c r="G47"/>
  <c r="F50"/>
  <c r="G51"/>
  <c r="F54"/>
  <c r="G55"/>
  <c r="F58"/>
  <c r="G59"/>
  <c r="F62"/>
  <c r="G63"/>
  <c r="F66"/>
  <c r="G67"/>
  <c r="F70"/>
  <c r="G71"/>
  <c r="F74"/>
  <c r="G75"/>
  <c r="F78"/>
  <c r="G79"/>
  <c r="F82"/>
  <c r="G83"/>
  <c r="F86"/>
  <c r="G87"/>
  <c r="F90"/>
  <c r="G91"/>
  <c r="F94"/>
  <c r="G95"/>
  <c r="F98"/>
  <c r="G99"/>
  <c r="F102"/>
  <c r="G103"/>
  <c r="F106"/>
  <c r="G107"/>
  <c r="F110"/>
  <c r="G111"/>
  <c r="F114"/>
  <c r="G115"/>
  <c r="F118"/>
  <c r="G119"/>
  <c r="F122"/>
  <c r="G123"/>
  <c r="F126"/>
  <c r="G127"/>
  <c r="F130"/>
  <c r="G131"/>
  <c r="F134"/>
  <c r="G135"/>
  <c r="F138"/>
  <c r="G139"/>
  <c r="F142"/>
  <c r="G143"/>
  <c r="F146"/>
  <c r="G147"/>
  <c r="F150"/>
  <c r="G151"/>
  <c r="F154"/>
  <c r="G155"/>
  <c r="F158"/>
  <c r="G159"/>
  <c r="F162"/>
  <c r="G163"/>
  <c r="F166"/>
  <c r="G167"/>
  <c r="F170"/>
  <c r="G171"/>
  <c r="F174"/>
  <c r="G175"/>
  <c r="F178"/>
  <c r="G179"/>
  <c r="F182"/>
  <c r="G183"/>
  <c r="F186"/>
  <c r="G187"/>
  <c r="F190"/>
  <c r="G191"/>
  <c r="F194"/>
  <c r="G195"/>
  <c r="F198"/>
  <c r="G199"/>
  <c r="F202"/>
  <c r="G203"/>
  <c r="F206"/>
  <c r="G207"/>
  <c r="F7"/>
  <c r="G8"/>
  <c r="F11"/>
  <c r="G12"/>
  <c r="F15"/>
  <c r="G16"/>
  <c r="F19"/>
  <c r="G20"/>
  <c r="F23"/>
  <c r="G24"/>
  <c r="F27"/>
  <c r="G28"/>
  <c r="F31"/>
  <c r="G32"/>
  <c r="F35"/>
  <c r="G36"/>
  <c r="F39"/>
  <c r="G40"/>
  <c r="F43"/>
  <c r="G44"/>
  <c r="F47"/>
  <c r="G48"/>
  <c r="F51"/>
  <c r="G52"/>
  <c r="F55"/>
  <c r="G56"/>
  <c r="F59"/>
  <c r="G60"/>
  <c r="F63"/>
  <c r="G64"/>
  <c r="F67"/>
  <c r="G68"/>
  <c r="F71"/>
  <c r="G72"/>
  <c r="F75"/>
  <c r="G76"/>
  <c r="F79"/>
  <c r="G80"/>
  <c r="F83"/>
  <c r="G84"/>
  <c r="F87"/>
  <c r="G88"/>
  <c r="F91"/>
  <c r="G92"/>
  <c r="F95"/>
  <c r="G96"/>
  <c r="F99"/>
  <c r="G100"/>
  <c r="F103"/>
  <c r="G104"/>
  <c r="F107"/>
  <c r="G108"/>
  <c r="F111"/>
  <c r="G112"/>
  <c r="F115"/>
  <c r="G116"/>
  <c r="F119"/>
  <c r="G120"/>
  <c r="F123"/>
  <c r="G124"/>
  <c r="F127"/>
  <c r="G128"/>
  <c r="F131"/>
  <c r="G132"/>
  <c r="F135"/>
  <c r="G136"/>
  <c r="F139"/>
  <c r="G140"/>
  <c r="F143"/>
  <c r="G144"/>
  <c r="F147"/>
  <c r="G148"/>
  <c r="F151"/>
  <c r="G152"/>
  <c r="F155"/>
  <c r="G156"/>
  <c r="F159"/>
  <c r="G160"/>
  <c r="F163"/>
  <c r="G164"/>
  <c r="F167"/>
  <c r="G168"/>
  <c r="F171"/>
  <c r="G172"/>
  <c r="F175"/>
  <c r="G176"/>
  <c r="F179"/>
  <c r="G180"/>
  <c r="F183"/>
  <c r="G184"/>
  <c r="F187"/>
  <c r="G188"/>
  <c r="F191"/>
  <c r="G192"/>
  <c r="F195"/>
  <c r="G196"/>
  <c r="F199"/>
  <c r="G200"/>
  <c r="F203"/>
  <c r="G204"/>
  <c r="F207"/>
  <c r="G208"/>
  <c r="G9"/>
  <c r="G13"/>
  <c r="G17"/>
  <c r="G21"/>
  <c r="G25"/>
  <c r="G29"/>
  <c r="G33"/>
  <c r="G37"/>
  <c r="G41"/>
  <c r="G45"/>
  <c r="G49"/>
  <c r="G53"/>
  <c r="G57"/>
  <c r="G61"/>
  <c r="G65"/>
  <c r="G69"/>
  <c r="G73"/>
  <c r="G77"/>
  <c r="G81"/>
  <c r="G85"/>
  <c r="G89"/>
  <c r="G93"/>
  <c r="G97"/>
  <c r="G101"/>
  <c r="G105"/>
  <c r="G109"/>
  <c r="G113"/>
  <c r="G117"/>
  <c r="G121"/>
  <c r="G125"/>
  <c r="G129"/>
  <c r="G133"/>
  <c r="G137"/>
  <c r="G141"/>
  <c r="G145"/>
  <c r="G149"/>
  <c r="G153"/>
  <c r="G157"/>
  <c r="G161"/>
  <c r="G165"/>
  <c r="G169"/>
  <c r="G173"/>
  <c r="G177"/>
  <c r="G181"/>
  <c r="G185"/>
  <c r="G189"/>
  <c r="G193"/>
  <c r="G197"/>
  <c r="G201"/>
  <c r="G205"/>
  <c r="G5"/>
  <c r="AF258"/>
  <c r="AF259"/>
  <c r="AF260"/>
  <c r="AF261"/>
  <c r="AF262"/>
  <c r="AF263"/>
  <c r="AF264"/>
  <c r="AF265"/>
  <c r="AB243"/>
  <c r="AB244"/>
  <c r="AB245"/>
  <c r="AB246"/>
  <c r="AB247"/>
  <c r="AB248"/>
  <c r="AB249"/>
  <c r="AB250"/>
  <c r="AB251"/>
  <c r="AB252"/>
  <c r="AB253"/>
  <c r="AB254"/>
  <c r="AB255"/>
  <c r="AB256"/>
</calcChain>
</file>

<file path=xl/comments1.xml><?xml version="1.0" encoding="utf-8"?>
<comments xmlns="http://schemas.openxmlformats.org/spreadsheetml/2006/main">
  <authors>
    <author>GAURAVSA</author>
  </authors>
  <commentList>
    <comment ref="L5" authorId="0">
      <text>
        <r>
          <rPr>
            <b/>
            <sz val="8"/>
            <color indexed="81"/>
            <rFont val="Tahoma"/>
            <family val="2"/>
          </rPr>
          <t>GAURAVSA:</t>
        </r>
        <r>
          <rPr>
            <sz val="8"/>
            <color indexed="81"/>
            <rFont val="Tahoma"/>
            <family val="2"/>
          </rPr>
          <t xml:space="preserve">
Controller crashed hence Load was stopped for 15 mins for CM and RPL</t>
        </r>
      </text>
    </comment>
    <comment ref="X5" authorId="0">
      <text>
        <r>
          <rPr>
            <b/>
            <sz val="8"/>
            <color indexed="81"/>
            <rFont val="Tahoma"/>
            <family val="2"/>
          </rPr>
          <t>GAURAVSA:</t>
        </r>
        <r>
          <rPr>
            <sz val="8"/>
            <color indexed="81"/>
            <rFont val="Tahoma"/>
            <family val="2"/>
          </rPr>
          <t xml:space="preserve">
UAMS Ticket expired so Scenario was stopped and Started again
CM WL rolling bounce was also done to get rid of  stuck threads</t>
        </r>
      </text>
    </comment>
  </commentList>
</comments>
</file>

<file path=xl/sharedStrings.xml><?xml version="1.0" encoding="utf-8"?>
<sst xmlns="http://schemas.openxmlformats.org/spreadsheetml/2006/main" count="434" uniqueCount="402">
  <si>
    <t>Soak Test Online Volumes (Note: All the CM APIs mentioned below are synchronous call from CM)</t>
  </si>
  <si>
    <t>Module</t>
  </si>
  <si>
    <t>Business Process</t>
  </si>
  <si>
    <t>Average SLA latency (seconds)</t>
  </si>
  <si>
    <t>Production Volumes
(TPS)</t>
  </si>
  <si>
    <t>Limiting Factor in PET</t>
  </si>
  <si>
    <t># of  Servers in  Prod</t>
  </si>
  <si>
    <t xml:space="preserve"># of Servers in PET </t>
  </si>
  <si>
    <t>PET Comparison to Prod  (Scale Down Factor %)</t>
  </si>
  <si>
    <t>Targeted TPS (20% Peak load)</t>
  </si>
  <si>
    <t>Targeted TPS (50% Peak load)</t>
  </si>
  <si>
    <t>Targeted TPS (70% Peak load)</t>
  </si>
  <si>
    <t>Targeted TPS (100% Peak load)</t>
  </si>
  <si>
    <t>Targeted TPS (120% Peak load)</t>
  </si>
  <si>
    <t>Pass Criteria</t>
  </si>
  <si>
    <t>CM - Prepaid</t>
  </si>
  <si>
    <t>Restore Subscriber</t>
  </si>
  <si>
    <t>CM Servers</t>
  </si>
  <si>
    <t>CPU Utilization should not be more than 70%</t>
  </si>
  <si>
    <t>Add Favorite Number</t>
  </si>
  <si>
    <t>Add Offer</t>
  </si>
  <si>
    <t>RB Servers</t>
  </si>
  <si>
    <t>Get Subscriber Offer</t>
  </si>
  <si>
    <t>Change Price Plan</t>
  </si>
  <si>
    <t>Query Favorite Number</t>
  </si>
  <si>
    <t>Remove Favorite Number</t>
  </si>
  <si>
    <t>Replace Favorite Number</t>
  </si>
  <si>
    <t>Suspend Subscriber</t>
  </si>
  <si>
    <t>Remove Offer</t>
  </si>
  <si>
    <t>Resume Subscriber</t>
  </si>
  <si>
    <t>Update MSISDN NameAddress</t>
  </si>
  <si>
    <t>Total TPS</t>
  </si>
  <si>
    <t>RPL - Prepaid</t>
  </si>
  <si>
    <t>Get Balance Info</t>
  </si>
  <si>
    <t xml:space="preserve">Balance Transfer </t>
  </si>
  <si>
    <t>Update Expiry Date</t>
  </si>
  <si>
    <t xml:space="preserve">Balance Adjustment </t>
  </si>
  <si>
    <t>CM - PostPaid</t>
  </si>
  <si>
    <t>AddOffer</t>
  </si>
  <si>
    <t>GetSubscriberOffers</t>
  </si>
  <si>
    <t>CM_Getmsisdn_language</t>
  </si>
  <si>
    <t>CM_GetMSISDNProfile</t>
  </si>
  <si>
    <t>CM_GetBAfromPrimaryMsisdn</t>
  </si>
  <si>
    <t>CM_GetPrimary_MSISDNFROM_BA</t>
  </si>
  <si>
    <t>Date-Time</t>
  </si>
  <si>
    <t>12/25/201003:30:00</t>
  </si>
  <si>
    <t>12/25/201003:35:00</t>
  </si>
  <si>
    <t>12/25/201003:40:00</t>
  </si>
  <si>
    <t>12/25/201003:45:00</t>
  </si>
  <si>
    <t>12/25/201003:50:00</t>
  </si>
  <si>
    <t>12/25/201003:55:00</t>
  </si>
  <si>
    <t>12/25/201004:00:00</t>
  </si>
  <si>
    <t>12/25/201004:05:00</t>
  </si>
  <si>
    <t>12/25/201004:10:00</t>
  </si>
  <si>
    <t>12/25/201004:15:00</t>
  </si>
  <si>
    <t>12/25/201004:20:00</t>
  </si>
  <si>
    <t>12/25/201004:25:00</t>
  </si>
  <si>
    <t>12/25/201004:30:00</t>
  </si>
  <si>
    <t>12/25/201004:35:00</t>
  </si>
  <si>
    <t>12/25/201004:40:00</t>
  </si>
  <si>
    <t>12/25/201004:45:00</t>
  </si>
  <si>
    <t>12/25/201004:50:00</t>
  </si>
  <si>
    <t>12/25/201004:55:00</t>
  </si>
  <si>
    <t>12/25/201005:00:00</t>
  </si>
  <si>
    <t>12/25/201005:05:00</t>
  </si>
  <si>
    <t>12/25/201005:10:00</t>
  </si>
  <si>
    <t>12/25/201005:15:00</t>
  </si>
  <si>
    <t>12/25/201005:20:00</t>
  </si>
  <si>
    <t>12/25/201005:25:00</t>
  </si>
  <si>
    <t>12/25/201005:30:00</t>
  </si>
  <si>
    <t>12/25/201005:35:00</t>
  </si>
  <si>
    <t>12/25/201005:40:00</t>
  </si>
  <si>
    <t>12/25/201005:45:00</t>
  </si>
  <si>
    <t>12/25/201005:50:00</t>
  </si>
  <si>
    <t>12/25/201005:55:00</t>
  </si>
  <si>
    <t>12/25/201006:00:00</t>
  </si>
  <si>
    <t>12/25/201006:05:00</t>
  </si>
  <si>
    <t>12/25/201006:10:00</t>
  </si>
  <si>
    <t>12/25/201006:15:00</t>
  </si>
  <si>
    <t>12/25/201006:20:00</t>
  </si>
  <si>
    <t>12/25/201006:25:00</t>
  </si>
  <si>
    <t>12/25/201006:30:00</t>
  </si>
  <si>
    <t>12/25/201006:35:00</t>
  </si>
  <si>
    <t>12/25/201006:40:00</t>
  </si>
  <si>
    <t>12/25/201006:45:00</t>
  </si>
  <si>
    <t>12/25/201006:50:00</t>
  </si>
  <si>
    <t>12/25/201006:55:00</t>
  </si>
  <si>
    <t>12/25/201007:00:00</t>
  </si>
  <si>
    <t>12/25/201007:05:00</t>
  </si>
  <si>
    <t>12/25/201007:10:00</t>
  </si>
  <si>
    <t>12/25/201007:15:00</t>
  </si>
  <si>
    <t>12/25/201007:20:00</t>
  </si>
  <si>
    <t>12/25/201007:25:00</t>
  </si>
  <si>
    <t>12/25/201007:30:00</t>
  </si>
  <si>
    <t>12/25/201007:35:00</t>
  </si>
  <si>
    <t>12/25/201007:40:00</t>
  </si>
  <si>
    <t>12/25/201007:45:00</t>
  </si>
  <si>
    <t>12/25/201007:50:00</t>
  </si>
  <si>
    <t>12/25/201007:55:00</t>
  </si>
  <si>
    <t>12/25/201008:00:00</t>
  </si>
  <si>
    <t>12/25/201008:05:00</t>
  </si>
  <si>
    <t>12/25/201008:10:00</t>
  </si>
  <si>
    <t>12/25/201008:15:00</t>
  </si>
  <si>
    <t>12/25/201008:20:00</t>
  </si>
  <si>
    <t>12/25/201008:25:00</t>
  </si>
  <si>
    <t>12/25/201008:30:00</t>
  </si>
  <si>
    <t>12/25/201008:35:00</t>
  </si>
  <si>
    <t>12/25/201008:40:00</t>
  </si>
  <si>
    <t>12/25/201008:45:00</t>
  </si>
  <si>
    <t>12/25/201008:50:00</t>
  </si>
  <si>
    <t>12/25/201008:55:00</t>
  </si>
  <si>
    <t>12/25/201009:00:00</t>
  </si>
  <si>
    <t>12/25/201009:05:00</t>
  </si>
  <si>
    <t>12/25/201009:10:00</t>
  </si>
  <si>
    <t>12/25/201009:15:00</t>
  </si>
  <si>
    <t>12/25/201009:20:00</t>
  </si>
  <si>
    <t>12/25/201009:25:00</t>
  </si>
  <si>
    <t>12/25/201009:30:00</t>
  </si>
  <si>
    <t>12/25/201009:35:00</t>
  </si>
  <si>
    <t>12/25/201009:40:00</t>
  </si>
  <si>
    <t>12/25/201009:45:00</t>
  </si>
  <si>
    <t>12/25/201009:50:01</t>
  </si>
  <si>
    <t>12/25/201009:55:00</t>
  </si>
  <si>
    <t>12/25/201010:00:00</t>
  </si>
  <si>
    <t>12/25/201010:05:00</t>
  </si>
  <si>
    <t>12/25/201010:10:00</t>
  </si>
  <si>
    <t>12/25/201010:15:00</t>
  </si>
  <si>
    <t>12/25/201010:20:00</t>
  </si>
  <si>
    <t>12/25/201010:25:00</t>
  </si>
  <si>
    <t>12/25/201010:30:00</t>
  </si>
  <si>
    <t>12/25/201010:35:00</t>
  </si>
  <si>
    <t>12/25/201010:40:00</t>
  </si>
  <si>
    <t>12/25/201010:45:00</t>
  </si>
  <si>
    <t>12/25/201010:50:00</t>
  </si>
  <si>
    <t>12/25/201010:55:00</t>
  </si>
  <si>
    <t>12/25/201011:00:00</t>
  </si>
  <si>
    <t>12/25/201011:05:00</t>
  </si>
  <si>
    <t>12/25/201011:10:00</t>
  </si>
  <si>
    <t>12/25/201011:15:00</t>
  </si>
  <si>
    <t>12/25/201011:20:00</t>
  </si>
  <si>
    <t>12/25/201011:25:00</t>
  </si>
  <si>
    <t>12/25/201011:30:00</t>
  </si>
  <si>
    <t>12/25/201011:35:00</t>
  </si>
  <si>
    <t>12/25/201011:40:00</t>
  </si>
  <si>
    <t>12/25/201011:45:00</t>
  </si>
  <si>
    <t>12/25/201011:50:00</t>
  </si>
  <si>
    <t>12/25/201011:55:00</t>
  </si>
  <si>
    <t>12/25/201012:00:00</t>
  </si>
  <si>
    <t>12/25/201012:05:00</t>
  </si>
  <si>
    <t>12/25/201012:10:00</t>
  </si>
  <si>
    <t>12/25/201012:15:00</t>
  </si>
  <si>
    <t>12/25/201012:20:00</t>
  </si>
  <si>
    <t>12/25/201012:25:00</t>
  </si>
  <si>
    <t>12/25/201012:30:00</t>
  </si>
  <si>
    <t>12/25/201012:35:00</t>
  </si>
  <si>
    <t>12/25/201012:40:00</t>
  </si>
  <si>
    <t>12/25/201012:45:00</t>
  </si>
  <si>
    <t>12/25/201012:50:00</t>
  </si>
  <si>
    <t>12/25/201012:55:00</t>
  </si>
  <si>
    <t>12/25/201013:00:00</t>
  </si>
  <si>
    <t>12/25/201013:05:00</t>
  </si>
  <si>
    <t>12/25/201013:10:00</t>
  </si>
  <si>
    <t>12/25/201013:15:00</t>
  </si>
  <si>
    <t>12/25/201013:20:00</t>
  </si>
  <si>
    <t>12/25/201013:25:00</t>
  </si>
  <si>
    <t>12/25/201013:30:00</t>
  </si>
  <si>
    <t>12/25/201013:35:00</t>
  </si>
  <si>
    <t>12/25/201013:40:00</t>
  </si>
  <si>
    <t>12/25/201013:45:00</t>
  </si>
  <si>
    <t>12/25/201013:50:00</t>
  </si>
  <si>
    <t>12/25/201013:55:00</t>
  </si>
  <si>
    <t>12/25/201014:00:00</t>
  </si>
  <si>
    <t>12/25/201014:05:00</t>
  </si>
  <si>
    <t>12/25/201014:10:00</t>
  </si>
  <si>
    <t>12/25/201014:15:00</t>
  </si>
  <si>
    <t>12/25/201014:20:00</t>
  </si>
  <si>
    <t>12/25/201014:25:00</t>
  </si>
  <si>
    <t>12/25/201014:30:00</t>
  </si>
  <si>
    <t>12/25/201014:35:00</t>
  </si>
  <si>
    <t>12/25/201014:40:00</t>
  </si>
  <si>
    <t>12/25/201014:45:00</t>
  </si>
  <si>
    <t>12/25/201014:50:00</t>
  </si>
  <si>
    <t>12/25/201014:55:00</t>
  </si>
  <si>
    <t>12/25/201015:00:00</t>
  </si>
  <si>
    <t>12/25/201015:05:00</t>
  </si>
  <si>
    <t>12/25/201015:10:00</t>
  </si>
  <si>
    <t>12/25/201015:15:00</t>
  </si>
  <si>
    <t>12/25/201015:20:00</t>
  </si>
  <si>
    <t>12/25/201015:25:00</t>
  </si>
  <si>
    <t>12/25/201015:30:00</t>
  </si>
  <si>
    <t>12/25/201015:35:00</t>
  </si>
  <si>
    <t>12/25/201015:40:00</t>
  </si>
  <si>
    <t>12/25/201015:45:00</t>
  </si>
  <si>
    <t>12/25/201015:50:00</t>
  </si>
  <si>
    <t>12/25/201015:55:00</t>
  </si>
  <si>
    <t>12/25/201016:00:00</t>
  </si>
  <si>
    <t>12/25/201016:05:00</t>
  </si>
  <si>
    <t>12/25/201016:10:00</t>
  </si>
  <si>
    <t>12/25/201016:15:00</t>
  </si>
  <si>
    <t>12/25/201016:20:00</t>
  </si>
  <si>
    <t>12/25/201016:25:00</t>
  </si>
  <si>
    <t>12/25/201016:30:00</t>
  </si>
  <si>
    <t>12/25/201016:35:00</t>
  </si>
  <si>
    <t>12/25/201016:40:00</t>
  </si>
  <si>
    <t>12/25/201016:45:00</t>
  </si>
  <si>
    <t>12/25/201016:50:00</t>
  </si>
  <si>
    <t>12/25/201016:55:00</t>
  </si>
  <si>
    <t>12/25/201017:00:00</t>
  </si>
  <si>
    <t>12/25/201017:05:00</t>
  </si>
  <si>
    <t>12/25/201017:10:00</t>
  </si>
  <si>
    <t>12/25/201017:15:00</t>
  </si>
  <si>
    <t>12/25/201017:20:00</t>
  </si>
  <si>
    <t>12/25/201017:25:00</t>
  </si>
  <si>
    <t>12/25/201017:30:00</t>
  </si>
  <si>
    <t>12/25/201017:35:00</t>
  </si>
  <si>
    <t>12/25/201017:40:00</t>
  </si>
  <si>
    <t>12/25/201017:45:00</t>
  </si>
  <si>
    <t>12/25/201017:50:00</t>
  </si>
  <si>
    <t>12/25/201017:55:00</t>
  </si>
  <si>
    <t>12/25/201018:00:00</t>
  </si>
  <si>
    <t>12/25/201018:05:00</t>
  </si>
  <si>
    <t>12/25/201018:10:00</t>
  </si>
  <si>
    <t>12/25/201018:15:00</t>
  </si>
  <si>
    <t>12/25/201018:20:00</t>
  </si>
  <si>
    <t>12/25/201018:25:01</t>
  </si>
  <si>
    <t>12/25/201018:30:00</t>
  </si>
  <si>
    <t>12/25/201018:35:00</t>
  </si>
  <si>
    <t>12/25/201018:40:00</t>
  </si>
  <si>
    <t>12/25/201018:45:00</t>
  </si>
  <si>
    <t>12/25/201018:50:00</t>
  </si>
  <si>
    <t>12/25/201018:55:00</t>
  </si>
  <si>
    <t>12/25/201019:00:00</t>
  </si>
  <si>
    <t>12/25/201019:05:00</t>
  </si>
  <si>
    <t>12/25/201019:10:00</t>
  </si>
  <si>
    <t>12/25/201019:15:00</t>
  </si>
  <si>
    <t>12/25/201019:20:00</t>
  </si>
  <si>
    <t>12/25/201019:25:00</t>
  </si>
  <si>
    <t>12/25/201019:30:00</t>
  </si>
  <si>
    <t>12/25/201019:35:00</t>
  </si>
  <si>
    <t>12/25/201019:40:00</t>
  </si>
  <si>
    <t>12/25/201019:45:00</t>
  </si>
  <si>
    <t>12/25/201019:50:00</t>
  </si>
  <si>
    <t>12/25/201019:55:00</t>
  </si>
  <si>
    <t>12/25/201020:00:00</t>
  </si>
  <si>
    <t>12/25/201020:05:00</t>
  </si>
  <si>
    <t>12/25/201020:10:00</t>
  </si>
  <si>
    <t>12/25/201020:15:00</t>
  </si>
  <si>
    <t>12/25/201020:20:00</t>
  </si>
  <si>
    <t>12/25/201020:25:00</t>
  </si>
  <si>
    <t>12/25/201020:30:00</t>
  </si>
  <si>
    <t>12/25/201020:35:00</t>
  </si>
  <si>
    <t>12/25/201020:40:00</t>
  </si>
  <si>
    <t>12/25/201020:45:00</t>
  </si>
  <si>
    <t>12/25/201020:50:00</t>
  </si>
  <si>
    <t>12/25/201020:55:00</t>
  </si>
  <si>
    <t>12/25/201021:00:00</t>
  </si>
  <si>
    <t>12/25/201021:05:00</t>
  </si>
  <si>
    <t>12/25/201021:10:00</t>
  </si>
  <si>
    <t>12/25/201021:15:00</t>
  </si>
  <si>
    <t>12/25/201021:20:00</t>
  </si>
  <si>
    <t>12/25/201021:25:00</t>
  </si>
  <si>
    <t>12/25/201021:30:00</t>
  </si>
  <si>
    <t>12/25/201021:35:00</t>
  </si>
  <si>
    <t>12/25/201021:40:00</t>
  </si>
  <si>
    <t>12/25/201021:45:00</t>
  </si>
  <si>
    <t>12/25/201021:50:00</t>
  </si>
  <si>
    <t>12/25/201021:55:00</t>
  </si>
  <si>
    <t>12/25/201022:00:00</t>
  </si>
  <si>
    <t>12/25/201022:05:00</t>
  </si>
  <si>
    <t>12/25/201022:10:00</t>
  </si>
  <si>
    <t>12/25/201022:15:00</t>
  </si>
  <si>
    <t>12/25/201022:20:00</t>
  </si>
  <si>
    <t>12/25/201022:25:00</t>
  </si>
  <si>
    <t>12/25/201022:30:00</t>
  </si>
  <si>
    <t>12/25/201022:35:00</t>
  </si>
  <si>
    <t>12/25/201022:40:00</t>
  </si>
  <si>
    <t>12/25/201022:45:00</t>
  </si>
  <si>
    <t>12/25/201022:50:00</t>
  </si>
  <si>
    <t>12/25/201022:55:00</t>
  </si>
  <si>
    <t>12/25/201023:00:00</t>
  </si>
  <si>
    <t>12/25/201023:05:00</t>
  </si>
  <si>
    <t>12/25/201023:10:00</t>
  </si>
  <si>
    <t>12/25/201023:15:00</t>
  </si>
  <si>
    <t>12/25/201023:20:00</t>
  </si>
  <si>
    <t>12/25/201023:25:00</t>
  </si>
  <si>
    <t>12/25/201023:30:01</t>
  </si>
  <si>
    <t>12/25/201023:35:00</t>
  </si>
  <si>
    <t>12/25/201023:40:00</t>
  </si>
  <si>
    <t>12/25/201023:45:00</t>
  </si>
  <si>
    <t>12/25/201023:50:00</t>
  </si>
  <si>
    <t>12/25/201023:55:00</t>
  </si>
  <si>
    <t>12/26/201000:00:00</t>
  </si>
  <si>
    <t>12/26/201000:05:00</t>
  </si>
  <si>
    <t>12/26/201000:10:00</t>
  </si>
  <si>
    <t>12/26/201000:15:00</t>
  </si>
  <si>
    <t>12/26/201000:20:00</t>
  </si>
  <si>
    <t>12/26/201000:25:00</t>
  </si>
  <si>
    <t>12/26/201000:30:00</t>
  </si>
  <si>
    <t>12/26/201000:35:00</t>
  </si>
  <si>
    <t>12/26/201000:40:00</t>
  </si>
  <si>
    <t>12/26/201000:45:00</t>
  </si>
  <si>
    <t>12/26/201000:50:00</t>
  </si>
  <si>
    <t>12/26/201000:55:00</t>
  </si>
  <si>
    <t>12/26/201001:00:00</t>
  </si>
  <si>
    <t>12/26/201001:05:00</t>
  </si>
  <si>
    <t>12/26/201001:10:00</t>
  </si>
  <si>
    <t>12/26/201001:15:00</t>
  </si>
  <si>
    <t>12/26/201001:20:00</t>
  </si>
  <si>
    <t>12/26/201001:25:00</t>
  </si>
  <si>
    <t>12/26/201001:30:00</t>
  </si>
  <si>
    <t>12/26/201001:35:00</t>
  </si>
  <si>
    <t>12/26/201001:40:00</t>
  </si>
  <si>
    <t>12/26/201001:45:00</t>
  </si>
  <si>
    <t>12/26/201001:50:00</t>
  </si>
  <si>
    <t>12/26/201001:55:00</t>
  </si>
  <si>
    <t>12/26/201002:00:00</t>
  </si>
  <si>
    <t>12/26/201002:05:00</t>
  </si>
  <si>
    <t>12/26/201002:10:00</t>
  </si>
  <si>
    <t>12/26/201002:15:00</t>
  </si>
  <si>
    <t>12/26/201002:20:00</t>
  </si>
  <si>
    <t>12/26/201002:25:00</t>
  </si>
  <si>
    <t>Load</t>
  </si>
  <si>
    <t>Soak Test - 25th and 26th Dec 2010</t>
  </si>
  <si>
    <t>70% - 1st</t>
  </si>
  <si>
    <t>70% -2nd</t>
  </si>
  <si>
    <t>70% - 3rd</t>
  </si>
  <si>
    <t xml:space="preserve">70% - 4th </t>
  </si>
  <si>
    <t>70% - 5th</t>
  </si>
  <si>
    <t>70% - 6th</t>
  </si>
  <si>
    <t>70% - 7th</t>
  </si>
  <si>
    <t>70% - 8th</t>
  </si>
  <si>
    <t>70% - 9th</t>
  </si>
  <si>
    <t>70% - 10th</t>
  </si>
  <si>
    <t>70% - 11th</t>
  </si>
  <si>
    <t>70% - 12th</t>
  </si>
  <si>
    <t>70% - 13th</t>
  </si>
  <si>
    <t>70% - 14th</t>
  </si>
  <si>
    <t>70% - 15th</t>
  </si>
  <si>
    <t>70% - 16th</t>
  </si>
  <si>
    <t>70% - 17th</t>
  </si>
  <si>
    <t>SOAK TEST ENDS</t>
  </si>
  <si>
    <t>0330-0430</t>
  </si>
  <si>
    <t>0430-0530</t>
  </si>
  <si>
    <t>0530-0630</t>
  </si>
  <si>
    <t>0630-0730</t>
  </si>
  <si>
    <t>0730-0830</t>
  </si>
  <si>
    <t>0830-0930</t>
  </si>
  <si>
    <t>0930-1030</t>
  </si>
  <si>
    <t>1030-1130</t>
  </si>
  <si>
    <t>1130-1230</t>
  </si>
  <si>
    <t>1230-1330</t>
  </si>
  <si>
    <t>1330-1430</t>
  </si>
  <si>
    <t>1430-1530</t>
  </si>
  <si>
    <t>1530-1630</t>
  </si>
  <si>
    <t>1630-1730</t>
  </si>
  <si>
    <t>1730-1830</t>
  </si>
  <si>
    <t>1830-1930</t>
  </si>
  <si>
    <t>1930-2030</t>
  </si>
  <si>
    <t>2030-2130</t>
  </si>
  <si>
    <t>2130-2230</t>
  </si>
  <si>
    <t>2230-2330</t>
  </si>
  <si>
    <t>2330-0030</t>
  </si>
  <si>
    <t>0030-0130</t>
  </si>
  <si>
    <t>0230--0330</t>
  </si>
  <si>
    <t>SYSTEM</t>
  </si>
  <si>
    <t>CPU Max</t>
  </si>
  <si>
    <t>CPU Average</t>
  </si>
  <si>
    <t>CPU Min</t>
  </si>
  <si>
    <t>CM</t>
  </si>
  <si>
    <t>Time</t>
  </si>
  <si>
    <t>DB CPU%</t>
  </si>
  <si>
    <t>CM CPU MAX</t>
  </si>
  <si>
    <t>CM CPU AVG</t>
  </si>
  <si>
    <t>Column1</t>
  </si>
  <si>
    <t>Sample</t>
  </si>
  <si>
    <t>CM Sample</t>
  </si>
  <si>
    <t>CM DB CPU%</t>
  </si>
  <si>
    <t>CM Sample(Hour)</t>
  </si>
  <si>
    <t>Row Labels</t>
  </si>
  <si>
    <t>Grand Total</t>
  </si>
  <si>
    <t>Average of CM DB CPU%</t>
  </si>
  <si>
    <t>Values</t>
  </si>
  <si>
    <t>StdDev of CM DB CPU%</t>
  </si>
  <si>
    <t>Average of CM CPU AVG</t>
  </si>
  <si>
    <t>StdDev of CM CPU AVG</t>
  </si>
  <si>
    <t>Average of CM CPU MAX</t>
  </si>
  <si>
    <t>StdDev of CM CPU MAX</t>
  </si>
  <si>
    <t>Max of CM DB CPU%</t>
  </si>
  <si>
    <t>Max of CM CPU AVG</t>
  </si>
  <si>
    <t>Max of CM CPU MAX</t>
  </si>
  <si>
    <t>CMDB+3STD</t>
  </si>
  <si>
    <t>AVG+3STD</t>
  </si>
  <si>
    <t>AVG-3STD</t>
  </si>
  <si>
    <t>Log CM CPU AVG</t>
  </si>
  <si>
    <t>(blank)</t>
  </si>
  <si>
    <t>Average of Log CM CPU AVG</t>
  </si>
  <si>
    <t>StdDev of Log CM CPU AVG</t>
  </si>
  <si>
    <t>LOGNORMAL Mean</t>
  </si>
  <si>
    <t>LogNormal sigma</t>
  </si>
  <si>
    <t>CM CPU STD</t>
  </si>
  <si>
    <t>CM CPU+3std</t>
  </si>
  <si>
    <t>CM CPU -3std</t>
  </si>
</sst>
</file>

<file path=xl/styles.xml><?xml version="1.0" encoding="utf-8"?>
<styleSheet xmlns="http://schemas.openxmlformats.org/spreadsheetml/2006/main">
  <numFmts count="1">
    <numFmt numFmtId="164" formatCode="h:mm:ss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6.6"/>
      <color theme="10"/>
      <name val="Calibri"/>
      <family val="2"/>
    </font>
    <font>
      <b/>
      <sz val="16"/>
      <color rgb="FF0070C0"/>
      <name val="Calibri"/>
      <family val="2"/>
    </font>
    <font>
      <sz val="11"/>
      <color theme="1"/>
      <name val="Calibri"/>
      <family val="2"/>
      <charset val="177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indexed="8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DB4E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>
      <alignment vertical="top"/>
    </xf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8" fillId="0" borderId="0"/>
    <xf numFmtId="0" fontId="1" fillId="0" borderId="0"/>
    <xf numFmtId="9" fontId="8" fillId="0" borderId="0" applyFont="0" applyFill="0" applyBorder="0" applyAlignment="0" applyProtection="0"/>
    <xf numFmtId="0" fontId="5" fillId="0" borderId="0"/>
  </cellStyleXfs>
  <cellXfs count="11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Fill="1" applyBorder="1" applyAlignment="1">
      <alignment vertical="center" wrapText="1"/>
    </xf>
    <xf numFmtId="0" fontId="1" fillId="3" borderId="1" xfId="2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9" fontId="3" fillId="4" borderId="4" xfId="0" applyNumberFormat="1" applyFont="1" applyFill="1" applyBorder="1" applyAlignment="1">
      <alignment horizontal="center" vertical="center" wrapText="1"/>
    </xf>
    <xf numFmtId="0" fontId="4" fillId="5" borderId="25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3" xfId="2" applyFont="1" applyFill="1" applyBorder="1" applyAlignment="1">
      <alignment horizontal="center" vertical="center"/>
    </xf>
    <xf numFmtId="9" fontId="4" fillId="5" borderId="23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/>
    </xf>
    <xf numFmtId="0" fontId="1" fillId="3" borderId="16" xfId="2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0" fontId="2" fillId="2" borderId="16" xfId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4" fillId="5" borderId="26" xfId="0" applyFont="1" applyFill="1" applyBorder="1" applyAlignment="1">
      <alignment horizontal="center" vertical="center"/>
    </xf>
    <xf numFmtId="9" fontId="4" fillId="5" borderId="4" xfId="0" applyNumberFormat="1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0" fillId="3" borderId="1" xfId="2" applyFont="1" applyBorder="1" applyAlignment="1">
      <alignment horizontal="center" vertical="center"/>
    </xf>
    <xf numFmtId="0" fontId="0" fillId="3" borderId="7" xfId="2" applyFont="1" applyBorder="1" applyAlignment="1">
      <alignment horizontal="center" vertical="center"/>
    </xf>
    <xf numFmtId="0" fontId="0" fillId="0" borderId="0" xfId="0"/>
    <xf numFmtId="0" fontId="4" fillId="0" borderId="0" xfId="0" applyFont="1"/>
    <xf numFmtId="0" fontId="0" fillId="0" borderId="0" xfId="0" applyFill="1" applyBorder="1" applyAlignment="1"/>
    <xf numFmtId="9" fontId="11" fillId="8" borderId="7" xfId="0" applyNumberFormat="1" applyFont="1" applyFill="1" applyBorder="1" applyAlignment="1">
      <alignment horizontal="center" wrapText="1"/>
    </xf>
    <xf numFmtId="9" fontId="12" fillId="9" borderId="7" xfId="11" applyNumberFormat="1" applyFont="1" applyFill="1" applyBorder="1" applyAlignment="1">
      <alignment horizontal="center" wrapText="1"/>
    </xf>
    <xf numFmtId="0" fontId="11" fillId="10" borderId="1" xfId="0" applyFont="1" applyFill="1" applyBorder="1" applyAlignment="1">
      <alignment horizontal="center" wrapText="1"/>
    </xf>
    <xf numFmtId="0" fontId="12" fillId="11" borderId="1" xfId="1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10" fontId="11" fillId="12" borderId="1" xfId="0" applyNumberFormat="1" applyFont="1" applyFill="1" applyBorder="1" applyAlignment="1">
      <alignment horizontal="center" wrapText="1"/>
    </xf>
    <xf numFmtId="10" fontId="14" fillId="12" borderId="1" xfId="0" applyNumberFormat="1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wrapText="1"/>
    </xf>
    <xf numFmtId="10" fontId="14" fillId="12" borderId="1" xfId="0" applyNumberFormat="1" applyFont="1" applyFill="1" applyBorder="1" applyAlignment="1">
      <alignment horizontal="center"/>
    </xf>
    <xf numFmtId="10" fontId="15" fillId="12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wrapText="1"/>
    </xf>
    <xf numFmtId="0" fontId="9" fillId="0" borderId="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10" fontId="0" fillId="12" borderId="1" xfId="0" applyNumberFormat="1" applyFill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0" fontId="14" fillId="12" borderId="2" xfId="0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9" fontId="0" fillId="0" borderId="0" xfId="0" applyNumberFormat="1" applyAlignment="1">
      <alignment horizontal="center"/>
    </xf>
    <xf numFmtId="9" fontId="0" fillId="0" borderId="0" xfId="0" applyNumberFormat="1"/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pivotButton="1"/>
    <xf numFmtId="9" fontId="0" fillId="0" borderId="0" xfId="0" applyNumberFormat="1" applyAlignment="1">
      <alignment horizontal="left"/>
    </xf>
    <xf numFmtId="0" fontId="0" fillId="0" borderId="0" xfId="0" applyNumberFormat="1"/>
    <xf numFmtId="0" fontId="10" fillId="7" borderId="6" xfId="0" applyFont="1" applyFill="1" applyBorder="1" applyAlignment="1">
      <alignment horizontal="center" wrapText="1"/>
    </xf>
    <xf numFmtId="0" fontId="10" fillId="7" borderId="7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wrapText="1"/>
    </xf>
    <xf numFmtId="0" fontId="13" fillId="7" borderId="30" xfId="0" applyFont="1" applyFill="1" applyBorder="1" applyAlignment="1">
      <alignment horizontal="center" vertical="center" textRotation="90" wrapText="1"/>
    </xf>
    <xf numFmtId="0" fontId="13" fillId="7" borderId="27" xfId="0" applyFont="1" applyFill="1" applyBorder="1" applyAlignment="1">
      <alignment horizontal="center" vertical="center" textRotation="90" wrapText="1"/>
    </xf>
    <xf numFmtId="0" fontId="11" fillId="7" borderId="29" xfId="0" applyFont="1" applyFill="1" applyBorder="1" applyAlignment="1">
      <alignment horizontal="center" vertical="center" textRotation="90" wrapText="1"/>
    </xf>
    <xf numFmtId="0" fontId="7" fillId="0" borderId="18" xfId="4" applyFont="1" applyFill="1" applyBorder="1" applyAlignment="1" applyProtection="1">
      <alignment horizontal="left"/>
    </xf>
    <xf numFmtId="0" fontId="1" fillId="3" borderId="24" xfId="2" applyBorder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0" fillId="3" borderId="2" xfId="2" applyFont="1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3" borderId="23" xfId="2" applyBorder="1" applyAlignment="1">
      <alignment horizontal="center" vertical="center"/>
    </xf>
    <xf numFmtId="0" fontId="0" fillId="3" borderId="24" xfId="2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3" borderId="16" xfId="2" applyBorder="1" applyAlignment="1">
      <alignment horizontal="center" vertical="center"/>
    </xf>
    <xf numFmtId="0" fontId="0" fillId="0" borderId="0" xfId="0" applyAlignment="1">
      <alignment horizontal="left"/>
    </xf>
  </cellXfs>
  <cellStyles count="12">
    <cellStyle name="=C:\WINNT35\SYSTEM32\COMMAND.COM" xfId="3"/>
    <cellStyle name="40% - Accent3" xfId="2" builtinId="39"/>
    <cellStyle name="Good" xfId="1" builtinId="26"/>
    <cellStyle name="Hyperlink" xfId="4" builtinId="8"/>
    <cellStyle name="Normal" xfId="0" builtinId="0"/>
    <cellStyle name="Normal 2" xfId="8"/>
    <cellStyle name="Normal 3" xfId="5"/>
    <cellStyle name="Normal 4" xfId="6"/>
    <cellStyle name="Normal 4 2" xfId="9"/>
    <cellStyle name="Normal 7" xfId="7"/>
    <cellStyle name="Normal_Sheet1" xfId="11"/>
    <cellStyle name="Percent 2" xfId="10"/>
  </cellStyles>
  <dxfs count="49">
    <dxf>
      <numFmt numFmtId="14" formatCode="0.00%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3" formatCode="0%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0" justifyLastLine="0" shrinkToFit="0" mergeCell="0" readingOrder="0"/>
    </dxf>
    <dxf>
      <numFmt numFmtId="14" formatCode="0.00%"/>
      <alignment horizontal="center" vertical="bottom" textRotation="0" wrapText="0" indent="0" relativeIndent="0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0" justifyLastLine="0" shrinkToFit="0" mergeCell="0" readingOrder="0"/>
    </dxf>
    <dxf>
      <numFmt numFmtId="14" formatCode="0.00%"/>
      <alignment horizontal="center" vertical="bottom" textRotation="0" wrapText="0" indent="0" relativeIndent="0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3" formatCode="0%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3" formatCode="0%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4" formatCode="0.00%"/>
      <alignment horizontal="center" vertical="bottom" textRotation="0" wrapText="0" indent="0" relativeIndent="255" justifyLastLine="0" shrinkToFit="0" mergeCell="0" readingOrder="0"/>
    </dxf>
    <dxf>
      <numFmt numFmtId="13" formatCode="0%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rgb="FF00B050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rgb="FF00B050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h:mm:ss;@"/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alignment horizontal="center" vertical="bottom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Actual</c:v>
          </c:tx>
          <c:val>
            <c:numRef>
              <c:f>CMALL!$N$243:$N$257</c:f>
              <c:numCache>
                <c:formatCode>General</c:formatCode>
                <c:ptCount val="15"/>
              </c:numCache>
            </c:numRef>
          </c:val>
        </c:ser>
        <c:ser>
          <c:idx val="1"/>
          <c:order val="1"/>
          <c:tx>
            <c:v>Forecast</c:v>
          </c:tx>
          <c:val>
            <c:numRef>
              <c:f>CMALL!$AB$242:$AB$256</c:f>
              <c:numCache>
                <c:formatCode>General</c:formatCode>
                <c:ptCount val="15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95370624"/>
        <c:axId val="95876992"/>
      </c:lineChart>
      <c:catAx>
        <c:axId val="953706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</c:title>
        <c:tickLblPos val="nextTo"/>
        <c:crossAx val="95876992"/>
        <c:crosses val="autoZero"/>
        <c:auto val="1"/>
        <c:lblAlgn val="ctr"/>
        <c:lblOffset val="100"/>
      </c:catAx>
      <c:valAx>
        <c:axId val="9587699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</c:title>
        <c:numFmt formatCode="General" sourceLinked="1"/>
        <c:tickLblPos val="nextTo"/>
        <c:crossAx val="9537062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Moving Average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Actual</c:v>
          </c:tx>
          <c:val>
            <c:numRef>
              <c:f>CMALL!$R$258:$R$266</c:f>
              <c:numCache>
                <c:formatCode>General</c:formatCode>
                <c:ptCount val="9"/>
              </c:numCache>
            </c:numRef>
          </c:val>
        </c:ser>
        <c:ser>
          <c:idx val="1"/>
          <c:order val="1"/>
          <c:tx>
            <c:v>Forecast</c:v>
          </c:tx>
          <c:val>
            <c:numRef>
              <c:f>CMALL!$AF$258:$AF$265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marker val="1"/>
        <c:axId val="95513216"/>
        <c:axId val="95531776"/>
      </c:lineChart>
      <c:catAx>
        <c:axId val="95513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</c:title>
        <c:tickLblPos val="nextTo"/>
        <c:crossAx val="95531776"/>
        <c:crosses val="autoZero"/>
        <c:auto val="1"/>
        <c:lblAlgn val="ctr"/>
        <c:lblOffset val="100"/>
      </c:catAx>
      <c:valAx>
        <c:axId val="9553177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</c:title>
        <c:numFmt formatCode="General" sourceLinked="1"/>
        <c:tickLblPos val="nextTo"/>
        <c:crossAx val="95513216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1"/>
          <c:order val="0"/>
          <c:tx>
            <c:strRef>
              <c:f>PivotByVal!$D$1</c:f>
              <c:strCache>
                <c:ptCount val="1"/>
                <c:pt idx="0">
                  <c:v>Average of CM CPU AVG</c:v>
                </c:pt>
              </c:strCache>
            </c:strRef>
          </c:tx>
          <c:xVal>
            <c:numRef>
              <c:f>PivotByVal!$A$2:$A$4</c:f>
              <c:numCache>
                <c:formatCode>0%</c:formatCode>
                <c:ptCount val="3"/>
                <c:pt idx="0">
                  <c:v>0.7</c:v>
                </c:pt>
                <c:pt idx="1">
                  <c:v>1</c:v>
                </c:pt>
                <c:pt idx="2">
                  <c:v>1.2</c:v>
                </c:pt>
              </c:numCache>
            </c:numRef>
          </c:xVal>
          <c:yVal>
            <c:numRef>
              <c:f>PivotByVal!$D$2:$D$4</c:f>
              <c:numCache>
                <c:formatCode>0.00%</c:formatCode>
                <c:ptCount val="3"/>
                <c:pt idx="0">
                  <c:v>0.56864705882352862</c:v>
                </c:pt>
                <c:pt idx="1">
                  <c:v>0.62759166666666721</c:v>
                </c:pt>
                <c:pt idx="2">
                  <c:v>0.35880000000000001</c:v>
                </c:pt>
              </c:numCache>
            </c:numRef>
          </c:yVal>
          <c:smooth val="1"/>
        </c:ser>
        <c:ser>
          <c:idx val="3"/>
          <c:order val="1"/>
          <c:tx>
            <c:strRef>
              <c:f>PivotByVal!$H$1</c:f>
              <c:strCache>
                <c:ptCount val="1"/>
                <c:pt idx="0">
                  <c:v>Max of CM CPU AVG</c:v>
                </c:pt>
              </c:strCache>
            </c:strRef>
          </c:tx>
          <c:xVal>
            <c:numRef>
              <c:f>PivotByVal!$A$2:$A$4</c:f>
              <c:numCache>
                <c:formatCode>0%</c:formatCode>
                <c:ptCount val="3"/>
                <c:pt idx="0">
                  <c:v>0.7</c:v>
                </c:pt>
                <c:pt idx="1">
                  <c:v>1</c:v>
                </c:pt>
                <c:pt idx="2">
                  <c:v>1.2</c:v>
                </c:pt>
              </c:numCache>
            </c:numRef>
          </c:xVal>
          <c:yVal>
            <c:numRef>
              <c:f>PivotByVal!$H$2:$H$4</c:f>
              <c:numCache>
                <c:formatCode>0.00%</c:formatCode>
                <c:ptCount val="3"/>
                <c:pt idx="0">
                  <c:v>0.65280000000000005</c:v>
                </c:pt>
                <c:pt idx="1">
                  <c:v>0.65969999999999995</c:v>
                </c:pt>
                <c:pt idx="2">
                  <c:v>0.35880000000000001</c:v>
                </c:pt>
              </c:numCache>
            </c:numRef>
          </c:yVal>
          <c:smooth val="1"/>
        </c:ser>
        <c:ser>
          <c:idx val="0"/>
          <c:order val="2"/>
          <c:tx>
            <c:strRef>
              <c:f>PivotByVal!$B$1</c:f>
              <c:strCache>
                <c:ptCount val="1"/>
                <c:pt idx="0">
                  <c:v>Average of CM DB CPU%</c:v>
                </c:pt>
              </c:strCache>
            </c:strRef>
          </c:tx>
          <c:xVal>
            <c:numRef>
              <c:f>PivotByVal!$A$2:$A$4</c:f>
              <c:numCache>
                <c:formatCode>0%</c:formatCode>
                <c:ptCount val="3"/>
                <c:pt idx="0">
                  <c:v>0.7</c:v>
                </c:pt>
                <c:pt idx="1">
                  <c:v>1</c:v>
                </c:pt>
                <c:pt idx="2">
                  <c:v>1.2</c:v>
                </c:pt>
              </c:numCache>
            </c:numRef>
          </c:xVal>
          <c:yVal>
            <c:numRef>
              <c:f>PivotByVal!$B$2:$B$4</c:f>
              <c:numCache>
                <c:formatCode>0.00%</c:formatCode>
                <c:ptCount val="3"/>
                <c:pt idx="0">
                  <c:v>0.120907843137255</c:v>
                </c:pt>
                <c:pt idx="1">
                  <c:v>0.22528749999999997</c:v>
                </c:pt>
                <c:pt idx="2">
                  <c:v>0.130583333333333</c:v>
                </c:pt>
              </c:numCache>
            </c:numRef>
          </c:yVal>
          <c:smooth val="1"/>
        </c:ser>
        <c:ser>
          <c:idx val="4"/>
          <c:order val="3"/>
          <c:tx>
            <c:strRef>
              <c:f>PivotByVal!$I$1</c:f>
              <c:strCache>
                <c:ptCount val="1"/>
                <c:pt idx="0">
                  <c:v>Max of CM DB CPU%</c:v>
                </c:pt>
              </c:strCache>
            </c:strRef>
          </c:tx>
          <c:xVal>
            <c:numRef>
              <c:f>PivotByVal!$A$2:$A$4</c:f>
              <c:numCache>
                <c:formatCode>0%</c:formatCode>
                <c:ptCount val="3"/>
                <c:pt idx="0">
                  <c:v>0.7</c:v>
                </c:pt>
                <c:pt idx="1">
                  <c:v>1</c:v>
                </c:pt>
                <c:pt idx="2">
                  <c:v>1.2</c:v>
                </c:pt>
              </c:numCache>
            </c:numRef>
          </c:xVal>
          <c:yVal>
            <c:numRef>
              <c:f>PivotByVal!$I$2:$I$4</c:f>
              <c:numCache>
                <c:formatCode>0.00%</c:formatCode>
                <c:ptCount val="3"/>
                <c:pt idx="0">
                  <c:v>0.23</c:v>
                </c:pt>
                <c:pt idx="1">
                  <c:v>0.55159999999999998</c:v>
                </c:pt>
                <c:pt idx="2">
                  <c:v>0.24160000000000001</c:v>
                </c:pt>
              </c:numCache>
            </c:numRef>
          </c:yVal>
          <c:smooth val="1"/>
        </c:ser>
        <c:axId val="96354688"/>
        <c:axId val="96356224"/>
      </c:scatterChart>
      <c:valAx>
        <c:axId val="96354688"/>
        <c:scaling>
          <c:orientation val="minMax"/>
          <c:min val="0.70000000000000018"/>
        </c:scaling>
        <c:axPos val="b"/>
        <c:numFmt formatCode="0%" sourceLinked="1"/>
        <c:tickLblPos val="nextTo"/>
        <c:crossAx val="96356224"/>
        <c:crosses val="autoZero"/>
        <c:crossBetween val="midCat"/>
      </c:valAx>
      <c:valAx>
        <c:axId val="96356224"/>
        <c:scaling>
          <c:orientation val="minMax"/>
        </c:scaling>
        <c:axPos val="l"/>
        <c:majorGridlines/>
        <c:numFmt formatCode="0.00%" sourceLinked="1"/>
        <c:tickLblPos val="nextTo"/>
        <c:crossAx val="963546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PivotByVal!$F$1</c:f>
              <c:strCache>
                <c:ptCount val="1"/>
                <c:pt idx="0">
                  <c:v>Average of CM CPU MAX</c:v>
                </c:pt>
              </c:strCache>
            </c:strRef>
          </c:tx>
          <c:xVal>
            <c:numRef>
              <c:f>PivotByVal!$A$2:$A$4</c:f>
              <c:numCache>
                <c:formatCode>0%</c:formatCode>
                <c:ptCount val="3"/>
                <c:pt idx="0">
                  <c:v>0.7</c:v>
                </c:pt>
                <c:pt idx="1">
                  <c:v>1</c:v>
                </c:pt>
                <c:pt idx="2">
                  <c:v>1.2</c:v>
                </c:pt>
              </c:numCache>
            </c:numRef>
          </c:xVal>
          <c:yVal>
            <c:numRef>
              <c:f>PivotByVal!$F$2:$F$4</c:f>
              <c:numCache>
                <c:formatCode>0.00%</c:formatCode>
                <c:ptCount val="3"/>
                <c:pt idx="0">
                  <c:v>0.65774705882353035</c:v>
                </c:pt>
                <c:pt idx="1">
                  <c:v>0.67308541666666677</c:v>
                </c:pt>
                <c:pt idx="2">
                  <c:v>0.67900000000000016</c:v>
                </c:pt>
              </c:numCache>
            </c:numRef>
          </c:yVal>
          <c:smooth val="1"/>
        </c:ser>
        <c:axId val="96371840"/>
        <c:axId val="96373376"/>
      </c:scatterChart>
      <c:valAx>
        <c:axId val="96371840"/>
        <c:scaling>
          <c:orientation val="minMax"/>
          <c:min val="0.70000000000000018"/>
        </c:scaling>
        <c:axPos val="b"/>
        <c:numFmt formatCode="0%" sourceLinked="1"/>
        <c:tickLblPos val="nextTo"/>
        <c:crossAx val="96373376"/>
        <c:crosses val="autoZero"/>
        <c:crossBetween val="midCat"/>
      </c:valAx>
      <c:valAx>
        <c:axId val="96373376"/>
        <c:scaling>
          <c:orientation val="minMax"/>
        </c:scaling>
        <c:axPos val="l"/>
        <c:majorGridlines/>
        <c:numFmt formatCode="0.00%" sourceLinked="1"/>
        <c:tickLblPos val="nextTo"/>
        <c:crossAx val="963718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1"/>
          <c:order val="0"/>
          <c:tx>
            <c:strRef>
              <c:f>'2points'!$F$1</c:f>
              <c:strCache>
                <c:ptCount val="1"/>
                <c:pt idx="0">
                  <c:v>Average of CM CPU AVG</c:v>
                </c:pt>
              </c:strCache>
            </c:strRef>
          </c:tx>
          <c:xVal>
            <c:numRef>
              <c:f>'2points'!$A$2:$A$4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xVal>
          <c:yVal>
            <c:numRef>
              <c:f>'2points'!$F$2:$F$4</c:f>
              <c:numCache>
                <c:formatCode>0.00%</c:formatCode>
                <c:ptCount val="2"/>
                <c:pt idx="0">
                  <c:v>0.56864705882352862</c:v>
                </c:pt>
                <c:pt idx="1">
                  <c:v>0.62759166666666721</c:v>
                </c:pt>
              </c:numCache>
            </c:numRef>
          </c:yVal>
          <c:smooth val="1"/>
        </c:ser>
        <c:ser>
          <c:idx val="0"/>
          <c:order val="1"/>
          <c:tx>
            <c:strRef>
              <c:f>'2points'!$B$1</c:f>
              <c:strCache>
                <c:ptCount val="1"/>
                <c:pt idx="0">
                  <c:v>Average of CM DB CPU%</c:v>
                </c:pt>
              </c:strCache>
            </c:strRef>
          </c:tx>
          <c:xVal>
            <c:numRef>
              <c:f>'2points'!$A$2:$A$4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xVal>
          <c:yVal>
            <c:numRef>
              <c:f>'2points'!$B$2:$B$4</c:f>
              <c:numCache>
                <c:formatCode>0.00%</c:formatCode>
                <c:ptCount val="2"/>
                <c:pt idx="0">
                  <c:v>0.120907843137255</c:v>
                </c:pt>
                <c:pt idx="1">
                  <c:v>0.22528749999999997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'2points'!$H$1</c:f>
              <c:strCache>
                <c:ptCount val="1"/>
                <c:pt idx="0">
                  <c:v>AVG+3STD</c:v>
                </c:pt>
              </c:strCache>
            </c:strRef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  <a:prstDash val="dash"/>
            </a:ln>
          </c:spPr>
          <c:xVal>
            <c:numRef>
              <c:f>'2points'!$A$2:$A$3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xVal>
          <c:yVal>
            <c:numRef>
              <c:f>'2points'!$H$2:$H$3</c:f>
              <c:numCache>
                <c:formatCode>0.00%</c:formatCode>
                <c:ptCount val="2"/>
                <c:pt idx="0">
                  <c:v>0.91018719223343247</c:v>
                </c:pt>
                <c:pt idx="1">
                  <c:v>0.74853715201244087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'2points'!$I$1</c:f>
              <c:strCache>
                <c:ptCount val="1"/>
                <c:pt idx="0">
                  <c:v>AVG-3STD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xVal>
            <c:numRef>
              <c:f>'2points'!$A$2:$A$3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xVal>
          <c:yVal>
            <c:numRef>
              <c:f>'2points'!$I$2:$I$3</c:f>
              <c:numCache>
                <c:formatCode>0.00%</c:formatCode>
                <c:ptCount val="2"/>
                <c:pt idx="0">
                  <c:v>0.22710692541362476</c:v>
                </c:pt>
                <c:pt idx="1">
                  <c:v>0.50664618132089356</c:v>
                </c:pt>
              </c:numCache>
            </c:numRef>
          </c:yVal>
          <c:smooth val="1"/>
        </c:ser>
        <c:axId val="96609408"/>
        <c:axId val="96610944"/>
      </c:scatterChart>
      <c:valAx>
        <c:axId val="96609408"/>
        <c:scaling>
          <c:orientation val="minMax"/>
          <c:min val="0.7000000000000004"/>
        </c:scaling>
        <c:axPos val="b"/>
        <c:numFmt formatCode="0%" sourceLinked="1"/>
        <c:tickLblPos val="nextTo"/>
        <c:crossAx val="96610944"/>
        <c:crosses val="autoZero"/>
        <c:crossBetween val="midCat"/>
      </c:valAx>
      <c:valAx>
        <c:axId val="96610944"/>
        <c:scaling>
          <c:orientation val="minMax"/>
        </c:scaling>
        <c:axPos val="l"/>
        <c:majorGridlines/>
        <c:numFmt formatCode="0.00%" sourceLinked="1"/>
        <c:tickLblPos val="nextTo"/>
        <c:crossAx val="966094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'2points log-normal'!$D$1</c:f>
              <c:strCache>
                <c:ptCount val="1"/>
                <c:pt idx="0">
                  <c:v>CM CPU AVG</c:v>
                </c:pt>
              </c:strCache>
            </c:strRef>
          </c:tx>
          <c:xVal>
            <c:numRef>
              <c:f>'2points log-normal'!$A$2:$A$3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xVal>
          <c:yVal>
            <c:numRef>
              <c:f>'2points log-normal'!$D$2:$D$3</c:f>
              <c:numCache>
                <c:formatCode>0.00%</c:formatCode>
                <c:ptCount val="2"/>
                <c:pt idx="0">
                  <c:v>0.5716815915936585</c:v>
                </c:pt>
                <c:pt idx="1">
                  <c:v>0.62764811251416619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'2points log-normal'!$F$1</c:f>
              <c:strCache>
                <c:ptCount val="1"/>
                <c:pt idx="0">
                  <c:v>CM CPU+3std</c:v>
                </c:pt>
              </c:strCache>
            </c:strRef>
          </c:tx>
          <c:spPr>
            <a:ln>
              <a:solidFill>
                <a:schemeClr val="tx1"/>
              </a:solidFill>
              <a:prstDash val="dash"/>
            </a:ln>
          </c:spPr>
          <c:xVal>
            <c:numRef>
              <c:f>'2points log-normal'!$A$2:$A$3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xVal>
          <c:yVal>
            <c:numRef>
              <c:f>'2points log-normal'!$F$2:$F$3</c:f>
              <c:numCache>
                <c:formatCode>0.00%</c:formatCode>
                <c:ptCount val="2"/>
                <c:pt idx="0">
                  <c:v>0.63840631215802879</c:v>
                </c:pt>
                <c:pt idx="1">
                  <c:v>0.63285206979087727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'2points log-normal'!$G$1</c:f>
              <c:strCache>
                <c:ptCount val="1"/>
                <c:pt idx="0">
                  <c:v>CM CPU -3std</c:v>
                </c:pt>
              </c:strCache>
            </c:strRef>
          </c:tx>
          <c:spPr>
            <a:ln>
              <a:solidFill>
                <a:sysClr val="windowText" lastClr="000000"/>
              </a:solidFill>
              <a:prstDash val="dash"/>
            </a:ln>
          </c:spPr>
          <c:xVal>
            <c:numRef>
              <c:f>'2points log-normal'!$A$2:$A$3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xVal>
          <c:yVal>
            <c:numRef>
              <c:f>'2points log-normal'!$G$2:$G$3</c:f>
              <c:numCache>
                <c:formatCode>0.00%</c:formatCode>
                <c:ptCount val="2"/>
                <c:pt idx="0">
                  <c:v>0.50495687102928821</c:v>
                </c:pt>
                <c:pt idx="1">
                  <c:v>0.62244415523745511</c:v>
                </c:pt>
              </c:numCache>
            </c:numRef>
          </c:yVal>
          <c:smooth val="1"/>
        </c:ser>
        <c:axId val="98559488"/>
        <c:axId val="98557952"/>
      </c:scatterChart>
      <c:valAx>
        <c:axId val="98559488"/>
        <c:scaling>
          <c:orientation val="minMax"/>
          <c:min val="0.70000000000000007"/>
        </c:scaling>
        <c:axPos val="b"/>
        <c:numFmt formatCode="0%" sourceLinked="1"/>
        <c:tickLblPos val="nextTo"/>
        <c:crossAx val="98557952"/>
        <c:crosses val="autoZero"/>
        <c:crossBetween val="midCat"/>
      </c:valAx>
      <c:valAx>
        <c:axId val="98557952"/>
        <c:scaling>
          <c:orientation val="minMax"/>
          <c:min val="0.4"/>
        </c:scaling>
        <c:axPos val="l"/>
        <c:majorGridlines/>
        <c:numFmt formatCode="0.00%" sourceLinked="1"/>
        <c:tickLblPos val="nextTo"/>
        <c:crossAx val="985594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609599</xdr:colOff>
      <xdr:row>241</xdr:row>
      <xdr:rowOff>0</xdr:rowOff>
    </xdr:from>
    <xdr:to>
      <xdr:col>38</xdr:col>
      <xdr:colOff>542924</xdr:colOff>
      <xdr:row>256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600074</xdr:colOff>
      <xdr:row>257</xdr:row>
      <xdr:rowOff>0</xdr:rowOff>
    </xdr:from>
    <xdr:to>
      <xdr:col>43</xdr:col>
      <xdr:colOff>152400</xdr:colOff>
      <xdr:row>266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4</xdr:row>
      <xdr:rowOff>180974</xdr:rowOff>
    </xdr:from>
    <xdr:to>
      <xdr:col>5</xdr:col>
      <xdr:colOff>1323975</xdr:colOff>
      <xdr:row>29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9</xdr:row>
      <xdr:rowOff>19050</xdr:rowOff>
    </xdr:from>
    <xdr:to>
      <xdr:col>17</xdr:col>
      <xdr:colOff>352425</xdr:colOff>
      <xdr:row>29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4</xdr:row>
      <xdr:rowOff>180974</xdr:rowOff>
    </xdr:from>
    <xdr:to>
      <xdr:col>5</xdr:col>
      <xdr:colOff>1323975</xdr:colOff>
      <xdr:row>29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1752600</xdr:colOff>
      <xdr:row>6</xdr:row>
      <xdr:rowOff>9525</xdr:rowOff>
    </xdr:from>
    <xdr:to>
      <xdr:col>4</xdr:col>
      <xdr:colOff>285750</xdr:colOff>
      <xdr:row>20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mdocs" refreshedDate="40548.708422800926" createdVersion="3" refreshedVersion="3" minRefreshableVersion="3" recordCount="276">
  <cacheSource type="worksheet">
    <worksheetSource name="Table1"/>
  </cacheSource>
  <cacheFields count="5">
    <cacheField name="CM Sample(Hour)" numFmtId="0">
      <sharedItems containsSemiMixedTypes="0" containsString="0" containsNumber="1" containsInteger="1" minValue="0" maxValue="16"/>
    </cacheField>
    <cacheField name="Load" numFmtId="9">
      <sharedItems containsSemiMixedTypes="0" containsString="0" containsNumber="1" minValue="0.7" maxValue="1.2" count="4">
        <n v="0.71"/>
        <n v="1.2"/>
        <n v="1"/>
        <n v="0.7"/>
      </sharedItems>
    </cacheField>
    <cacheField name="CM CPU MAX" numFmtId="10">
      <sharedItems containsSemiMixedTypes="0" containsString="0" containsNumber="1" minValue="0.56340000000000001" maxValue="0.69269999999999998"/>
    </cacheField>
    <cacheField name="CM CPU AVG" numFmtId="10">
      <sharedItems containsSemiMixedTypes="0" containsString="0" containsNumber="1" minValue="0.24560000000000001" maxValue="0.65969999999999995"/>
    </cacheField>
    <cacheField name="CM DB CPU%" numFmtId="2">
      <sharedItems containsSemiMixedTypes="0" containsString="0" containsNumber="1" minValue="4.4800000000000004" maxValue="55.16"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mdocs" refreshedDate="40548.810899884258" createdVersion="3" refreshedVersion="3" minRefreshableVersion="3" recordCount="277">
  <cacheSource type="worksheet">
    <worksheetSource ref="A1:F1048576" sheet="CMVALS"/>
  </cacheSource>
  <cacheFields count="6">
    <cacheField name="CM Sample(Hour)" numFmtId="0">
      <sharedItems containsString="0" containsBlank="1" containsNumber="1" containsInteger="1" minValue="0" maxValue="16"/>
    </cacheField>
    <cacheField name="Load" numFmtId="9">
      <sharedItems containsString="0" containsBlank="1" containsNumber="1" minValue="0.7" maxValue="1.2" count="5">
        <n v="0.71"/>
        <n v="1.2"/>
        <n v="1"/>
        <n v="0.7"/>
        <m/>
      </sharedItems>
    </cacheField>
    <cacheField name="CM CPU MAX" numFmtId="10">
      <sharedItems containsString="0" containsBlank="1" containsNumber="1" minValue="0.56340000000000001" maxValue="0.69269999999999998"/>
    </cacheField>
    <cacheField name="CM CPU AVG" numFmtId="10">
      <sharedItems containsString="0" containsBlank="1" containsNumber="1" minValue="0.24560000000000001" maxValue="0.65969999999999995"/>
    </cacheField>
    <cacheField name="CM DB CPU%" numFmtId="2">
      <sharedItems containsString="0" containsBlank="1" containsNumber="1" minValue="4.4800000000000004" maxValue="55.16"/>
    </cacheField>
    <cacheField name="Log CM CPU AVG" numFmtId="0">
      <sharedItems containsString="0" containsBlank="1" containsNumber="1" minValue="-1.4040510827091497" maxValue="-0.4159700927533119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6">
  <r>
    <n v="0"/>
    <x v="0"/>
    <n v="0.67900000000000005"/>
    <n v="0.35880000000000001"/>
    <n v="13.99"/>
  </r>
  <r>
    <n v="0"/>
    <x v="0"/>
    <n v="0.67900000000000005"/>
    <n v="0.35880000000000001"/>
    <n v="12.48"/>
  </r>
  <r>
    <n v="0"/>
    <x v="0"/>
    <n v="0.67900000000000005"/>
    <n v="0.35880000000000001"/>
    <n v="9.2200000000000006"/>
  </r>
  <r>
    <n v="0"/>
    <x v="0"/>
    <n v="0.67900000000000005"/>
    <n v="0.35880000000000001"/>
    <n v="8.61"/>
  </r>
  <r>
    <n v="0"/>
    <x v="0"/>
    <n v="0.67900000000000005"/>
    <n v="0.35880000000000001"/>
    <n v="8.68"/>
  </r>
  <r>
    <n v="0"/>
    <x v="0"/>
    <n v="0.67900000000000005"/>
    <n v="0.35880000000000001"/>
    <n v="10.49"/>
  </r>
  <r>
    <n v="0"/>
    <x v="0"/>
    <n v="0.67900000000000005"/>
    <n v="0.35880000000000001"/>
    <n v="6.09"/>
  </r>
  <r>
    <n v="0"/>
    <x v="0"/>
    <n v="0.67900000000000005"/>
    <n v="0.35880000000000001"/>
    <n v="7.8"/>
  </r>
  <r>
    <n v="0"/>
    <x v="0"/>
    <n v="0.67900000000000005"/>
    <n v="0.35880000000000001"/>
    <n v="4.4800000000000004"/>
  </r>
  <r>
    <n v="0"/>
    <x v="0"/>
    <n v="0.67900000000000005"/>
    <n v="0.35880000000000001"/>
    <n v="8.3000000000000007"/>
  </r>
  <r>
    <n v="0"/>
    <x v="0"/>
    <n v="0.67900000000000005"/>
    <n v="0.35880000000000001"/>
    <n v="7.37"/>
  </r>
  <r>
    <n v="0"/>
    <x v="0"/>
    <n v="0.67900000000000005"/>
    <n v="0.35880000000000001"/>
    <n v="6.93"/>
  </r>
  <r>
    <n v="1"/>
    <x v="0"/>
    <n v="0.56340000000000001"/>
    <n v="0.24560000000000001"/>
    <n v="9.1199999999999992"/>
  </r>
  <r>
    <n v="1"/>
    <x v="0"/>
    <n v="0.56340000000000001"/>
    <n v="0.24560000000000001"/>
    <n v="7.58"/>
  </r>
  <r>
    <n v="1"/>
    <x v="0"/>
    <n v="0.56340000000000001"/>
    <n v="0.24560000000000001"/>
    <n v="6.22"/>
  </r>
  <r>
    <n v="1"/>
    <x v="0"/>
    <n v="0.56340000000000001"/>
    <n v="0.24560000000000001"/>
    <n v="5.82"/>
  </r>
  <r>
    <n v="1"/>
    <x v="0"/>
    <n v="0.56340000000000001"/>
    <n v="0.24560000000000001"/>
    <n v="6.53"/>
  </r>
  <r>
    <n v="1"/>
    <x v="0"/>
    <n v="0.56340000000000001"/>
    <n v="0.24560000000000001"/>
    <n v="9.26"/>
  </r>
  <r>
    <n v="1"/>
    <x v="0"/>
    <n v="0.56340000000000001"/>
    <n v="0.24560000000000001"/>
    <n v="8.01"/>
  </r>
  <r>
    <n v="1"/>
    <x v="0"/>
    <n v="0.56340000000000001"/>
    <n v="0.24560000000000001"/>
    <n v="9.7200000000000006"/>
  </r>
  <r>
    <n v="1"/>
    <x v="0"/>
    <n v="0.56340000000000001"/>
    <n v="0.24560000000000001"/>
    <n v="6.63"/>
  </r>
  <r>
    <n v="1"/>
    <x v="0"/>
    <n v="0.56340000000000001"/>
    <n v="0.24560000000000001"/>
    <n v="7.12"/>
  </r>
  <r>
    <n v="1"/>
    <x v="0"/>
    <n v="0.56340000000000001"/>
    <n v="0.24560000000000001"/>
    <n v="8.4600000000000009"/>
  </r>
  <r>
    <n v="1"/>
    <x v="0"/>
    <n v="0.56340000000000001"/>
    <n v="0.24560000000000001"/>
    <n v="8.1999999999999993"/>
  </r>
  <r>
    <n v="2"/>
    <x v="0"/>
    <n v="0.67520000000000002"/>
    <n v="0.48359999999999997"/>
    <n v="14.55"/>
  </r>
  <r>
    <n v="2"/>
    <x v="0"/>
    <n v="0.67520000000000002"/>
    <n v="0.48359999999999997"/>
    <n v="11.58"/>
  </r>
  <r>
    <n v="2"/>
    <x v="0"/>
    <n v="0.67520000000000002"/>
    <n v="0.48359999999999997"/>
    <n v="12.05"/>
  </r>
  <r>
    <n v="2"/>
    <x v="0"/>
    <n v="0.67520000000000002"/>
    <n v="0.48359999999999997"/>
    <n v="11.94"/>
  </r>
  <r>
    <n v="2"/>
    <x v="0"/>
    <n v="0.67520000000000002"/>
    <n v="0.48359999999999997"/>
    <n v="5.83"/>
  </r>
  <r>
    <n v="2"/>
    <x v="0"/>
    <n v="0.67520000000000002"/>
    <n v="0.48359999999999997"/>
    <n v="5.63"/>
  </r>
  <r>
    <n v="2"/>
    <x v="0"/>
    <n v="0.67520000000000002"/>
    <n v="0.48359999999999997"/>
    <n v="8.0500000000000007"/>
  </r>
  <r>
    <n v="2"/>
    <x v="0"/>
    <n v="0.67520000000000002"/>
    <n v="0.48359999999999997"/>
    <n v="10.37"/>
  </r>
  <r>
    <n v="2"/>
    <x v="0"/>
    <n v="0.67520000000000002"/>
    <n v="0.48359999999999997"/>
    <n v="11.44"/>
  </r>
  <r>
    <n v="2"/>
    <x v="0"/>
    <n v="0.67520000000000002"/>
    <n v="0.48359999999999997"/>
    <n v="11.76"/>
  </r>
  <r>
    <n v="2"/>
    <x v="0"/>
    <n v="0.67520000000000002"/>
    <n v="0.48359999999999997"/>
    <n v="10.95"/>
  </r>
  <r>
    <n v="2"/>
    <x v="0"/>
    <n v="0.67520000000000002"/>
    <n v="0.48359999999999997"/>
    <n v="11.56"/>
  </r>
  <r>
    <n v="3"/>
    <x v="0"/>
    <n v="0.64559999999999995"/>
    <n v="0.62629999999999997"/>
    <n v="13.12"/>
  </r>
  <r>
    <n v="3"/>
    <x v="0"/>
    <n v="0.64559999999999995"/>
    <n v="0.62629999999999997"/>
    <n v="12.08"/>
  </r>
  <r>
    <n v="3"/>
    <x v="0"/>
    <n v="0.64559999999999995"/>
    <n v="0.62629999999999997"/>
    <n v="11.89"/>
  </r>
  <r>
    <n v="3"/>
    <x v="0"/>
    <n v="0.64559999999999995"/>
    <n v="0.62629999999999997"/>
    <n v="12.47"/>
  </r>
  <r>
    <n v="3"/>
    <x v="0"/>
    <n v="0.64559999999999995"/>
    <n v="0.62629999999999997"/>
    <n v="10.89"/>
  </r>
  <r>
    <n v="3"/>
    <x v="0"/>
    <n v="0.64559999999999995"/>
    <n v="0.62629999999999997"/>
    <n v="11.69"/>
  </r>
  <r>
    <n v="3"/>
    <x v="0"/>
    <n v="0.64559999999999995"/>
    <n v="0.62629999999999997"/>
    <n v="12.12"/>
  </r>
  <r>
    <n v="3"/>
    <x v="0"/>
    <n v="0.64559999999999995"/>
    <n v="0.62629999999999997"/>
    <n v="12.23"/>
  </r>
  <r>
    <n v="3"/>
    <x v="0"/>
    <n v="0.64559999999999995"/>
    <n v="0.62629999999999997"/>
    <n v="10.39"/>
  </r>
  <r>
    <n v="3"/>
    <x v="0"/>
    <n v="0.64559999999999995"/>
    <n v="0.62629999999999997"/>
    <n v="10.25"/>
  </r>
  <r>
    <n v="3"/>
    <x v="0"/>
    <n v="0.64559999999999995"/>
    <n v="0.62629999999999997"/>
    <n v="9.8800000000000008"/>
  </r>
  <r>
    <n v="3"/>
    <x v="0"/>
    <n v="0.64559999999999995"/>
    <n v="0.62629999999999997"/>
    <n v="10.16"/>
  </r>
  <r>
    <n v="4"/>
    <x v="0"/>
    <n v="0.66679999999999995"/>
    <n v="0.59799999999999998"/>
    <n v="11.87"/>
  </r>
  <r>
    <n v="4"/>
    <x v="0"/>
    <n v="0.66679999999999995"/>
    <n v="0.59799999999999998"/>
    <n v="11.37"/>
  </r>
  <r>
    <n v="4"/>
    <x v="0"/>
    <n v="0.66679999999999995"/>
    <n v="0.59799999999999998"/>
    <n v="11.76"/>
  </r>
  <r>
    <n v="4"/>
    <x v="0"/>
    <n v="0.66679999999999995"/>
    <n v="0.59799999999999998"/>
    <n v="23"/>
  </r>
  <r>
    <n v="4"/>
    <x v="0"/>
    <n v="0.66679999999999995"/>
    <n v="0.59799999999999998"/>
    <n v="21.16"/>
  </r>
  <r>
    <n v="4"/>
    <x v="0"/>
    <n v="0.66679999999999995"/>
    <n v="0.59799999999999998"/>
    <n v="15.28"/>
  </r>
  <r>
    <n v="4"/>
    <x v="0"/>
    <n v="0.66679999999999995"/>
    <n v="0.59799999999999998"/>
    <n v="12.79"/>
  </r>
  <r>
    <n v="4"/>
    <x v="0"/>
    <n v="0.66679999999999995"/>
    <n v="0.59799999999999998"/>
    <n v="12.49"/>
  </r>
  <r>
    <n v="4"/>
    <x v="0"/>
    <n v="0.66679999999999995"/>
    <n v="0.59799999999999998"/>
    <n v="12.79"/>
  </r>
  <r>
    <n v="4"/>
    <x v="0"/>
    <n v="0.66679999999999995"/>
    <n v="0.59799999999999998"/>
    <n v="11.73"/>
  </r>
  <r>
    <n v="4"/>
    <x v="0"/>
    <n v="0.66679999999999995"/>
    <n v="0.59799999999999998"/>
    <n v="12.55"/>
  </r>
  <r>
    <n v="4"/>
    <x v="0"/>
    <n v="0.66679999999999995"/>
    <n v="0.59799999999999998"/>
    <n v="12.66"/>
  </r>
  <r>
    <n v="5"/>
    <x v="0"/>
    <n v="0.65859999999999996"/>
    <n v="0.64380000000000004"/>
    <n v="14.98"/>
  </r>
  <r>
    <n v="5"/>
    <x v="0"/>
    <n v="0.65859999999999996"/>
    <n v="0.64380000000000004"/>
    <n v="13.16"/>
  </r>
  <r>
    <n v="5"/>
    <x v="0"/>
    <n v="0.65859999999999996"/>
    <n v="0.64380000000000004"/>
    <n v="13.12"/>
  </r>
  <r>
    <n v="5"/>
    <x v="0"/>
    <n v="0.65859999999999996"/>
    <n v="0.64380000000000004"/>
    <n v="12.12"/>
  </r>
  <r>
    <n v="5"/>
    <x v="0"/>
    <n v="0.65859999999999996"/>
    <n v="0.64380000000000004"/>
    <n v="11"/>
  </r>
  <r>
    <n v="5"/>
    <x v="0"/>
    <n v="0.65859999999999996"/>
    <n v="0.64380000000000004"/>
    <n v="15.16"/>
  </r>
  <r>
    <n v="5"/>
    <x v="0"/>
    <n v="0.65859999999999996"/>
    <n v="0.64380000000000004"/>
    <n v="12.56"/>
  </r>
  <r>
    <n v="5"/>
    <x v="0"/>
    <n v="0.65859999999999996"/>
    <n v="0.64380000000000004"/>
    <n v="12.55"/>
  </r>
  <r>
    <n v="5"/>
    <x v="0"/>
    <n v="0.65859999999999996"/>
    <n v="0.64380000000000004"/>
    <n v="11.8"/>
  </r>
  <r>
    <n v="5"/>
    <x v="0"/>
    <n v="0.65859999999999996"/>
    <n v="0.64380000000000004"/>
    <n v="12.15"/>
  </r>
  <r>
    <n v="5"/>
    <x v="0"/>
    <n v="0.65859999999999996"/>
    <n v="0.64380000000000004"/>
    <n v="12.13"/>
  </r>
  <r>
    <n v="5"/>
    <x v="0"/>
    <n v="0.65859999999999996"/>
    <n v="0.64380000000000004"/>
    <n v="13.08"/>
  </r>
  <r>
    <n v="6"/>
    <x v="0"/>
    <n v="0.6593"/>
    <n v="0.64580000000000004"/>
    <n v="14.29"/>
  </r>
  <r>
    <n v="6"/>
    <x v="0"/>
    <n v="0.6593"/>
    <n v="0.64580000000000004"/>
    <n v="12.54"/>
  </r>
  <r>
    <n v="6"/>
    <x v="0"/>
    <n v="0.6593"/>
    <n v="0.64580000000000004"/>
    <n v="12.7"/>
  </r>
  <r>
    <n v="6"/>
    <x v="0"/>
    <n v="0.6593"/>
    <n v="0.64580000000000004"/>
    <n v="13.29"/>
  </r>
  <r>
    <n v="6"/>
    <x v="0"/>
    <n v="0.6593"/>
    <n v="0.64580000000000004"/>
    <n v="11.77"/>
  </r>
  <r>
    <n v="6"/>
    <x v="0"/>
    <n v="0.6593"/>
    <n v="0.64580000000000004"/>
    <n v="12.95"/>
  </r>
  <r>
    <n v="6"/>
    <x v="0"/>
    <n v="0.6593"/>
    <n v="0.64580000000000004"/>
    <n v="13.3"/>
  </r>
  <r>
    <n v="6"/>
    <x v="0"/>
    <n v="0.6593"/>
    <n v="0.64580000000000004"/>
    <n v="13.33"/>
  </r>
  <r>
    <n v="6"/>
    <x v="0"/>
    <n v="0.6593"/>
    <n v="0.64580000000000004"/>
    <n v="11.94"/>
  </r>
  <r>
    <n v="6"/>
    <x v="0"/>
    <n v="0.6593"/>
    <n v="0.64580000000000004"/>
    <n v="12.54"/>
  </r>
  <r>
    <n v="6"/>
    <x v="0"/>
    <n v="0.6593"/>
    <n v="0.64580000000000004"/>
    <n v="11.94"/>
  </r>
  <r>
    <n v="6"/>
    <x v="0"/>
    <n v="0.6593"/>
    <n v="0.64580000000000004"/>
    <n v="12.9"/>
  </r>
  <r>
    <n v="7"/>
    <x v="0"/>
    <n v="0.66579999999999995"/>
    <n v="0.65059999999999996"/>
    <n v="15.02"/>
  </r>
  <r>
    <n v="7"/>
    <x v="0"/>
    <n v="0.66579999999999995"/>
    <n v="0.65059999999999996"/>
    <n v="13.67"/>
  </r>
  <r>
    <n v="7"/>
    <x v="0"/>
    <n v="0.66579999999999995"/>
    <n v="0.65059999999999996"/>
    <n v="12.91"/>
  </r>
  <r>
    <n v="7"/>
    <x v="0"/>
    <n v="0.66579999999999995"/>
    <n v="0.65059999999999996"/>
    <n v="12.83"/>
  </r>
  <r>
    <n v="7"/>
    <x v="0"/>
    <n v="0.66579999999999995"/>
    <n v="0.65059999999999996"/>
    <n v="12.94"/>
  </r>
  <r>
    <n v="7"/>
    <x v="0"/>
    <n v="0.66579999999999995"/>
    <n v="0.65059999999999996"/>
    <n v="13.61"/>
  </r>
  <r>
    <n v="7"/>
    <x v="0"/>
    <n v="0.66579999999999995"/>
    <n v="0.65059999999999996"/>
    <n v="13.96"/>
  </r>
  <r>
    <n v="7"/>
    <x v="0"/>
    <n v="0.66579999999999995"/>
    <n v="0.65059999999999996"/>
    <n v="14.02"/>
  </r>
  <r>
    <n v="7"/>
    <x v="0"/>
    <n v="0.66579999999999995"/>
    <n v="0.65059999999999996"/>
    <n v="13.63"/>
  </r>
  <r>
    <n v="7"/>
    <x v="0"/>
    <n v="0.66579999999999995"/>
    <n v="0.65059999999999996"/>
    <n v="13.57"/>
  </r>
  <r>
    <n v="7"/>
    <x v="0"/>
    <n v="0.66579999999999995"/>
    <n v="0.65059999999999996"/>
    <n v="11.98"/>
  </r>
  <r>
    <n v="7"/>
    <x v="0"/>
    <n v="0.66579999999999995"/>
    <n v="0.65059999999999996"/>
    <n v="13.8"/>
  </r>
  <r>
    <n v="8"/>
    <x v="0"/>
    <n v="0.67159999999999997"/>
    <n v="0.65029999999999999"/>
    <n v="14.87"/>
  </r>
  <r>
    <n v="8"/>
    <x v="0"/>
    <n v="0.67159999999999997"/>
    <n v="0.65029999999999999"/>
    <n v="13.73"/>
  </r>
  <r>
    <n v="8"/>
    <x v="0"/>
    <n v="0.67159999999999997"/>
    <n v="0.65029999999999999"/>
    <n v="12.58"/>
  </r>
  <r>
    <n v="8"/>
    <x v="0"/>
    <n v="0.67159999999999997"/>
    <n v="0.65029999999999999"/>
    <n v="13.44"/>
  </r>
  <r>
    <n v="8"/>
    <x v="0"/>
    <n v="0.67159999999999997"/>
    <n v="0.65029999999999999"/>
    <n v="12.35"/>
  </r>
  <r>
    <n v="8"/>
    <x v="0"/>
    <n v="0.67159999999999997"/>
    <n v="0.65029999999999999"/>
    <n v="13.02"/>
  </r>
  <r>
    <n v="8"/>
    <x v="0"/>
    <n v="0.67159999999999997"/>
    <n v="0.65029999999999999"/>
    <n v="13.48"/>
  </r>
  <r>
    <n v="8"/>
    <x v="0"/>
    <n v="0.67159999999999997"/>
    <n v="0.65029999999999999"/>
    <n v="13.44"/>
  </r>
  <r>
    <n v="8"/>
    <x v="0"/>
    <n v="0.67159999999999997"/>
    <n v="0.65029999999999999"/>
    <n v="13.29"/>
  </r>
  <r>
    <n v="8"/>
    <x v="0"/>
    <n v="0.67159999999999997"/>
    <n v="0.65029999999999999"/>
    <n v="13.44"/>
  </r>
  <r>
    <n v="8"/>
    <x v="0"/>
    <n v="0.67159999999999997"/>
    <n v="0.65029999999999999"/>
    <n v="12.01"/>
  </r>
  <r>
    <n v="8"/>
    <x v="0"/>
    <n v="0.67159999999999997"/>
    <n v="0.65029999999999999"/>
    <n v="13.01"/>
  </r>
  <r>
    <n v="9"/>
    <x v="0"/>
    <n v="0.66180000000000005"/>
    <n v="0.64549999999999996"/>
    <n v="14.91"/>
  </r>
  <r>
    <n v="9"/>
    <x v="0"/>
    <n v="0.66180000000000005"/>
    <n v="0.64549999999999996"/>
    <n v="13.68"/>
  </r>
  <r>
    <n v="9"/>
    <x v="0"/>
    <n v="0.66180000000000005"/>
    <n v="0.64549999999999996"/>
    <n v="13.16"/>
  </r>
  <r>
    <n v="9"/>
    <x v="0"/>
    <n v="0.66180000000000005"/>
    <n v="0.64549999999999996"/>
    <n v="13.58"/>
  </r>
  <r>
    <n v="9"/>
    <x v="0"/>
    <n v="0.66180000000000005"/>
    <n v="0.64549999999999996"/>
    <n v="12.62"/>
  </r>
  <r>
    <n v="9"/>
    <x v="0"/>
    <n v="0.66180000000000005"/>
    <n v="0.64549999999999996"/>
    <n v="12.82"/>
  </r>
  <r>
    <n v="9"/>
    <x v="0"/>
    <n v="0.66180000000000005"/>
    <n v="0.64549999999999996"/>
    <n v="14.32"/>
  </r>
  <r>
    <n v="9"/>
    <x v="0"/>
    <n v="0.66180000000000005"/>
    <n v="0.64549999999999996"/>
    <n v="14.17"/>
  </r>
  <r>
    <n v="9"/>
    <x v="0"/>
    <n v="0.66180000000000005"/>
    <n v="0.64549999999999996"/>
    <n v="13.26"/>
  </r>
  <r>
    <n v="9"/>
    <x v="0"/>
    <n v="0.66180000000000005"/>
    <n v="0.64549999999999996"/>
    <n v="12.98"/>
  </r>
  <r>
    <n v="9"/>
    <x v="0"/>
    <n v="0.66180000000000005"/>
    <n v="0.64549999999999996"/>
    <n v="11.94"/>
  </r>
  <r>
    <n v="9"/>
    <x v="0"/>
    <n v="0.66180000000000005"/>
    <n v="0.64549999999999996"/>
    <n v="12.92"/>
  </r>
  <r>
    <n v="10"/>
    <x v="0"/>
    <n v="0.66149999999999998"/>
    <n v="0.64500000000000002"/>
    <n v="15.28"/>
  </r>
  <r>
    <n v="10"/>
    <x v="0"/>
    <n v="0.66149999999999998"/>
    <n v="0.64500000000000002"/>
    <n v="13.55"/>
  </r>
  <r>
    <n v="10"/>
    <x v="0"/>
    <n v="0.66149999999999998"/>
    <n v="0.64500000000000002"/>
    <n v="12.73"/>
  </r>
  <r>
    <n v="10"/>
    <x v="0"/>
    <n v="0.66149999999999998"/>
    <n v="0.64500000000000002"/>
    <n v="12.9"/>
  </r>
  <r>
    <n v="10"/>
    <x v="0"/>
    <n v="0.66149999999999998"/>
    <n v="0.64500000000000002"/>
    <n v="12.14"/>
  </r>
  <r>
    <n v="10"/>
    <x v="0"/>
    <n v="0.66149999999999998"/>
    <n v="0.64500000000000002"/>
    <n v="16.579999999999998"/>
  </r>
  <r>
    <n v="10"/>
    <x v="0"/>
    <n v="0.66149999999999998"/>
    <n v="0.64500000000000002"/>
    <n v="13.32"/>
  </r>
  <r>
    <n v="10"/>
    <x v="0"/>
    <n v="0.66149999999999998"/>
    <n v="0.64500000000000002"/>
    <n v="14.47"/>
  </r>
  <r>
    <n v="10"/>
    <x v="0"/>
    <n v="0.66149999999999998"/>
    <n v="0.64500000000000002"/>
    <n v="13.03"/>
  </r>
  <r>
    <n v="10"/>
    <x v="0"/>
    <n v="0.66149999999999998"/>
    <n v="0.64500000000000002"/>
    <n v="13.26"/>
  </r>
  <r>
    <n v="10"/>
    <x v="0"/>
    <n v="0.66149999999999998"/>
    <n v="0.64500000000000002"/>
    <n v="12.49"/>
  </r>
  <r>
    <n v="10"/>
    <x v="0"/>
    <n v="0.66149999999999998"/>
    <n v="0.64500000000000002"/>
    <n v="12.83"/>
  </r>
  <r>
    <n v="11"/>
    <x v="0"/>
    <n v="0.69269999999999998"/>
    <n v="0.65280000000000005"/>
    <n v="15.95"/>
  </r>
  <r>
    <n v="11"/>
    <x v="0"/>
    <n v="0.69269999999999998"/>
    <n v="0.65280000000000005"/>
    <n v="14.73"/>
  </r>
  <r>
    <n v="11"/>
    <x v="0"/>
    <n v="0.69269999999999998"/>
    <n v="0.65280000000000005"/>
    <n v="13.41"/>
  </r>
  <r>
    <n v="11"/>
    <x v="0"/>
    <n v="0.69269999999999998"/>
    <n v="0.65280000000000005"/>
    <n v="14.76"/>
  </r>
  <r>
    <n v="11"/>
    <x v="0"/>
    <n v="0.69269999999999998"/>
    <n v="0.65280000000000005"/>
    <n v="12.62"/>
  </r>
  <r>
    <n v="11"/>
    <x v="0"/>
    <n v="0.69269999999999998"/>
    <n v="0.65280000000000005"/>
    <n v="13.23"/>
  </r>
  <r>
    <n v="11"/>
    <x v="0"/>
    <n v="0.69269999999999998"/>
    <n v="0.65280000000000005"/>
    <n v="13.73"/>
  </r>
  <r>
    <n v="11"/>
    <x v="0"/>
    <n v="0.69269999999999998"/>
    <n v="0.65280000000000005"/>
    <n v="14.71"/>
  </r>
  <r>
    <n v="11"/>
    <x v="0"/>
    <n v="0.69269999999999998"/>
    <n v="0.65280000000000005"/>
    <n v="13.94"/>
  </r>
  <r>
    <n v="11"/>
    <x v="0"/>
    <n v="0.69269999999999998"/>
    <n v="0.65280000000000005"/>
    <n v="13.27"/>
  </r>
  <r>
    <n v="11"/>
    <x v="0"/>
    <n v="0.69269999999999998"/>
    <n v="0.65280000000000005"/>
    <n v="12.6"/>
  </r>
  <r>
    <n v="11"/>
    <x v="0"/>
    <n v="0.69269999999999998"/>
    <n v="0.65280000000000005"/>
    <n v="13.87"/>
  </r>
  <r>
    <n v="12"/>
    <x v="0"/>
    <n v="0.66220000000000001"/>
    <n v="0.63470000000000004"/>
    <n v="14.93"/>
  </r>
  <r>
    <n v="12"/>
    <x v="0"/>
    <n v="0.66220000000000001"/>
    <n v="0.63470000000000004"/>
    <n v="14.05"/>
  </r>
  <r>
    <n v="12"/>
    <x v="0"/>
    <n v="0.66220000000000001"/>
    <n v="0.63470000000000004"/>
    <n v="13.58"/>
  </r>
  <r>
    <n v="12"/>
    <x v="0"/>
    <n v="0.66220000000000001"/>
    <n v="0.63470000000000004"/>
    <n v="13.19"/>
  </r>
  <r>
    <n v="12"/>
    <x v="0"/>
    <n v="0.66220000000000001"/>
    <n v="0.63470000000000004"/>
    <n v="12.56"/>
  </r>
  <r>
    <n v="12"/>
    <x v="0"/>
    <n v="0.66220000000000001"/>
    <n v="0.63470000000000004"/>
    <n v="14.25"/>
  </r>
  <r>
    <n v="12"/>
    <x v="0"/>
    <n v="0.66220000000000001"/>
    <n v="0.63470000000000004"/>
    <n v="13.97"/>
  </r>
  <r>
    <n v="12"/>
    <x v="0"/>
    <n v="0.66220000000000001"/>
    <n v="0.63470000000000004"/>
    <n v="13.11"/>
  </r>
  <r>
    <n v="12"/>
    <x v="0"/>
    <n v="0.66220000000000001"/>
    <n v="0.63470000000000004"/>
    <n v="11.23"/>
  </r>
  <r>
    <n v="12"/>
    <x v="0"/>
    <n v="0.66220000000000001"/>
    <n v="0.63470000000000004"/>
    <n v="10.91"/>
  </r>
  <r>
    <n v="12"/>
    <x v="0"/>
    <n v="0.66220000000000001"/>
    <n v="0.63470000000000004"/>
    <n v="9.9499999999999993"/>
  </r>
  <r>
    <n v="12"/>
    <x v="0"/>
    <n v="0.66220000000000001"/>
    <n v="0.63470000000000004"/>
    <n v="10.52"/>
  </r>
  <r>
    <n v="13"/>
    <x v="0"/>
    <n v="0.60360000000000003"/>
    <n v="0.59379999999999999"/>
    <n v="12.35"/>
  </r>
  <r>
    <n v="13"/>
    <x v="0"/>
    <n v="0.60360000000000003"/>
    <n v="0.59379999999999999"/>
    <n v="11.17"/>
  </r>
  <r>
    <n v="13"/>
    <x v="0"/>
    <n v="0.60360000000000003"/>
    <n v="0.59379999999999999"/>
    <n v="10.19"/>
  </r>
  <r>
    <n v="13"/>
    <x v="0"/>
    <n v="0.60360000000000003"/>
    <n v="0.59379999999999999"/>
    <n v="10.61"/>
  </r>
  <r>
    <n v="13"/>
    <x v="0"/>
    <n v="0.60360000000000003"/>
    <n v="0.59379999999999999"/>
    <n v="9.6199999999999992"/>
  </r>
  <r>
    <n v="13"/>
    <x v="0"/>
    <n v="0.60360000000000003"/>
    <n v="0.59379999999999999"/>
    <n v="10.16"/>
  </r>
  <r>
    <n v="13"/>
    <x v="0"/>
    <n v="0.60360000000000003"/>
    <n v="0.59379999999999999"/>
    <n v="10.51"/>
  </r>
  <r>
    <n v="13"/>
    <x v="0"/>
    <n v="0.60360000000000003"/>
    <n v="0.59379999999999999"/>
    <n v="10.89"/>
  </r>
  <r>
    <n v="13"/>
    <x v="0"/>
    <n v="0.60360000000000003"/>
    <n v="0.59379999999999999"/>
    <n v="9.93"/>
  </r>
  <r>
    <n v="13"/>
    <x v="0"/>
    <n v="0.60360000000000003"/>
    <n v="0.59379999999999999"/>
    <n v="10.18"/>
  </r>
  <r>
    <n v="13"/>
    <x v="0"/>
    <n v="0.60360000000000003"/>
    <n v="0.59379999999999999"/>
    <n v="10.16"/>
  </r>
  <r>
    <n v="13"/>
    <x v="0"/>
    <n v="0.60360000000000003"/>
    <n v="0.59379999999999999"/>
    <n v="9.26"/>
  </r>
  <r>
    <n v="14"/>
    <x v="0"/>
    <n v="0.67249999999999999"/>
    <n v="0.47120000000000001"/>
    <n v="11.08"/>
  </r>
  <r>
    <n v="14"/>
    <x v="0"/>
    <n v="0.67249999999999999"/>
    <n v="0.47120000000000001"/>
    <n v="10.24"/>
  </r>
  <r>
    <n v="14"/>
    <x v="0"/>
    <n v="0.67249999999999999"/>
    <n v="0.47120000000000001"/>
    <n v="8.9600000000000009"/>
  </r>
  <r>
    <n v="14"/>
    <x v="0"/>
    <n v="0.67249999999999999"/>
    <n v="0.47120000000000001"/>
    <n v="8.6199999999999992"/>
  </r>
  <r>
    <n v="14"/>
    <x v="0"/>
    <n v="0.67249999999999999"/>
    <n v="0.47120000000000001"/>
    <n v="11.57"/>
  </r>
  <r>
    <n v="14"/>
    <x v="0"/>
    <n v="0.67249999999999999"/>
    <n v="0.47120000000000001"/>
    <n v="15.48"/>
  </r>
  <r>
    <n v="14"/>
    <x v="0"/>
    <n v="0.67249999999999999"/>
    <n v="0.47120000000000001"/>
    <n v="12.7"/>
  </r>
  <r>
    <n v="14"/>
    <x v="0"/>
    <n v="0.67249999999999999"/>
    <n v="0.47120000000000001"/>
    <n v="11.8"/>
  </r>
  <r>
    <n v="14"/>
    <x v="0"/>
    <n v="0.67249999999999999"/>
    <n v="0.47120000000000001"/>
    <n v="12.51"/>
  </r>
  <r>
    <n v="14"/>
    <x v="0"/>
    <n v="0.67249999999999999"/>
    <n v="0.47120000000000001"/>
    <n v="11.93"/>
  </r>
  <r>
    <n v="14"/>
    <x v="0"/>
    <n v="0.67249999999999999"/>
    <n v="0.47120000000000001"/>
    <n v="11.03"/>
  </r>
  <r>
    <n v="14"/>
    <x v="0"/>
    <n v="0.67249999999999999"/>
    <n v="0.47120000000000001"/>
    <n v="12.45"/>
  </r>
  <r>
    <n v="15"/>
    <x v="0"/>
    <n v="0.6714"/>
    <n v="0.53800000000000003"/>
    <n v="13.28"/>
  </r>
  <r>
    <n v="15"/>
    <x v="0"/>
    <n v="0.6714"/>
    <n v="0.53800000000000003"/>
    <n v="11.83"/>
  </r>
  <r>
    <n v="15"/>
    <x v="0"/>
    <n v="0.6714"/>
    <n v="0.53800000000000003"/>
    <n v="12.51"/>
  </r>
  <r>
    <n v="15"/>
    <x v="0"/>
    <n v="0.6714"/>
    <n v="0.53800000000000003"/>
    <n v="11.19"/>
  </r>
  <r>
    <n v="15"/>
    <x v="0"/>
    <n v="0.6714"/>
    <n v="0.53800000000000003"/>
    <n v="11.12"/>
  </r>
  <r>
    <n v="15"/>
    <x v="0"/>
    <n v="0.6714"/>
    <n v="0.53800000000000003"/>
    <n v="12"/>
  </r>
  <r>
    <n v="15"/>
    <x v="0"/>
    <n v="0.6714"/>
    <n v="0.53800000000000003"/>
    <n v="11.54"/>
  </r>
  <r>
    <n v="15"/>
    <x v="0"/>
    <n v="0.6714"/>
    <n v="0.53800000000000003"/>
    <n v="12.52"/>
  </r>
  <r>
    <n v="15"/>
    <x v="0"/>
    <n v="0.6714"/>
    <n v="0.53800000000000003"/>
    <n v="12.01"/>
  </r>
  <r>
    <n v="15"/>
    <x v="0"/>
    <n v="0.6714"/>
    <n v="0.53800000000000003"/>
    <n v="12.09"/>
  </r>
  <r>
    <n v="15"/>
    <x v="0"/>
    <n v="0.6714"/>
    <n v="0.53800000000000003"/>
    <n v="12.51"/>
  </r>
  <r>
    <n v="15"/>
    <x v="0"/>
    <n v="0.6714"/>
    <n v="0.53800000000000003"/>
    <n v="14.01"/>
  </r>
  <r>
    <n v="16"/>
    <x v="0"/>
    <n v="0.67069999999999996"/>
    <n v="0.58320000000000005"/>
    <n v="14.5"/>
  </r>
  <r>
    <n v="16"/>
    <x v="0"/>
    <n v="0.67069999999999996"/>
    <n v="0.58320000000000005"/>
    <n v="12.76"/>
  </r>
  <r>
    <n v="16"/>
    <x v="0"/>
    <n v="0.67069999999999996"/>
    <n v="0.58320000000000005"/>
    <n v="14.26"/>
  </r>
  <r>
    <n v="16"/>
    <x v="0"/>
    <n v="0.67069999999999996"/>
    <n v="0.58320000000000005"/>
    <n v="13.2"/>
  </r>
  <r>
    <n v="16"/>
    <x v="0"/>
    <n v="0.67069999999999996"/>
    <n v="0.58320000000000005"/>
    <n v="12.34"/>
  </r>
  <r>
    <n v="16"/>
    <x v="0"/>
    <n v="0.67069999999999996"/>
    <n v="0.58320000000000005"/>
    <n v="13.93"/>
  </r>
  <r>
    <n v="16"/>
    <x v="0"/>
    <n v="0.67069999999999996"/>
    <n v="0.58320000000000005"/>
    <n v="12.4"/>
  </r>
  <r>
    <n v="16"/>
    <x v="0"/>
    <n v="0.67069999999999996"/>
    <n v="0.58320000000000005"/>
    <n v="14.12"/>
  </r>
  <r>
    <n v="16"/>
    <x v="0"/>
    <n v="0.67069999999999996"/>
    <n v="0.58320000000000005"/>
    <n v="12.82"/>
  </r>
  <r>
    <n v="16"/>
    <x v="0"/>
    <n v="0.67069999999999996"/>
    <n v="0.58320000000000005"/>
    <n v="12.73"/>
  </r>
  <r>
    <n v="16"/>
    <x v="0"/>
    <n v="0.67069999999999996"/>
    <n v="0.58320000000000005"/>
    <n v="11.9"/>
  </r>
  <r>
    <n v="16"/>
    <x v="0"/>
    <n v="0.67069999999999996"/>
    <n v="0.58320000000000005"/>
    <n v="12.2"/>
  </r>
  <r>
    <n v="0"/>
    <x v="1"/>
    <n v="0.67900000000000005"/>
    <n v="0.35880000000000001"/>
    <n v="24.16"/>
  </r>
  <r>
    <n v="0"/>
    <x v="1"/>
    <n v="0.67900000000000005"/>
    <n v="0.35880000000000001"/>
    <n v="6.75"/>
  </r>
  <r>
    <n v="0"/>
    <x v="1"/>
    <n v="0.67900000000000005"/>
    <n v="0.35880000000000001"/>
    <n v="9.16"/>
  </r>
  <r>
    <n v="0"/>
    <x v="1"/>
    <n v="0.67900000000000005"/>
    <n v="0.35880000000000001"/>
    <n v="12.3"/>
  </r>
  <r>
    <n v="0"/>
    <x v="1"/>
    <n v="0.67900000000000005"/>
    <n v="0.35880000000000001"/>
    <n v="12.07"/>
  </r>
  <r>
    <n v="0"/>
    <x v="1"/>
    <n v="0.67900000000000005"/>
    <n v="0.35880000000000001"/>
    <n v="12.55"/>
  </r>
  <r>
    <n v="0"/>
    <x v="1"/>
    <n v="0.67900000000000005"/>
    <n v="0.35880000000000001"/>
    <n v="13.54"/>
  </r>
  <r>
    <n v="0"/>
    <x v="1"/>
    <n v="0.67900000000000005"/>
    <n v="0.35880000000000001"/>
    <n v="13.69"/>
  </r>
  <r>
    <n v="0"/>
    <x v="1"/>
    <n v="0.67900000000000005"/>
    <n v="0.35880000000000001"/>
    <n v="12.92"/>
  </r>
  <r>
    <n v="0"/>
    <x v="1"/>
    <n v="0.67900000000000005"/>
    <n v="0.35880000000000001"/>
    <n v="12.68"/>
  </r>
  <r>
    <n v="0"/>
    <x v="1"/>
    <n v="0.67900000000000005"/>
    <n v="0.35880000000000001"/>
    <n v="13.03"/>
  </r>
  <r>
    <n v="0"/>
    <x v="1"/>
    <n v="0.67900000000000005"/>
    <n v="0.35880000000000001"/>
    <n v="13.85"/>
  </r>
  <r>
    <n v="0"/>
    <x v="2"/>
    <n v="0.65439999999999998"/>
    <n v="0.56340000000000001"/>
    <n v="13.62"/>
  </r>
  <r>
    <n v="0"/>
    <x v="2"/>
    <n v="0.65439999999999998"/>
    <n v="0.56340000000000001"/>
    <n v="10.71"/>
  </r>
  <r>
    <n v="0"/>
    <x v="2"/>
    <n v="0.65439999999999998"/>
    <n v="0.56340000000000001"/>
    <n v="5.8"/>
  </r>
  <r>
    <n v="0"/>
    <x v="2"/>
    <n v="0.65439999999999998"/>
    <n v="0.56340000000000001"/>
    <n v="11.21"/>
  </r>
  <r>
    <n v="0"/>
    <x v="2"/>
    <n v="0.65439999999999998"/>
    <n v="0.56340000000000001"/>
    <n v="14.41"/>
  </r>
  <r>
    <n v="0"/>
    <x v="2"/>
    <n v="0.65439999999999998"/>
    <n v="0.56340000000000001"/>
    <n v="16.61"/>
  </r>
  <r>
    <n v="0"/>
    <x v="2"/>
    <n v="0.65439999999999998"/>
    <n v="0.56340000000000001"/>
    <n v="18.190000000000001"/>
  </r>
  <r>
    <n v="0"/>
    <x v="2"/>
    <n v="0.65439999999999998"/>
    <n v="0.56340000000000001"/>
    <n v="19.190000000000001"/>
  </r>
  <r>
    <n v="0"/>
    <x v="2"/>
    <n v="0.65439999999999998"/>
    <n v="0.56340000000000001"/>
    <n v="16.190000000000001"/>
  </r>
  <r>
    <n v="0"/>
    <x v="2"/>
    <n v="0.65439999999999998"/>
    <n v="0.56340000000000001"/>
    <n v="15.46"/>
  </r>
  <r>
    <n v="0"/>
    <x v="2"/>
    <n v="0.65439999999999998"/>
    <n v="0.56340000000000001"/>
    <n v="26.69"/>
  </r>
  <r>
    <n v="0"/>
    <x v="2"/>
    <n v="0.65439999999999998"/>
    <n v="0.56340000000000001"/>
    <n v="18.149999999999999"/>
  </r>
  <r>
    <n v="1"/>
    <x v="2"/>
    <n v="0.65439999999999998"/>
    <n v="0.56340000000000001"/>
    <n v="20.61"/>
  </r>
  <r>
    <n v="1"/>
    <x v="2"/>
    <n v="0.67930000000000001"/>
    <n v="0.65529999999999999"/>
    <n v="18.36"/>
  </r>
  <r>
    <n v="1"/>
    <x v="2"/>
    <n v="0.67930000000000001"/>
    <n v="0.65529999999999999"/>
    <n v="45.2"/>
  </r>
  <r>
    <n v="1"/>
    <x v="2"/>
    <n v="0.67930000000000001"/>
    <n v="0.65529999999999999"/>
    <n v="18.899999999999999"/>
  </r>
  <r>
    <n v="1"/>
    <x v="2"/>
    <n v="0.67930000000000001"/>
    <n v="0.65529999999999999"/>
    <n v="17.420000000000002"/>
  </r>
  <r>
    <n v="1"/>
    <x v="2"/>
    <n v="0.67930000000000001"/>
    <n v="0.65529999999999999"/>
    <n v="18.239999999999998"/>
  </r>
  <r>
    <n v="1"/>
    <x v="2"/>
    <n v="0.67930000000000001"/>
    <n v="0.65529999999999999"/>
    <n v="49.18"/>
  </r>
  <r>
    <n v="1"/>
    <x v="2"/>
    <n v="0.67930000000000001"/>
    <n v="0.65529999999999999"/>
    <n v="18.91"/>
  </r>
  <r>
    <n v="1"/>
    <x v="2"/>
    <n v="0.67930000000000001"/>
    <n v="0.65529999999999999"/>
    <n v="18.14"/>
  </r>
  <r>
    <n v="1"/>
    <x v="2"/>
    <n v="0.67930000000000001"/>
    <n v="0.65529999999999999"/>
    <n v="18.760000000000002"/>
  </r>
  <r>
    <n v="1"/>
    <x v="2"/>
    <n v="0.67930000000000001"/>
    <n v="0.65529999999999999"/>
    <n v="54.16"/>
  </r>
  <r>
    <n v="1"/>
    <x v="2"/>
    <n v="0.67930000000000001"/>
    <n v="0.65529999999999999"/>
    <n v="17.64"/>
  </r>
  <r>
    <n v="2"/>
    <x v="2"/>
    <n v="0.67930000000000001"/>
    <n v="0.65529999999999999"/>
    <n v="20.21"/>
  </r>
  <r>
    <n v="2"/>
    <x v="2"/>
    <n v="0.67610000000000003"/>
    <n v="0.65969999999999995"/>
    <n v="18.75"/>
  </r>
  <r>
    <n v="2"/>
    <x v="2"/>
    <n v="0.67610000000000003"/>
    <n v="0.65969999999999995"/>
    <n v="55.16"/>
  </r>
  <r>
    <n v="2"/>
    <x v="2"/>
    <n v="0.67610000000000003"/>
    <n v="0.65969999999999995"/>
    <n v="19.93"/>
  </r>
  <r>
    <n v="2"/>
    <x v="2"/>
    <n v="0.67610000000000003"/>
    <n v="0.65969999999999995"/>
    <n v="17.760000000000002"/>
  </r>
  <r>
    <n v="2"/>
    <x v="2"/>
    <n v="0.67610000000000003"/>
    <n v="0.65969999999999995"/>
    <n v="22.83"/>
  </r>
  <r>
    <n v="2"/>
    <x v="2"/>
    <n v="0.67610000000000003"/>
    <n v="0.65969999999999995"/>
    <n v="45.78"/>
  </r>
  <r>
    <n v="2"/>
    <x v="2"/>
    <n v="0.67610000000000003"/>
    <n v="0.65969999999999995"/>
    <n v="19.37"/>
  </r>
  <r>
    <n v="2"/>
    <x v="2"/>
    <n v="0.67610000000000003"/>
    <n v="0.65969999999999995"/>
    <n v="20.190000000000001"/>
  </r>
  <r>
    <n v="2"/>
    <x v="2"/>
    <n v="0.67610000000000003"/>
    <n v="0.65969999999999995"/>
    <n v="19.16"/>
  </r>
  <r>
    <n v="2"/>
    <x v="2"/>
    <n v="0.67610000000000003"/>
    <n v="0.65969999999999995"/>
    <n v="21.46"/>
  </r>
  <r>
    <n v="2"/>
    <x v="2"/>
    <n v="0.67610000000000003"/>
    <n v="0.65969999999999995"/>
    <n v="16.649999999999999"/>
  </r>
  <r>
    <n v="3"/>
    <x v="2"/>
    <n v="0.67610000000000003"/>
    <n v="0.65969999999999995"/>
    <n v="19.04"/>
  </r>
  <r>
    <n v="3"/>
    <x v="2"/>
    <n v="0.68510000000000004"/>
    <n v="0.63819999999999999"/>
    <n v="20.55"/>
  </r>
  <r>
    <n v="3"/>
    <x v="2"/>
    <n v="0.68510000000000004"/>
    <n v="0.63819999999999999"/>
    <n v="20.13"/>
  </r>
  <r>
    <n v="3"/>
    <x v="2"/>
    <n v="0.68510000000000004"/>
    <n v="0.63819999999999999"/>
    <n v="20.93"/>
  </r>
  <r>
    <n v="3"/>
    <x v="2"/>
    <n v="0.68510000000000004"/>
    <n v="0.63819999999999999"/>
    <n v="27.83"/>
  </r>
  <r>
    <n v="3"/>
    <x v="2"/>
    <n v="0.68510000000000004"/>
    <n v="0.63819999999999999"/>
    <n v="35.93"/>
  </r>
  <r>
    <n v="3"/>
    <x v="2"/>
    <n v="0.68510000000000004"/>
    <n v="0.63819999999999999"/>
    <n v="21.5"/>
  </r>
  <r>
    <n v="3"/>
    <x v="2"/>
    <n v="0.68510000000000004"/>
    <n v="0.63819999999999999"/>
    <n v="20.89"/>
  </r>
  <r>
    <n v="3"/>
    <x v="2"/>
    <n v="0.68510000000000004"/>
    <n v="0.63819999999999999"/>
    <n v="35.979999999999997"/>
  </r>
  <r>
    <n v="3"/>
    <x v="2"/>
    <n v="0.68510000000000004"/>
    <n v="0.63819999999999999"/>
    <n v="19.760000000000002"/>
  </r>
  <r>
    <n v="3"/>
    <x v="2"/>
    <n v="0.68510000000000004"/>
    <n v="0.63819999999999999"/>
    <n v="18.93"/>
  </r>
  <r>
    <n v="3"/>
    <x v="2"/>
    <n v="0.68510000000000004"/>
    <n v="0.63819999999999999"/>
    <n v="20.91"/>
  </r>
  <r>
    <n v="0"/>
    <x v="3"/>
    <n v="0.6401"/>
    <n v="0.5353"/>
    <n v="12.16"/>
  </r>
  <r>
    <n v="0"/>
    <x v="3"/>
    <n v="0.6401"/>
    <n v="0.5353"/>
    <n v="9.8000000000000007"/>
  </r>
  <r>
    <n v="0"/>
    <x v="3"/>
    <n v="0.6401"/>
    <n v="0.5353"/>
    <n v="10.25"/>
  </r>
  <r>
    <n v="0"/>
    <x v="3"/>
    <n v="0.6401"/>
    <n v="0.5353"/>
    <n v="9.51"/>
  </r>
  <r>
    <n v="0"/>
    <x v="3"/>
    <n v="0.6401"/>
    <n v="0.5353"/>
    <n v="9.6199999999999992"/>
  </r>
  <r>
    <n v="0"/>
    <x v="3"/>
    <n v="0.6401"/>
    <n v="0.5353"/>
    <n v="10.050000000000001"/>
  </r>
  <r>
    <n v="0"/>
    <x v="3"/>
    <n v="0.6401"/>
    <n v="0.5353"/>
    <n v="11.08"/>
  </r>
  <r>
    <n v="0"/>
    <x v="3"/>
    <n v="0.6401"/>
    <n v="0.5353"/>
    <n v="8.91"/>
  </r>
  <r>
    <n v="0"/>
    <x v="3"/>
    <n v="0.6401"/>
    <n v="0.5353"/>
    <n v="10.210000000000001"/>
  </r>
  <r>
    <n v="0"/>
    <x v="3"/>
    <n v="0.6401"/>
    <n v="0.5353"/>
    <n v="10.68"/>
  </r>
  <r>
    <n v="0"/>
    <x v="3"/>
    <n v="0.6401"/>
    <n v="0.5353"/>
    <n v="9.8000000000000007"/>
  </r>
  <r>
    <n v="0"/>
    <x v="3"/>
    <n v="0.6401"/>
    <n v="0.5353"/>
    <n v="11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77">
  <r>
    <n v="0"/>
    <x v="0"/>
    <n v="0.67900000000000005"/>
    <n v="0.35880000000000001"/>
    <n v="13.99"/>
    <n v="-1.0249901487974959"/>
  </r>
  <r>
    <n v="0"/>
    <x v="0"/>
    <n v="0.67900000000000005"/>
    <n v="0.35880000000000001"/>
    <n v="12.48"/>
    <n v="-1.0249901487974959"/>
  </r>
  <r>
    <n v="0"/>
    <x v="0"/>
    <n v="0.67900000000000005"/>
    <n v="0.35880000000000001"/>
    <n v="9.2200000000000006"/>
    <n v="-1.0249901487974959"/>
  </r>
  <r>
    <n v="0"/>
    <x v="0"/>
    <n v="0.67900000000000005"/>
    <n v="0.35880000000000001"/>
    <n v="8.61"/>
    <n v="-1.0249901487974959"/>
  </r>
  <r>
    <n v="0"/>
    <x v="0"/>
    <n v="0.67900000000000005"/>
    <n v="0.35880000000000001"/>
    <n v="8.68"/>
    <n v="-1.0249901487974959"/>
  </r>
  <r>
    <n v="0"/>
    <x v="0"/>
    <n v="0.67900000000000005"/>
    <n v="0.35880000000000001"/>
    <n v="10.49"/>
    <n v="-1.0249901487974959"/>
  </r>
  <r>
    <n v="0"/>
    <x v="0"/>
    <n v="0.67900000000000005"/>
    <n v="0.35880000000000001"/>
    <n v="6.09"/>
    <n v="-1.0249901487974959"/>
  </r>
  <r>
    <n v="0"/>
    <x v="0"/>
    <n v="0.67900000000000005"/>
    <n v="0.35880000000000001"/>
    <n v="7.8"/>
    <n v="-1.0249901487974959"/>
  </r>
  <r>
    <n v="0"/>
    <x v="0"/>
    <n v="0.67900000000000005"/>
    <n v="0.35880000000000001"/>
    <n v="4.4800000000000004"/>
    <n v="-1.0249901487974959"/>
  </r>
  <r>
    <n v="0"/>
    <x v="0"/>
    <n v="0.67900000000000005"/>
    <n v="0.35880000000000001"/>
    <n v="8.3000000000000007"/>
    <n v="-1.0249901487974959"/>
  </r>
  <r>
    <n v="0"/>
    <x v="0"/>
    <n v="0.67900000000000005"/>
    <n v="0.35880000000000001"/>
    <n v="7.37"/>
    <n v="-1.0249901487974959"/>
  </r>
  <r>
    <n v="0"/>
    <x v="0"/>
    <n v="0.67900000000000005"/>
    <n v="0.35880000000000001"/>
    <n v="6.93"/>
    <n v="-1.0249901487974959"/>
  </r>
  <r>
    <n v="1"/>
    <x v="0"/>
    <n v="0.56340000000000001"/>
    <n v="0.24560000000000001"/>
    <n v="9.1199999999999992"/>
    <n v="-1.4040510827091497"/>
  </r>
  <r>
    <n v="1"/>
    <x v="0"/>
    <n v="0.56340000000000001"/>
    <n v="0.24560000000000001"/>
    <n v="7.58"/>
    <n v="-1.4040510827091497"/>
  </r>
  <r>
    <n v="1"/>
    <x v="0"/>
    <n v="0.56340000000000001"/>
    <n v="0.24560000000000001"/>
    <n v="6.22"/>
    <n v="-1.4040510827091497"/>
  </r>
  <r>
    <n v="1"/>
    <x v="0"/>
    <n v="0.56340000000000001"/>
    <n v="0.24560000000000001"/>
    <n v="5.82"/>
    <n v="-1.4040510827091497"/>
  </r>
  <r>
    <n v="1"/>
    <x v="0"/>
    <n v="0.56340000000000001"/>
    <n v="0.24560000000000001"/>
    <n v="6.53"/>
    <n v="-1.4040510827091497"/>
  </r>
  <r>
    <n v="1"/>
    <x v="0"/>
    <n v="0.56340000000000001"/>
    <n v="0.24560000000000001"/>
    <n v="9.26"/>
    <n v="-1.4040510827091497"/>
  </r>
  <r>
    <n v="1"/>
    <x v="0"/>
    <n v="0.56340000000000001"/>
    <n v="0.24560000000000001"/>
    <n v="8.01"/>
    <n v="-1.4040510827091497"/>
  </r>
  <r>
    <n v="1"/>
    <x v="0"/>
    <n v="0.56340000000000001"/>
    <n v="0.24560000000000001"/>
    <n v="9.7200000000000006"/>
    <n v="-1.4040510827091497"/>
  </r>
  <r>
    <n v="1"/>
    <x v="0"/>
    <n v="0.56340000000000001"/>
    <n v="0.24560000000000001"/>
    <n v="6.63"/>
    <n v="-1.4040510827091497"/>
  </r>
  <r>
    <n v="1"/>
    <x v="0"/>
    <n v="0.56340000000000001"/>
    <n v="0.24560000000000001"/>
    <n v="7.12"/>
    <n v="-1.4040510827091497"/>
  </r>
  <r>
    <n v="1"/>
    <x v="0"/>
    <n v="0.56340000000000001"/>
    <n v="0.24560000000000001"/>
    <n v="8.4600000000000009"/>
    <n v="-1.4040510827091497"/>
  </r>
  <r>
    <n v="1"/>
    <x v="0"/>
    <n v="0.56340000000000001"/>
    <n v="0.24560000000000001"/>
    <n v="8.1999999999999993"/>
    <n v="-1.4040510827091497"/>
  </r>
  <r>
    <n v="2"/>
    <x v="0"/>
    <n v="0.67520000000000002"/>
    <n v="0.48359999999999997"/>
    <n v="14.55"/>
    <n v="-0.72649716024149946"/>
  </r>
  <r>
    <n v="2"/>
    <x v="0"/>
    <n v="0.67520000000000002"/>
    <n v="0.48359999999999997"/>
    <n v="11.58"/>
    <n v="-0.72649716024149946"/>
  </r>
  <r>
    <n v="2"/>
    <x v="0"/>
    <n v="0.67520000000000002"/>
    <n v="0.48359999999999997"/>
    <n v="12.05"/>
    <n v="-0.72649716024149946"/>
  </r>
  <r>
    <n v="2"/>
    <x v="0"/>
    <n v="0.67520000000000002"/>
    <n v="0.48359999999999997"/>
    <n v="11.94"/>
    <n v="-0.72649716024149946"/>
  </r>
  <r>
    <n v="2"/>
    <x v="0"/>
    <n v="0.67520000000000002"/>
    <n v="0.48359999999999997"/>
    <n v="5.83"/>
    <n v="-0.72649716024149946"/>
  </r>
  <r>
    <n v="2"/>
    <x v="0"/>
    <n v="0.67520000000000002"/>
    <n v="0.48359999999999997"/>
    <n v="5.63"/>
    <n v="-0.72649716024149946"/>
  </r>
  <r>
    <n v="2"/>
    <x v="0"/>
    <n v="0.67520000000000002"/>
    <n v="0.48359999999999997"/>
    <n v="8.0500000000000007"/>
    <n v="-0.72649716024149946"/>
  </r>
  <r>
    <n v="2"/>
    <x v="0"/>
    <n v="0.67520000000000002"/>
    <n v="0.48359999999999997"/>
    <n v="10.37"/>
    <n v="-0.72649716024149946"/>
  </r>
  <r>
    <n v="2"/>
    <x v="0"/>
    <n v="0.67520000000000002"/>
    <n v="0.48359999999999997"/>
    <n v="11.44"/>
    <n v="-0.72649716024149946"/>
  </r>
  <r>
    <n v="2"/>
    <x v="0"/>
    <n v="0.67520000000000002"/>
    <n v="0.48359999999999997"/>
    <n v="11.76"/>
    <n v="-0.72649716024149946"/>
  </r>
  <r>
    <n v="2"/>
    <x v="0"/>
    <n v="0.67520000000000002"/>
    <n v="0.48359999999999997"/>
    <n v="10.95"/>
    <n v="-0.72649716024149946"/>
  </r>
  <r>
    <n v="2"/>
    <x v="0"/>
    <n v="0.67520000000000002"/>
    <n v="0.48359999999999997"/>
    <n v="11.56"/>
    <n v="-0.72649716024149946"/>
  </r>
  <r>
    <n v="3"/>
    <x v="0"/>
    <n v="0.64559999999999995"/>
    <n v="0.62629999999999997"/>
    <n v="13.12"/>
    <n v="-0.46792578945076996"/>
  </r>
  <r>
    <n v="3"/>
    <x v="0"/>
    <n v="0.64559999999999995"/>
    <n v="0.62629999999999997"/>
    <n v="12.08"/>
    <n v="-0.46792578945076996"/>
  </r>
  <r>
    <n v="3"/>
    <x v="0"/>
    <n v="0.64559999999999995"/>
    <n v="0.62629999999999997"/>
    <n v="11.89"/>
    <n v="-0.46792578945076996"/>
  </r>
  <r>
    <n v="3"/>
    <x v="0"/>
    <n v="0.64559999999999995"/>
    <n v="0.62629999999999997"/>
    <n v="12.47"/>
    <n v="-0.46792578945076996"/>
  </r>
  <r>
    <n v="3"/>
    <x v="0"/>
    <n v="0.64559999999999995"/>
    <n v="0.62629999999999997"/>
    <n v="10.89"/>
    <n v="-0.46792578945076996"/>
  </r>
  <r>
    <n v="3"/>
    <x v="0"/>
    <n v="0.64559999999999995"/>
    <n v="0.62629999999999997"/>
    <n v="11.69"/>
    <n v="-0.46792578945076996"/>
  </r>
  <r>
    <n v="3"/>
    <x v="0"/>
    <n v="0.64559999999999995"/>
    <n v="0.62629999999999997"/>
    <n v="12.12"/>
    <n v="-0.46792578945076996"/>
  </r>
  <r>
    <n v="3"/>
    <x v="0"/>
    <n v="0.64559999999999995"/>
    <n v="0.62629999999999997"/>
    <n v="12.23"/>
    <n v="-0.46792578945076996"/>
  </r>
  <r>
    <n v="3"/>
    <x v="0"/>
    <n v="0.64559999999999995"/>
    <n v="0.62629999999999997"/>
    <n v="10.39"/>
    <n v="-0.46792578945076996"/>
  </r>
  <r>
    <n v="3"/>
    <x v="0"/>
    <n v="0.64559999999999995"/>
    <n v="0.62629999999999997"/>
    <n v="10.25"/>
    <n v="-0.46792578945076996"/>
  </r>
  <r>
    <n v="3"/>
    <x v="0"/>
    <n v="0.64559999999999995"/>
    <n v="0.62629999999999997"/>
    <n v="9.8800000000000008"/>
    <n v="-0.46792578945076996"/>
  </r>
  <r>
    <n v="3"/>
    <x v="0"/>
    <n v="0.64559999999999995"/>
    <n v="0.62629999999999997"/>
    <n v="10.16"/>
    <n v="-0.46792578945076996"/>
  </r>
  <r>
    <n v="4"/>
    <x v="0"/>
    <n v="0.66679999999999995"/>
    <n v="0.59799999999999998"/>
    <n v="11.87"/>
    <n v="-0.51416452503150534"/>
  </r>
  <r>
    <n v="4"/>
    <x v="0"/>
    <n v="0.66679999999999995"/>
    <n v="0.59799999999999998"/>
    <n v="11.37"/>
    <n v="-0.51416452503150534"/>
  </r>
  <r>
    <n v="4"/>
    <x v="0"/>
    <n v="0.66679999999999995"/>
    <n v="0.59799999999999998"/>
    <n v="11.76"/>
    <n v="-0.51416452503150534"/>
  </r>
  <r>
    <n v="4"/>
    <x v="0"/>
    <n v="0.66679999999999995"/>
    <n v="0.59799999999999998"/>
    <n v="23"/>
    <n v="-0.51416452503150534"/>
  </r>
  <r>
    <n v="4"/>
    <x v="0"/>
    <n v="0.66679999999999995"/>
    <n v="0.59799999999999998"/>
    <n v="21.16"/>
    <n v="-0.51416452503150534"/>
  </r>
  <r>
    <n v="4"/>
    <x v="0"/>
    <n v="0.66679999999999995"/>
    <n v="0.59799999999999998"/>
    <n v="15.28"/>
    <n v="-0.51416452503150534"/>
  </r>
  <r>
    <n v="4"/>
    <x v="0"/>
    <n v="0.66679999999999995"/>
    <n v="0.59799999999999998"/>
    <n v="12.79"/>
    <n v="-0.51416452503150534"/>
  </r>
  <r>
    <n v="4"/>
    <x v="0"/>
    <n v="0.66679999999999995"/>
    <n v="0.59799999999999998"/>
    <n v="12.49"/>
    <n v="-0.51416452503150534"/>
  </r>
  <r>
    <n v="4"/>
    <x v="0"/>
    <n v="0.66679999999999995"/>
    <n v="0.59799999999999998"/>
    <n v="12.79"/>
    <n v="-0.51416452503150534"/>
  </r>
  <r>
    <n v="4"/>
    <x v="0"/>
    <n v="0.66679999999999995"/>
    <n v="0.59799999999999998"/>
    <n v="11.73"/>
    <n v="-0.51416452503150534"/>
  </r>
  <r>
    <n v="4"/>
    <x v="0"/>
    <n v="0.66679999999999995"/>
    <n v="0.59799999999999998"/>
    <n v="12.55"/>
    <n v="-0.51416452503150534"/>
  </r>
  <r>
    <n v="4"/>
    <x v="0"/>
    <n v="0.66679999999999995"/>
    <n v="0.59799999999999998"/>
    <n v="12.66"/>
    <n v="-0.51416452503150534"/>
  </r>
  <r>
    <n v="5"/>
    <x v="0"/>
    <n v="0.65859999999999996"/>
    <n v="0.64380000000000004"/>
    <n v="14.98"/>
    <n v="-0.44036716011742921"/>
  </r>
  <r>
    <n v="5"/>
    <x v="0"/>
    <n v="0.65859999999999996"/>
    <n v="0.64380000000000004"/>
    <n v="13.16"/>
    <n v="-0.44036716011742921"/>
  </r>
  <r>
    <n v="5"/>
    <x v="0"/>
    <n v="0.65859999999999996"/>
    <n v="0.64380000000000004"/>
    <n v="13.12"/>
    <n v="-0.44036716011742921"/>
  </r>
  <r>
    <n v="5"/>
    <x v="0"/>
    <n v="0.65859999999999996"/>
    <n v="0.64380000000000004"/>
    <n v="12.12"/>
    <n v="-0.44036716011742921"/>
  </r>
  <r>
    <n v="5"/>
    <x v="0"/>
    <n v="0.65859999999999996"/>
    <n v="0.64380000000000004"/>
    <n v="11"/>
    <n v="-0.44036716011742921"/>
  </r>
  <r>
    <n v="5"/>
    <x v="0"/>
    <n v="0.65859999999999996"/>
    <n v="0.64380000000000004"/>
    <n v="15.16"/>
    <n v="-0.44036716011742921"/>
  </r>
  <r>
    <n v="5"/>
    <x v="0"/>
    <n v="0.65859999999999996"/>
    <n v="0.64380000000000004"/>
    <n v="12.56"/>
    <n v="-0.44036716011742921"/>
  </r>
  <r>
    <n v="5"/>
    <x v="0"/>
    <n v="0.65859999999999996"/>
    <n v="0.64380000000000004"/>
    <n v="12.55"/>
    <n v="-0.44036716011742921"/>
  </r>
  <r>
    <n v="5"/>
    <x v="0"/>
    <n v="0.65859999999999996"/>
    <n v="0.64380000000000004"/>
    <n v="11.8"/>
    <n v="-0.44036716011742921"/>
  </r>
  <r>
    <n v="5"/>
    <x v="0"/>
    <n v="0.65859999999999996"/>
    <n v="0.64380000000000004"/>
    <n v="12.15"/>
    <n v="-0.44036716011742921"/>
  </r>
  <r>
    <n v="5"/>
    <x v="0"/>
    <n v="0.65859999999999996"/>
    <n v="0.64380000000000004"/>
    <n v="12.13"/>
    <n v="-0.44036716011742921"/>
  </r>
  <r>
    <n v="5"/>
    <x v="0"/>
    <n v="0.65859999999999996"/>
    <n v="0.64380000000000004"/>
    <n v="13.08"/>
    <n v="-0.44036716011742921"/>
  </r>
  <r>
    <n v="6"/>
    <x v="0"/>
    <n v="0.6593"/>
    <n v="0.64580000000000004"/>
    <n v="14.29"/>
    <n v="-0.43726542065796214"/>
  </r>
  <r>
    <n v="6"/>
    <x v="0"/>
    <n v="0.6593"/>
    <n v="0.64580000000000004"/>
    <n v="12.54"/>
    <n v="-0.43726542065796214"/>
  </r>
  <r>
    <n v="6"/>
    <x v="0"/>
    <n v="0.6593"/>
    <n v="0.64580000000000004"/>
    <n v="12.7"/>
    <n v="-0.43726542065796214"/>
  </r>
  <r>
    <n v="6"/>
    <x v="0"/>
    <n v="0.6593"/>
    <n v="0.64580000000000004"/>
    <n v="13.29"/>
    <n v="-0.43726542065796214"/>
  </r>
  <r>
    <n v="6"/>
    <x v="0"/>
    <n v="0.6593"/>
    <n v="0.64580000000000004"/>
    <n v="11.77"/>
    <n v="-0.43726542065796214"/>
  </r>
  <r>
    <n v="6"/>
    <x v="0"/>
    <n v="0.6593"/>
    <n v="0.64580000000000004"/>
    <n v="12.95"/>
    <n v="-0.43726542065796214"/>
  </r>
  <r>
    <n v="6"/>
    <x v="0"/>
    <n v="0.6593"/>
    <n v="0.64580000000000004"/>
    <n v="13.3"/>
    <n v="-0.43726542065796214"/>
  </r>
  <r>
    <n v="6"/>
    <x v="0"/>
    <n v="0.6593"/>
    <n v="0.64580000000000004"/>
    <n v="13.33"/>
    <n v="-0.43726542065796214"/>
  </r>
  <r>
    <n v="6"/>
    <x v="0"/>
    <n v="0.6593"/>
    <n v="0.64580000000000004"/>
    <n v="11.94"/>
    <n v="-0.43726542065796214"/>
  </r>
  <r>
    <n v="6"/>
    <x v="0"/>
    <n v="0.6593"/>
    <n v="0.64580000000000004"/>
    <n v="12.54"/>
    <n v="-0.43726542065796214"/>
  </r>
  <r>
    <n v="6"/>
    <x v="0"/>
    <n v="0.6593"/>
    <n v="0.64580000000000004"/>
    <n v="11.94"/>
    <n v="-0.43726542065796214"/>
  </r>
  <r>
    <n v="6"/>
    <x v="0"/>
    <n v="0.6593"/>
    <n v="0.64580000000000004"/>
    <n v="12.9"/>
    <n v="-0.43726542065796214"/>
  </r>
  <r>
    <n v="7"/>
    <x v="0"/>
    <n v="0.66579999999999995"/>
    <n v="0.65059999999999996"/>
    <n v="15.02"/>
    <n v="-0.42986026494288604"/>
  </r>
  <r>
    <n v="7"/>
    <x v="0"/>
    <n v="0.66579999999999995"/>
    <n v="0.65059999999999996"/>
    <n v="13.67"/>
    <n v="-0.42986026494288604"/>
  </r>
  <r>
    <n v="7"/>
    <x v="0"/>
    <n v="0.66579999999999995"/>
    <n v="0.65059999999999996"/>
    <n v="12.91"/>
    <n v="-0.42986026494288604"/>
  </r>
  <r>
    <n v="7"/>
    <x v="0"/>
    <n v="0.66579999999999995"/>
    <n v="0.65059999999999996"/>
    <n v="12.83"/>
    <n v="-0.42986026494288604"/>
  </r>
  <r>
    <n v="7"/>
    <x v="0"/>
    <n v="0.66579999999999995"/>
    <n v="0.65059999999999996"/>
    <n v="12.94"/>
    <n v="-0.42986026494288604"/>
  </r>
  <r>
    <n v="7"/>
    <x v="0"/>
    <n v="0.66579999999999995"/>
    <n v="0.65059999999999996"/>
    <n v="13.61"/>
    <n v="-0.42986026494288604"/>
  </r>
  <r>
    <n v="7"/>
    <x v="0"/>
    <n v="0.66579999999999995"/>
    <n v="0.65059999999999996"/>
    <n v="13.96"/>
    <n v="-0.42986026494288604"/>
  </r>
  <r>
    <n v="7"/>
    <x v="0"/>
    <n v="0.66579999999999995"/>
    <n v="0.65059999999999996"/>
    <n v="14.02"/>
    <n v="-0.42986026494288604"/>
  </r>
  <r>
    <n v="7"/>
    <x v="0"/>
    <n v="0.66579999999999995"/>
    <n v="0.65059999999999996"/>
    <n v="13.63"/>
    <n v="-0.42986026494288604"/>
  </r>
  <r>
    <n v="7"/>
    <x v="0"/>
    <n v="0.66579999999999995"/>
    <n v="0.65059999999999996"/>
    <n v="13.57"/>
    <n v="-0.42986026494288604"/>
  </r>
  <r>
    <n v="7"/>
    <x v="0"/>
    <n v="0.66579999999999995"/>
    <n v="0.65059999999999996"/>
    <n v="11.98"/>
    <n v="-0.42986026494288604"/>
  </r>
  <r>
    <n v="7"/>
    <x v="0"/>
    <n v="0.66579999999999995"/>
    <n v="0.65059999999999996"/>
    <n v="13.8"/>
    <n v="-0.42986026494288604"/>
  </r>
  <r>
    <n v="8"/>
    <x v="0"/>
    <n v="0.67159999999999997"/>
    <n v="0.65029999999999999"/>
    <n v="14.87"/>
    <n v="-0.43032148410703092"/>
  </r>
  <r>
    <n v="8"/>
    <x v="0"/>
    <n v="0.67159999999999997"/>
    <n v="0.65029999999999999"/>
    <n v="13.73"/>
    <n v="-0.43032148410703092"/>
  </r>
  <r>
    <n v="8"/>
    <x v="0"/>
    <n v="0.67159999999999997"/>
    <n v="0.65029999999999999"/>
    <n v="12.58"/>
    <n v="-0.43032148410703092"/>
  </r>
  <r>
    <n v="8"/>
    <x v="0"/>
    <n v="0.67159999999999997"/>
    <n v="0.65029999999999999"/>
    <n v="13.44"/>
    <n v="-0.43032148410703092"/>
  </r>
  <r>
    <n v="8"/>
    <x v="0"/>
    <n v="0.67159999999999997"/>
    <n v="0.65029999999999999"/>
    <n v="12.35"/>
    <n v="-0.43032148410703092"/>
  </r>
  <r>
    <n v="8"/>
    <x v="0"/>
    <n v="0.67159999999999997"/>
    <n v="0.65029999999999999"/>
    <n v="13.02"/>
    <n v="-0.43032148410703092"/>
  </r>
  <r>
    <n v="8"/>
    <x v="0"/>
    <n v="0.67159999999999997"/>
    <n v="0.65029999999999999"/>
    <n v="13.48"/>
    <n v="-0.43032148410703092"/>
  </r>
  <r>
    <n v="8"/>
    <x v="0"/>
    <n v="0.67159999999999997"/>
    <n v="0.65029999999999999"/>
    <n v="13.44"/>
    <n v="-0.43032148410703092"/>
  </r>
  <r>
    <n v="8"/>
    <x v="0"/>
    <n v="0.67159999999999997"/>
    <n v="0.65029999999999999"/>
    <n v="13.29"/>
    <n v="-0.43032148410703092"/>
  </r>
  <r>
    <n v="8"/>
    <x v="0"/>
    <n v="0.67159999999999997"/>
    <n v="0.65029999999999999"/>
    <n v="13.44"/>
    <n v="-0.43032148410703092"/>
  </r>
  <r>
    <n v="8"/>
    <x v="0"/>
    <n v="0.67159999999999997"/>
    <n v="0.65029999999999999"/>
    <n v="12.01"/>
    <n v="-0.43032148410703092"/>
  </r>
  <r>
    <n v="8"/>
    <x v="0"/>
    <n v="0.67159999999999997"/>
    <n v="0.65029999999999999"/>
    <n v="13.01"/>
    <n v="-0.43032148410703092"/>
  </r>
  <r>
    <n v="9"/>
    <x v="0"/>
    <n v="0.66180000000000005"/>
    <n v="0.64549999999999996"/>
    <n v="14.91"/>
    <n v="-0.4377300686954399"/>
  </r>
  <r>
    <n v="9"/>
    <x v="0"/>
    <n v="0.66180000000000005"/>
    <n v="0.64549999999999996"/>
    <n v="13.68"/>
    <n v="-0.4377300686954399"/>
  </r>
  <r>
    <n v="9"/>
    <x v="0"/>
    <n v="0.66180000000000005"/>
    <n v="0.64549999999999996"/>
    <n v="13.16"/>
    <n v="-0.4377300686954399"/>
  </r>
  <r>
    <n v="9"/>
    <x v="0"/>
    <n v="0.66180000000000005"/>
    <n v="0.64549999999999996"/>
    <n v="13.58"/>
    <n v="-0.4377300686954399"/>
  </r>
  <r>
    <n v="9"/>
    <x v="0"/>
    <n v="0.66180000000000005"/>
    <n v="0.64549999999999996"/>
    <n v="12.62"/>
    <n v="-0.4377300686954399"/>
  </r>
  <r>
    <n v="9"/>
    <x v="0"/>
    <n v="0.66180000000000005"/>
    <n v="0.64549999999999996"/>
    <n v="12.82"/>
    <n v="-0.4377300686954399"/>
  </r>
  <r>
    <n v="9"/>
    <x v="0"/>
    <n v="0.66180000000000005"/>
    <n v="0.64549999999999996"/>
    <n v="14.32"/>
    <n v="-0.4377300686954399"/>
  </r>
  <r>
    <n v="9"/>
    <x v="0"/>
    <n v="0.66180000000000005"/>
    <n v="0.64549999999999996"/>
    <n v="14.17"/>
    <n v="-0.4377300686954399"/>
  </r>
  <r>
    <n v="9"/>
    <x v="0"/>
    <n v="0.66180000000000005"/>
    <n v="0.64549999999999996"/>
    <n v="13.26"/>
    <n v="-0.4377300686954399"/>
  </r>
  <r>
    <n v="9"/>
    <x v="0"/>
    <n v="0.66180000000000005"/>
    <n v="0.64549999999999996"/>
    <n v="12.98"/>
    <n v="-0.4377300686954399"/>
  </r>
  <r>
    <n v="9"/>
    <x v="0"/>
    <n v="0.66180000000000005"/>
    <n v="0.64549999999999996"/>
    <n v="11.94"/>
    <n v="-0.4377300686954399"/>
  </r>
  <r>
    <n v="9"/>
    <x v="0"/>
    <n v="0.66180000000000005"/>
    <n v="0.64549999999999996"/>
    <n v="12.92"/>
    <n v="-0.4377300686954399"/>
  </r>
  <r>
    <n v="10"/>
    <x v="0"/>
    <n v="0.66149999999999998"/>
    <n v="0.64500000000000002"/>
    <n v="15.28"/>
    <n v="-0.43850496218636453"/>
  </r>
  <r>
    <n v="10"/>
    <x v="0"/>
    <n v="0.66149999999999998"/>
    <n v="0.64500000000000002"/>
    <n v="13.55"/>
    <n v="-0.43850496218636453"/>
  </r>
  <r>
    <n v="10"/>
    <x v="0"/>
    <n v="0.66149999999999998"/>
    <n v="0.64500000000000002"/>
    <n v="12.73"/>
    <n v="-0.43850496218636453"/>
  </r>
  <r>
    <n v="10"/>
    <x v="0"/>
    <n v="0.66149999999999998"/>
    <n v="0.64500000000000002"/>
    <n v="12.9"/>
    <n v="-0.43850496218636453"/>
  </r>
  <r>
    <n v="10"/>
    <x v="0"/>
    <n v="0.66149999999999998"/>
    <n v="0.64500000000000002"/>
    <n v="12.14"/>
    <n v="-0.43850496218636453"/>
  </r>
  <r>
    <n v="10"/>
    <x v="0"/>
    <n v="0.66149999999999998"/>
    <n v="0.64500000000000002"/>
    <n v="16.579999999999998"/>
    <n v="-0.43850496218636453"/>
  </r>
  <r>
    <n v="10"/>
    <x v="0"/>
    <n v="0.66149999999999998"/>
    <n v="0.64500000000000002"/>
    <n v="13.32"/>
    <n v="-0.43850496218636453"/>
  </r>
  <r>
    <n v="10"/>
    <x v="0"/>
    <n v="0.66149999999999998"/>
    <n v="0.64500000000000002"/>
    <n v="14.47"/>
    <n v="-0.43850496218636453"/>
  </r>
  <r>
    <n v="10"/>
    <x v="0"/>
    <n v="0.66149999999999998"/>
    <n v="0.64500000000000002"/>
    <n v="13.03"/>
    <n v="-0.43850496218636453"/>
  </r>
  <r>
    <n v="10"/>
    <x v="0"/>
    <n v="0.66149999999999998"/>
    <n v="0.64500000000000002"/>
    <n v="13.26"/>
    <n v="-0.43850496218636453"/>
  </r>
  <r>
    <n v="10"/>
    <x v="0"/>
    <n v="0.66149999999999998"/>
    <n v="0.64500000000000002"/>
    <n v="12.49"/>
    <n v="-0.43850496218636453"/>
  </r>
  <r>
    <n v="10"/>
    <x v="0"/>
    <n v="0.66149999999999998"/>
    <n v="0.64500000000000002"/>
    <n v="12.83"/>
    <n v="-0.43850496218636453"/>
  </r>
  <r>
    <n v="11"/>
    <x v="0"/>
    <n v="0.69269999999999998"/>
    <n v="0.65280000000000005"/>
    <n v="15.95"/>
    <n v="-0.42648447533223971"/>
  </r>
  <r>
    <n v="11"/>
    <x v="0"/>
    <n v="0.69269999999999998"/>
    <n v="0.65280000000000005"/>
    <n v="14.73"/>
    <n v="-0.42648447533223971"/>
  </r>
  <r>
    <n v="11"/>
    <x v="0"/>
    <n v="0.69269999999999998"/>
    <n v="0.65280000000000005"/>
    <n v="13.41"/>
    <n v="-0.42648447533223971"/>
  </r>
  <r>
    <n v="11"/>
    <x v="0"/>
    <n v="0.69269999999999998"/>
    <n v="0.65280000000000005"/>
    <n v="14.76"/>
    <n v="-0.42648447533223971"/>
  </r>
  <r>
    <n v="11"/>
    <x v="0"/>
    <n v="0.69269999999999998"/>
    <n v="0.65280000000000005"/>
    <n v="12.62"/>
    <n v="-0.42648447533223971"/>
  </r>
  <r>
    <n v="11"/>
    <x v="0"/>
    <n v="0.69269999999999998"/>
    <n v="0.65280000000000005"/>
    <n v="13.23"/>
    <n v="-0.42648447533223971"/>
  </r>
  <r>
    <n v="11"/>
    <x v="0"/>
    <n v="0.69269999999999998"/>
    <n v="0.65280000000000005"/>
    <n v="13.73"/>
    <n v="-0.42648447533223971"/>
  </r>
  <r>
    <n v="11"/>
    <x v="0"/>
    <n v="0.69269999999999998"/>
    <n v="0.65280000000000005"/>
    <n v="14.71"/>
    <n v="-0.42648447533223971"/>
  </r>
  <r>
    <n v="11"/>
    <x v="0"/>
    <n v="0.69269999999999998"/>
    <n v="0.65280000000000005"/>
    <n v="13.94"/>
    <n v="-0.42648447533223971"/>
  </r>
  <r>
    <n v="11"/>
    <x v="0"/>
    <n v="0.69269999999999998"/>
    <n v="0.65280000000000005"/>
    <n v="13.27"/>
    <n v="-0.42648447533223971"/>
  </r>
  <r>
    <n v="11"/>
    <x v="0"/>
    <n v="0.69269999999999998"/>
    <n v="0.65280000000000005"/>
    <n v="12.6"/>
    <n v="-0.42648447533223971"/>
  </r>
  <r>
    <n v="11"/>
    <x v="0"/>
    <n v="0.69269999999999998"/>
    <n v="0.65280000000000005"/>
    <n v="13.87"/>
    <n v="-0.42648447533223971"/>
  </r>
  <r>
    <n v="12"/>
    <x v="0"/>
    <n v="0.66220000000000001"/>
    <n v="0.63470000000000004"/>
    <n v="14.93"/>
    <n v="-0.45460283266971258"/>
  </r>
  <r>
    <n v="12"/>
    <x v="0"/>
    <n v="0.66220000000000001"/>
    <n v="0.63470000000000004"/>
    <n v="14.05"/>
    <n v="-0.45460283266971258"/>
  </r>
  <r>
    <n v="12"/>
    <x v="0"/>
    <n v="0.66220000000000001"/>
    <n v="0.63470000000000004"/>
    <n v="13.58"/>
    <n v="-0.45460283266971258"/>
  </r>
  <r>
    <n v="12"/>
    <x v="0"/>
    <n v="0.66220000000000001"/>
    <n v="0.63470000000000004"/>
    <n v="13.19"/>
    <n v="-0.45460283266971258"/>
  </r>
  <r>
    <n v="12"/>
    <x v="0"/>
    <n v="0.66220000000000001"/>
    <n v="0.63470000000000004"/>
    <n v="12.56"/>
    <n v="-0.45460283266971258"/>
  </r>
  <r>
    <n v="12"/>
    <x v="0"/>
    <n v="0.66220000000000001"/>
    <n v="0.63470000000000004"/>
    <n v="14.25"/>
    <n v="-0.45460283266971258"/>
  </r>
  <r>
    <n v="12"/>
    <x v="0"/>
    <n v="0.66220000000000001"/>
    <n v="0.63470000000000004"/>
    <n v="13.97"/>
    <n v="-0.45460283266971258"/>
  </r>
  <r>
    <n v="12"/>
    <x v="0"/>
    <n v="0.66220000000000001"/>
    <n v="0.63470000000000004"/>
    <n v="13.11"/>
    <n v="-0.45460283266971258"/>
  </r>
  <r>
    <n v="12"/>
    <x v="0"/>
    <n v="0.66220000000000001"/>
    <n v="0.63470000000000004"/>
    <n v="11.23"/>
    <n v="-0.45460283266971258"/>
  </r>
  <r>
    <n v="12"/>
    <x v="0"/>
    <n v="0.66220000000000001"/>
    <n v="0.63470000000000004"/>
    <n v="10.91"/>
    <n v="-0.45460283266971258"/>
  </r>
  <r>
    <n v="12"/>
    <x v="0"/>
    <n v="0.66220000000000001"/>
    <n v="0.63470000000000004"/>
    <n v="9.9499999999999993"/>
    <n v="-0.45460283266971258"/>
  </r>
  <r>
    <n v="12"/>
    <x v="0"/>
    <n v="0.66220000000000001"/>
    <n v="0.63470000000000004"/>
    <n v="10.52"/>
    <n v="-0.45460283266971258"/>
  </r>
  <r>
    <n v="13"/>
    <x v="0"/>
    <n v="0.60360000000000003"/>
    <n v="0.59379999999999999"/>
    <n v="12.35"/>
    <n v="-0.52121271665247759"/>
  </r>
  <r>
    <n v="13"/>
    <x v="0"/>
    <n v="0.60360000000000003"/>
    <n v="0.59379999999999999"/>
    <n v="11.17"/>
    <n v="-0.52121271665247759"/>
  </r>
  <r>
    <n v="13"/>
    <x v="0"/>
    <n v="0.60360000000000003"/>
    <n v="0.59379999999999999"/>
    <n v="10.19"/>
    <n v="-0.52121271665247759"/>
  </r>
  <r>
    <n v="13"/>
    <x v="0"/>
    <n v="0.60360000000000003"/>
    <n v="0.59379999999999999"/>
    <n v="10.61"/>
    <n v="-0.52121271665247759"/>
  </r>
  <r>
    <n v="13"/>
    <x v="0"/>
    <n v="0.60360000000000003"/>
    <n v="0.59379999999999999"/>
    <n v="9.6199999999999992"/>
    <n v="-0.52121271665247759"/>
  </r>
  <r>
    <n v="13"/>
    <x v="0"/>
    <n v="0.60360000000000003"/>
    <n v="0.59379999999999999"/>
    <n v="10.16"/>
    <n v="-0.52121271665247759"/>
  </r>
  <r>
    <n v="13"/>
    <x v="0"/>
    <n v="0.60360000000000003"/>
    <n v="0.59379999999999999"/>
    <n v="10.51"/>
    <n v="-0.52121271665247759"/>
  </r>
  <r>
    <n v="13"/>
    <x v="0"/>
    <n v="0.60360000000000003"/>
    <n v="0.59379999999999999"/>
    <n v="10.89"/>
    <n v="-0.52121271665247759"/>
  </r>
  <r>
    <n v="13"/>
    <x v="0"/>
    <n v="0.60360000000000003"/>
    <n v="0.59379999999999999"/>
    <n v="9.93"/>
    <n v="-0.52121271665247759"/>
  </r>
  <r>
    <n v="13"/>
    <x v="0"/>
    <n v="0.60360000000000003"/>
    <n v="0.59379999999999999"/>
    <n v="10.18"/>
    <n v="-0.52121271665247759"/>
  </r>
  <r>
    <n v="13"/>
    <x v="0"/>
    <n v="0.60360000000000003"/>
    <n v="0.59379999999999999"/>
    <n v="10.16"/>
    <n v="-0.52121271665247759"/>
  </r>
  <r>
    <n v="13"/>
    <x v="0"/>
    <n v="0.60360000000000003"/>
    <n v="0.59379999999999999"/>
    <n v="9.26"/>
    <n v="-0.52121271665247759"/>
  </r>
  <r>
    <n v="14"/>
    <x v="0"/>
    <n v="0.67249999999999999"/>
    <n v="0.47120000000000001"/>
    <n v="11.08"/>
    <n v="-0.7524726466447601"/>
  </r>
  <r>
    <n v="14"/>
    <x v="0"/>
    <n v="0.67249999999999999"/>
    <n v="0.47120000000000001"/>
    <n v="10.24"/>
    <n v="-0.7524726466447601"/>
  </r>
  <r>
    <n v="14"/>
    <x v="0"/>
    <n v="0.67249999999999999"/>
    <n v="0.47120000000000001"/>
    <n v="8.9600000000000009"/>
    <n v="-0.7524726466447601"/>
  </r>
  <r>
    <n v="14"/>
    <x v="0"/>
    <n v="0.67249999999999999"/>
    <n v="0.47120000000000001"/>
    <n v="8.6199999999999992"/>
    <n v="-0.7524726466447601"/>
  </r>
  <r>
    <n v="14"/>
    <x v="0"/>
    <n v="0.67249999999999999"/>
    <n v="0.47120000000000001"/>
    <n v="11.57"/>
    <n v="-0.7524726466447601"/>
  </r>
  <r>
    <n v="14"/>
    <x v="0"/>
    <n v="0.67249999999999999"/>
    <n v="0.47120000000000001"/>
    <n v="15.48"/>
    <n v="-0.7524726466447601"/>
  </r>
  <r>
    <n v="14"/>
    <x v="0"/>
    <n v="0.67249999999999999"/>
    <n v="0.47120000000000001"/>
    <n v="12.7"/>
    <n v="-0.7524726466447601"/>
  </r>
  <r>
    <n v="14"/>
    <x v="0"/>
    <n v="0.67249999999999999"/>
    <n v="0.47120000000000001"/>
    <n v="11.8"/>
    <n v="-0.7524726466447601"/>
  </r>
  <r>
    <n v="14"/>
    <x v="0"/>
    <n v="0.67249999999999999"/>
    <n v="0.47120000000000001"/>
    <n v="12.51"/>
    <n v="-0.7524726466447601"/>
  </r>
  <r>
    <n v="14"/>
    <x v="0"/>
    <n v="0.67249999999999999"/>
    <n v="0.47120000000000001"/>
    <n v="11.93"/>
    <n v="-0.7524726466447601"/>
  </r>
  <r>
    <n v="14"/>
    <x v="0"/>
    <n v="0.67249999999999999"/>
    <n v="0.47120000000000001"/>
    <n v="11.03"/>
    <n v="-0.7524726466447601"/>
  </r>
  <r>
    <n v="14"/>
    <x v="0"/>
    <n v="0.67249999999999999"/>
    <n v="0.47120000000000001"/>
    <n v="12.45"/>
    <n v="-0.7524726466447601"/>
  </r>
  <r>
    <n v="15"/>
    <x v="0"/>
    <n v="0.6714"/>
    <n v="0.53800000000000003"/>
    <n v="13.28"/>
    <n v="-0.61989671882035258"/>
  </r>
  <r>
    <n v="15"/>
    <x v="0"/>
    <n v="0.6714"/>
    <n v="0.53800000000000003"/>
    <n v="11.83"/>
    <n v="-0.61989671882035258"/>
  </r>
  <r>
    <n v="15"/>
    <x v="0"/>
    <n v="0.6714"/>
    <n v="0.53800000000000003"/>
    <n v="12.51"/>
    <n v="-0.61989671882035258"/>
  </r>
  <r>
    <n v="15"/>
    <x v="0"/>
    <n v="0.6714"/>
    <n v="0.53800000000000003"/>
    <n v="11.19"/>
    <n v="-0.61989671882035258"/>
  </r>
  <r>
    <n v="15"/>
    <x v="0"/>
    <n v="0.6714"/>
    <n v="0.53800000000000003"/>
    <n v="11.12"/>
    <n v="-0.61989671882035258"/>
  </r>
  <r>
    <n v="15"/>
    <x v="0"/>
    <n v="0.6714"/>
    <n v="0.53800000000000003"/>
    <n v="12"/>
    <n v="-0.61989671882035258"/>
  </r>
  <r>
    <n v="15"/>
    <x v="0"/>
    <n v="0.6714"/>
    <n v="0.53800000000000003"/>
    <n v="11.54"/>
    <n v="-0.61989671882035258"/>
  </r>
  <r>
    <n v="15"/>
    <x v="0"/>
    <n v="0.6714"/>
    <n v="0.53800000000000003"/>
    <n v="12.52"/>
    <n v="-0.61989671882035258"/>
  </r>
  <r>
    <n v="15"/>
    <x v="0"/>
    <n v="0.6714"/>
    <n v="0.53800000000000003"/>
    <n v="12.01"/>
    <n v="-0.61989671882035258"/>
  </r>
  <r>
    <n v="15"/>
    <x v="0"/>
    <n v="0.6714"/>
    <n v="0.53800000000000003"/>
    <n v="12.09"/>
    <n v="-0.61989671882035258"/>
  </r>
  <r>
    <n v="15"/>
    <x v="0"/>
    <n v="0.6714"/>
    <n v="0.53800000000000003"/>
    <n v="12.51"/>
    <n v="-0.61989671882035258"/>
  </r>
  <r>
    <n v="15"/>
    <x v="0"/>
    <n v="0.6714"/>
    <n v="0.53800000000000003"/>
    <n v="14.01"/>
    <n v="-0.61989671882035258"/>
  </r>
  <r>
    <n v="16"/>
    <x v="0"/>
    <n v="0.67069999999999996"/>
    <n v="0.58320000000000005"/>
    <n v="14.5"/>
    <n v="-0.53922509828768861"/>
  </r>
  <r>
    <n v="16"/>
    <x v="0"/>
    <n v="0.67069999999999996"/>
    <n v="0.58320000000000005"/>
    <n v="12.76"/>
    <n v="-0.53922509828768861"/>
  </r>
  <r>
    <n v="16"/>
    <x v="0"/>
    <n v="0.67069999999999996"/>
    <n v="0.58320000000000005"/>
    <n v="14.26"/>
    <n v="-0.53922509828768861"/>
  </r>
  <r>
    <n v="16"/>
    <x v="0"/>
    <n v="0.67069999999999996"/>
    <n v="0.58320000000000005"/>
    <n v="13.2"/>
    <n v="-0.53922509828768861"/>
  </r>
  <r>
    <n v="16"/>
    <x v="0"/>
    <n v="0.67069999999999996"/>
    <n v="0.58320000000000005"/>
    <n v="12.34"/>
    <n v="-0.53922509828768861"/>
  </r>
  <r>
    <n v="16"/>
    <x v="0"/>
    <n v="0.67069999999999996"/>
    <n v="0.58320000000000005"/>
    <n v="13.93"/>
    <n v="-0.53922509828768861"/>
  </r>
  <r>
    <n v="16"/>
    <x v="0"/>
    <n v="0.67069999999999996"/>
    <n v="0.58320000000000005"/>
    <n v="12.4"/>
    <n v="-0.53922509828768861"/>
  </r>
  <r>
    <n v="16"/>
    <x v="0"/>
    <n v="0.67069999999999996"/>
    <n v="0.58320000000000005"/>
    <n v="14.12"/>
    <n v="-0.53922509828768861"/>
  </r>
  <r>
    <n v="16"/>
    <x v="0"/>
    <n v="0.67069999999999996"/>
    <n v="0.58320000000000005"/>
    <n v="12.82"/>
    <n v="-0.53922509828768861"/>
  </r>
  <r>
    <n v="16"/>
    <x v="0"/>
    <n v="0.67069999999999996"/>
    <n v="0.58320000000000005"/>
    <n v="12.73"/>
    <n v="-0.53922509828768861"/>
  </r>
  <r>
    <n v="16"/>
    <x v="0"/>
    <n v="0.67069999999999996"/>
    <n v="0.58320000000000005"/>
    <n v="11.9"/>
    <n v="-0.53922509828768861"/>
  </r>
  <r>
    <n v="16"/>
    <x v="0"/>
    <n v="0.67069999999999996"/>
    <n v="0.58320000000000005"/>
    <n v="12.2"/>
    <n v="-0.53922509828768861"/>
  </r>
  <r>
    <n v="0"/>
    <x v="1"/>
    <n v="0.67900000000000005"/>
    <n v="0.35880000000000001"/>
    <n v="24.16"/>
    <n v="-1.0249901487974959"/>
  </r>
  <r>
    <n v="0"/>
    <x v="1"/>
    <n v="0.67900000000000005"/>
    <n v="0.35880000000000001"/>
    <n v="6.75"/>
    <n v="-1.0249901487974959"/>
  </r>
  <r>
    <n v="0"/>
    <x v="1"/>
    <n v="0.67900000000000005"/>
    <n v="0.35880000000000001"/>
    <n v="9.16"/>
    <n v="-1.0249901487974959"/>
  </r>
  <r>
    <n v="0"/>
    <x v="1"/>
    <n v="0.67900000000000005"/>
    <n v="0.35880000000000001"/>
    <n v="12.3"/>
    <n v="-1.0249901487974959"/>
  </r>
  <r>
    <n v="0"/>
    <x v="1"/>
    <n v="0.67900000000000005"/>
    <n v="0.35880000000000001"/>
    <n v="12.07"/>
    <n v="-1.0249901487974959"/>
  </r>
  <r>
    <n v="0"/>
    <x v="1"/>
    <n v="0.67900000000000005"/>
    <n v="0.35880000000000001"/>
    <n v="12.55"/>
    <n v="-1.0249901487974959"/>
  </r>
  <r>
    <n v="0"/>
    <x v="1"/>
    <n v="0.67900000000000005"/>
    <n v="0.35880000000000001"/>
    <n v="13.54"/>
    <n v="-1.0249901487974959"/>
  </r>
  <r>
    <n v="0"/>
    <x v="1"/>
    <n v="0.67900000000000005"/>
    <n v="0.35880000000000001"/>
    <n v="13.69"/>
    <n v="-1.0249901487974959"/>
  </r>
  <r>
    <n v="0"/>
    <x v="1"/>
    <n v="0.67900000000000005"/>
    <n v="0.35880000000000001"/>
    <n v="12.92"/>
    <n v="-1.0249901487974959"/>
  </r>
  <r>
    <n v="0"/>
    <x v="1"/>
    <n v="0.67900000000000005"/>
    <n v="0.35880000000000001"/>
    <n v="12.68"/>
    <n v="-1.0249901487974959"/>
  </r>
  <r>
    <n v="0"/>
    <x v="1"/>
    <n v="0.67900000000000005"/>
    <n v="0.35880000000000001"/>
    <n v="13.03"/>
    <n v="-1.0249901487974959"/>
  </r>
  <r>
    <n v="0"/>
    <x v="1"/>
    <n v="0.67900000000000005"/>
    <n v="0.35880000000000001"/>
    <n v="13.85"/>
    <n v="-1.0249901487974959"/>
  </r>
  <r>
    <n v="0"/>
    <x v="2"/>
    <n v="0.65439999999999998"/>
    <n v="0.56340000000000001"/>
    <n v="13.62"/>
    <n v="-0.57376542353986482"/>
  </r>
  <r>
    <n v="0"/>
    <x v="2"/>
    <n v="0.65439999999999998"/>
    <n v="0.56340000000000001"/>
    <n v="10.71"/>
    <n v="-0.57376542353986482"/>
  </r>
  <r>
    <n v="0"/>
    <x v="2"/>
    <n v="0.65439999999999998"/>
    <n v="0.56340000000000001"/>
    <n v="5.8"/>
    <n v="-0.57376542353986482"/>
  </r>
  <r>
    <n v="0"/>
    <x v="2"/>
    <n v="0.65439999999999998"/>
    <n v="0.56340000000000001"/>
    <n v="11.21"/>
    <n v="-0.57376542353986482"/>
  </r>
  <r>
    <n v="0"/>
    <x v="2"/>
    <n v="0.65439999999999998"/>
    <n v="0.56340000000000001"/>
    <n v="14.41"/>
    <n v="-0.57376542353986482"/>
  </r>
  <r>
    <n v="0"/>
    <x v="2"/>
    <n v="0.65439999999999998"/>
    <n v="0.56340000000000001"/>
    <n v="16.61"/>
    <n v="-0.57376542353986482"/>
  </r>
  <r>
    <n v="0"/>
    <x v="2"/>
    <n v="0.65439999999999998"/>
    <n v="0.56340000000000001"/>
    <n v="18.190000000000001"/>
    <n v="-0.57376542353986482"/>
  </r>
  <r>
    <n v="0"/>
    <x v="2"/>
    <n v="0.65439999999999998"/>
    <n v="0.56340000000000001"/>
    <n v="19.190000000000001"/>
    <n v="-0.57376542353986482"/>
  </r>
  <r>
    <n v="0"/>
    <x v="2"/>
    <n v="0.65439999999999998"/>
    <n v="0.56340000000000001"/>
    <n v="16.190000000000001"/>
    <n v="-0.57376542353986482"/>
  </r>
  <r>
    <n v="0"/>
    <x v="2"/>
    <n v="0.65439999999999998"/>
    <n v="0.56340000000000001"/>
    <n v="15.46"/>
    <n v="-0.57376542353986482"/>
  </r>
  <r>
    <n v="0"/>
    <x v="2"/>
    <n v="0.65439999999999998"/>
    <n v="0.56340000000000001"/>
    <n v="26.69"/>
    <n v="-0.57376542353986482"/>
  </r>
  <r>
    <n v="0"/>
    <x v="2"/>
    <n v="0.65439999999999998"/>
    <n v="0.56340000000000001"/>
    <n v="18.149999999999999"/>
    <n v="-0.57376542353986482"/>
  </r>
  <r>
    <n v="1"/>
    <x v="2"/>
    <n v="0.65439999999999998"/>
    <n v="0.56340000000000001"/>
    <n v="20.61"/>
    <n v="-0.57376542353986482"/>
  </r>
  <r>
    <n v="1"/>
    <x v="2"/>
    <n v="0.67930000000000001"/>
    <n v="0.65529999999999999"/>
    <n v="18.36"/>
    <n v="-0.42266213293668586"/>
  </r>
  <r>
    <n v="1"/>
    <x v="2"/>
    <n v="0.67930000000000001"/>
    <n v="0.65529999999999999"/>
    <n v="45.2"/>
    <n v="-0.42266213293668586"/>
  </r>
  <r>
    <n v="1"/>
    <x v="2"/>
    <n v="0.67930000000000001"/>
    <n v="0.65529999999999999"/>
    <n v="18.899999999999999"/>
    <n v="-0.42266213293668586"/>
  </r>
  <r>
    <n v="1"/>
    <x v="2"/>
    <n v="0.67930000000000001"/>
    <n v="0.65529999999999999"/>
    <n v="17.420000000000002"/>
    <n v="-0.42266213293668586"/>
  </r>
  <r>
    <n v="1"/>
    <x v="2"/>
    <n v="0.67930000000000001"/>
    <n v="0.65529999999999999"/>
    <n v="18.239999999999998"/>
    <n v="-0.42266213293668586"/>
  </r>
  <r>
    <n v="1"/>
    <x v="2"/>
    <n v="0.67930000000000001"/>
    <n v="0.65529999999999999"/>
    <n v="49.18"/>
    <n v="-0.42266213293668586"/>
  </r>
  <r>
    <n v="1"/>
    <x v="2"/>
    <n v="0.67930000000000001"/>
    <n v="0.65529999999999999"/>
    <n v="18.91"/>
    <n v="-0.42266213293668586"/>
  </r>
  <r>
    <n v="1"/>
    <x v="2"/>
    <n v="0.67930000000000001"/>
    <n v="0.65529999999999999"/>
    <n v="18.14"/>
    <n v="-0.42266213293668586"/>
  </r>
  <r>
    <n v="1"/>
    <x v="2"/>
    <n v="0.67930000000000001"/>
    <n v="0.65529999999999999"/>
    <n v="18.760000000000002"/>
    <n v="-0.42266213293668586"/>
  </r>
  <r>
    <n v="1"/>
    <x v="2"/>
    <n v="0.67930000000000001"/>
    <n v="0.65529999999999999"/>
    <n v="54.16"/>
    <n v="-0.42266213293668586"/>
  </r>
  <r>
    <n v="1"/>
    <x v="2"/>
    <n v="0.67930000000000001"/>
    <n v="0.65529999999999999"/>
    <n v="17.64"/>
    <n v="-0.42266213293668586"/>
  </r>
  <r>
    <n v="2"/>
    <x v="2"/>
    <n v="0.67930000000000001"/>
    <n v="0.65529999999999999"/>
    <n v="20.21"/>
    <n v="-0.42266213293668586"/>
  </r>
  <r>
    <n v="2"/>
    <x v="2"/>
    <n v="0.67610000000000003"/>
    <n v="0.65969999999999995"/>
    <n v="18.75"/>
    <n v="-0.41597009275331193"/>
  </r>
  <r>
    <n v="2"/>
    <x v="2"/>
    <n v="0.67610000000000003"/>
    <n v="0.65969999999999995"/>
    <n v="55.16"/>
    <n v="-0.41597009275331193"/>
  </r>
  <r>
    <n v="2"/>
    <x v="2"/>
    <n v="0.67610000000000003"/>
    <n v="0.65969999999999995"/>
    <n v="19.93"/>
    <n v="-0.41597009275331193"/>
  </r>
  <r>
    <n v="2"/>
    <x v="2"/>
    <n v="0.67610000000000003"/>
    <n v="0.65969999999999995"/>
    <n v="17.760000000000002"/>
    <n v="-0.41597009275331193"/>
  </r>
  <r>
    <n v="2"/>
    <x v="2"/>
    <n v="0.67610000000000003"/>
    <n v="0.65969999999999995"/>
    <n v="22.83"/>
    <n v="-0.41597009275331193"/>
  </r>
  <r>
    <n v="2"/>
    <x v="2"/>
    <n v="0.67610000000000003"/>
    <n v="0.65969999999999995"/>
    <n v="45.78"/>
    <n v="-0.41597009275331193"/>
  </r>
  <r>
    <n v="2"/>
    <x v="2"/>
    <n v="0.67610000000000003"/>
    <n v="0.65969999999999995"/>
    <n v="19.37"/>
    <n v="-0.41597009275331193"/>
  </r>
  <r>
    <n v="2"/>
    <x v="2"/>
    <n v="0.67610000000000003"/>
    <n v="0.65969999999999995"/>
    <n v="20.190000000000001"/>
    <n v="-0.41597009275331193"/>
  </r>
  <r>
    <n v="2"/>
    <x v="2"/>
    <n v="0.67610000000000003"/>
    <n v="0.65969999999999995"/>
    <n v="19.16"/>
    <n v="-0.41597009275331193"/>
  </r>
  <r>
    <n v="2"/>
    <x v="2"/>
    <n v="0.67610000000000003"/>
    <n v="0.65969999999999995"/>
    <n v="21.46"/>
    <n v="-0.41597009275331193"/>
  </r>
  <r>
    <n v="2"/>
    <x v="2"/>
    <n v="0.67610000000000003"/>
    <n v="0.65969999999999995"/>
    <n v="16.649999999999999"/>
    <n v="-0.41597009275331193"/>
  </r>
  <r>
    <n v="3"/>
    <x v="2"/>
    <n v="0.67610000000000003"/>
    <n v="0.65969999999999995"/>
    <n v="19.04"/>
    <n v="-0.41597009275331193"/>
  </r>
  <r>
    <n v="3"/>
    <x v="2"/>
    <n v="0.68510000000000004"/>
    <n v="0.63819999999999999"/>
    <n v="20.55"/>
    <n v="-0.44910356513799393"/>
  </r>
  <r>
    <n v="3"/>
    <x v="2"/>
    <n v="0.68510000000000004"/>
    <n v="0.63819999999999999"/>
    <n v="20.13"/>
    <n v="-0.44910356513799393"/>
  </r>
  <r>
    <n v="3"/>
    <x v="2"/>
    <n v="0.68510000000000004"/>
    <n v="0.63819999999999999"/>
    <n v="20.93"/>
    <n v="-0.44910356513799393"/>
  </r>
  <r>
    <n v="3"/>
    <x v="2"/>
    <n v="0.68510000000000004"/>
    <n v="0.63819999999999999"/>
    <n v="27.83"/>
    <n v="-0.44910356513799393"/>
  </r>
  <r>
    <n v="3"/>
    <x v="2"/>
    <n v="0.68510000000000004"/>
    <n v="0.63819999999999999"/>
    <n v="35.93"/>
    <n v="-0.44910356513799393"/>
  </r>
  <r>
    <n v="3"/>
    <x v="2"/>
    <n v="0.68510000000000004"/>
    <n v="0.63819999999999999"/>
    <n v="21.5"/>
    <n v="-0.44910356513799393"/>
  </r>
  <r>
    <n v="3"/>
    <x v="2"/>
    <n v="0.68510000000000004"/>
    <n v="0.63819999999999999"/>
    <n v="20.89"/>
    <n v="-0.44910356513799393"/>
  </r>
  <r>
    <n v="3"/>
    <x v="2"/>
    <n v="0.68510000000000004"/>
    <n v="0.63819999999999999"/>
    <n v="35.979999999999997"/>
    <n v="-0.44910356513799393"/>
  </r>
  <r>
    <n v="3"/>
    <x v="2"/>
    <n v="0.68510000000000004"/>
    <n v="0.63819999999999999"/>
    <n v="19.760000000000002"/>
    <n v="-0.44910356513799393"/>
  </r>
  <r>
    <n v="3"/>
    <x v="2"/>
    <n v="0.68510000000000004"/>
    <n v="0.63819999999999999"/>
    <n v="18.93"/>
    <n v="-0.44910356513799393"/>
  </r>
  <r>
    <n v="3"/>
    <x v="2"/>
    <n v="0.68510000000000004"/>
    <n v="0.63819999999999999"/>
    <n v="20.91"/>
    <n v="-0.44910356513799393"/>
  </r>
  <r>
    <n v="0"/>
    <x v="3"/>
    <n v="0.6401"/>
    <n v="0.5353"/>
    <n v="12.16"/>
    <n v="-0.62492794158280141"/>
  </r>
  <r>
    <n v="0"/>
    <x v="3"/>
    <n v="0.6401"/>
    <n v="0.5353"/>
    <n v="9.8000000000000007"/>
    <n v="-0.62492794158280141"/>
  </r>
  <r>
    <n v="0"/>
    <x v="3"/>
    <n v="0.6401"/>
    <n v="0.5353"/>
    <n v="10.25"/>
    <n v="-0.62492794158280141"/>
  </r>
  <r>
    <n v="0"/>
    <x v="3"/>
    <n v="0.6401"/>
    <n v="0.5353"/>
    <n v="9.51"/>
    <n v="-0.62492794158280141"/>
  </r>
  <r>
    <n v="0"/>
    <x v="3"/>
    <n v="0.6401"/>
    <n v="0.5353"/>
    <n v="9.6199999999999992"/>
    <n v="-0.62492794158280141"/>
  </r>
  <r>
    <n v="0"/>
    <x v="3"/>
    <n v="0.6401"/>
    <n v="0.5353"/>
    <n v="10.050000000000001"/>
    <n v="-0.62492794158280141"/>
  </r>
  <r>
    <n v="0"/>
    <x v="3"/>
    <n v="0.6401"/>
    <n v="0.5353"/>
    <n v="11.08"/>
    <n v="-0.62492794158280141"/>
  </r>
  <r>
    <n v="0"/>
    <x v="3"/>
    <n v="0.6401"/>
    <n v="0.5353"/>
    <n v="8.91"/>
    <n v="-0.62492794158280141"/>
  </r>
  <r>
    <n v="0"/>
    <x v="3"/>
    <n v="0.6401"/>
    <n v="0.5353"/>
    <n v="10.210000000000001"/>
    <n v="-0.62492794158280141"/>
  </r>
  <r>
    <n v="0"/>
    <x v="3"/>
    <n v="0.6401"/>
    <n v="0.5353"/>
    <n v="10.68"/>
    <n v="-0.62492794158280141"/>
  </r>
  <r>
    <n v="0"/>
    <x v="3"/>
    <n v="0.6401"/>
    <n v="0.5353"/>
    <n v="9.8000000000000007"/>
    <n v="-0.62492794158280141"/>
  </r>
  <r>
    <n v="0"/>
    <x v="3"/>
    <n v="0.6401"/>
    <n v="0.5353"/>
    <n v="11.3"/>
    <n v="-0.62492794158280141"/>
  </r>
  <r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10" firstHeaderRow="1" firstDataRow="2" firstDataCol="1"/>
  <pivotFields count="6"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og CM CPU AVG" fld="5" subtotal="average" baseField="0" baseItem="0"/>
    <dataField name="StdDev of Log CM CPU AVG" fld="5" subtotal="stdDev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J9" firstHeaderRow="1" firstDataRow="2" firstDataCol="1"/>
  <pivotFields count="5">
    <pivotField showAll="0"/>
    <pivotField axis="axisRow" numFmtId="9" showAll="0">
      <items count="5">
        <item x="3"/>
        <item x="0"/>
        <item x="2"/>
        <item x="1"/>
        <item t="default"/>
      </items>
    </pivotField>
    <pivotField dataField="1" numFmtId="10" showAll="0"/>
    <pivotField dataField="1" numFmtId="10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Max of CM CPU MAX" fld="2" subtotal="max" baseField="0" baseItem="0"/>
    <dataField name="Max of CM CPU AVG" fld="3" subtotal="max" baseField="0" baseItem="0" numFmtId="10"/>
    <dataField name="Max of CM DB CPU%" fld="4" subtotal="max" baseField="0" baseItem="0"/>
    <dataField name="Average of CM DB CPU%" fld="4" subtotal="average" baseField="0" baseItem="0"/>
    <dataField name="StdDev of CM DB CPU%" fld="4" subtotal="stdDev" baseField="0" baseItem="0"/>
    <dataField name="Average of CM CPU AVG" fld="3" subtotal="average" baseField="0" baseItem="0"/>
    <dataField name="StdDev of CM CPU AVG" fld="3" subtotal="stdDev" baseField="0" baseItem="0"/>
    <dataField name="Average of CM CPU MAX" fld="2" subtotal="average" baseField="0" baseItem="0"/>
    <dataField name="StdDev of CM CPU MAX" fld="2" subtotal="stdDev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6" name="Table6" displayName="Table6" ref="A4:H280" totalsRowShown="0" headerRowDxfId="48" dataDxfId="47" tableBorderDxfId="46">
  <autoFilter ref="A4:H280">
    <filterColumn colId="2"/>
    <filterColumn colId="3"/>
  </autoFilter>
  <tableColumns count="8">
    <tableColumn id="1" name="Date-Time" dataDxfId="45"/>
    <tableColumn id="2" name="Time" dataDxfId="44">
      <calculatedColumnFormula>TIMEVALUE(MID(A5,11,8))</calculatedColumnFormula>
    </tableColumn>
    <tableColumn id="9" name="Sample" dataDxfId="43"/>
    <tableColumn id="10" name="CM Sample" dataDxfId="42">
      <calculatedColumnFormula>TRUNC((C5-1)/12)</calculatedColumnFormula>
    </tableColumn>
    <tableColumn id="4" name="Load" dataDxfId="41"/>
    <tableColumn id="5" name="CM CPU MAX" dataDxfId="40"/>
    <tableColumn id="6" name="CM CPU AVG" dataDxfId="39"/>
    <tableColumn id="8" name="DB CPU%" data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277" totalsRowShown="0" headerRowDxfId="37" dataDxfId="36">
  <autoFilter ref="A1:F277">
    <filterColumn colId="5"/>
  </autoFilter>
  <tableColumns count="6">
    <tableColumn id="4" name="CM Sample(Hour)" dataDxfId="35"/>
    <tableColumn id="5" name="Load" dataDxfId="34"/>
    <tableColumn id="6" name="CM CPU MAX" dataDxfId="33"/>
    <tableColumn id="7" name="CM CPU AVG" dataDxfId="32"/>
    <tableColumn id="9" name="CM DB CPU%" dataDxfId="31"/>
    <tableColumn id="1" name="Log CM CPU AVG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I4" totalsRowShown="0" headerRowDxfId="30" dataDxfId="29">
  <autoFilter ref="A1:I4">
    <filterColumn colId="7"/>
    <filterColumn colId="8"/>
  </autoFilter>
  <tableColumns count="9">
    <tableColumn id="1" name="Row Labels" dataDxfId="28"/>
    <tableColumn id="2" name="Average of CM DB CPU%" dataDxfId="27"/>
    <tableColumn id="3" name="StdDev of CM DB CPU%" dataDxfId="26"/>
    <tableColumn id="4" name="Average of CM CPU AVG" dataDxfId="25"/>
    <tableColumn id="5" name="StdDev of CM CPU AVG" dataDxfId="24"/>
    <tableColumn id="6" name="Average of CM CPU MAX" dataDxfId="23"/>
    <tableColumn id="7" name="StdDev of CM CPU MAX" dataDxfId="22"/>
    <tableColumn id="8" name="Max of CM CPU AVG" dataDxfId="21"/>
    <tableColumn id="9" name="Max of CM DB CPU%" dataDxfId="2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Table24" displayName="Table24" ref="A1:M4" totalsRowShown="0" headerRowDxfId="19" dataDxfId="18">
  <autoFilter ref="A1:M4">
    <filterColumn colId="0">
      <filters>
        <filter val="70%"/>
        <filter val="100%"/>
      </filters>
    </filterColumn>
    <filterColumn colId="3"/>
    <filterColumn colId="4"/>
    <filterColumn colId="7"/>
    <filterColumn colId="8"/>
    <filterColumn colId="11"/>
    <filterColumn colId="12"/>
  </autoFilter>
  <tableColumns count="13">
    <tableColumn id="1" name="Row Labels" dataDxfId="17"/>
    <tableColumn id="2" name="Average of CM DB CPU%" dataDxfId="16"/>
    <tableColumn id="3" name="StdDev of CM DB CPU%" dataDxfId="15"/>
    <tableColumn id="11" name="CMDB+3STD" dataDxfId="14"/>
    <tableColumn id="10" name="Column1" dataDxfId="13"/>
    <tableColumn id="4" name="Average of CM CPU AVG" dataDxfId="12"/>
    <tableColumn id="5" name="StdDev of CM CPU AVG" dataDxfId="11"/>
    <tableColumn id="13" name="AVG+3STD" dataDxfId="10"/>
    <tableColumn id="12" name="AVG-3STD" dataDxfId="9"/>
    <tableColumn id="6" name="Average of CM CPU MAX" dataDxfId="8"/>
    <tableColumn id="7" name="StdDev of CM CPU MAX" dataDxfId="7"/>
    <tableColumn id="8" name="Max of CM CPU AVG" dataDxfId="6"/>
    <tableColumn id="9" name="Max of CM DB CPU%" dataDxfId="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1:G3" totalsRowShown="0">
  <autoFilter ref="A1:G3">
    <filterColumn colId="3"/>
    <filterColumn colId="4"/>
    <filterColumn colId="5"/>
    <filterColumn colId="6"/>
  </autoFilter>
  <tableColumns count="7">
    <tableColumn id="1" name="Load" dataDxfId="3"/>
    <tableColumn id="2" name="LOGNORMAL Mean" dataDxfId="2"/>
    <tableColumn id="3" name="LogNormal sigma" dataDxfId="1"/>
    <tableColumn id="4" name="CM CPU AVG" dataDxfId="0"/>
    <tableColumn id="5" name="CM CPU STD"/>
    <tableColumn id="6" name="CM CPU+3std"/>
    <tableColumn id="7" name="CM CPU -3s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"/>
  <sheetViews>
    <sheetView zoomScaleNormal="100" workbookViewId="0">
      <pane xSplit="3" topLeftCell="D1" activePane="topRight" state="frozen"/>
      <selection pane="topRight" activeCell="I5" sqref="I5"/>
    </sheetView>
  </sheetViews>
  <sheetFormatPr defaultRowHeight="15"/>
  <cols>
    <col min="1" max="1" width="9.140625" style="46"/>
    <col min="2" max="2" width="7.140625" style="46" bestFit="1" customWidth="1"/>
    <col min="3" max="3" width="22.85546875" style="46" customWidth="1"/>
    <col min="4" max="16384" width="9.140625" style="46"/>
  </cols>
  <sheetData>
    <row r="1" spans="1:27" ht="15" customHeight="1">
      <c r="A1" s="84" t="s">
        <v>322</v>
      </c>
      <c r="B1" s="85"/>
      <c r="C1" s="85"/>
      <c r="D1" s="49">
        <v>0.7</v>
      </c>
      <c r="E1" s="49">
        <v>1</v>
      </c>
      <c r="F1" s="49">
        <v>1</v>
      </c>
      <c r="G1" s="49">
        <v>1</v>
      </c>
      <c r="H1" s="49">
        <v>1</v>
      </c>
      <c r="I1" s="49">
        <v>1.2</v>
      </c>
      <c r="J1" s="50" t="s">
        <v>323</v>
      </c>
      <c r="K1" s="50" t="s">
        <v>324</v>
      </c>
      <c r="L1" s="50" t="s">
        <v>325</v>
      </c>
      <c r="M1" s="50" t="s">
        <v>326</v>
      </c>
      <c r="N1" s="50" t="s">
        <v>327</v>
      </c>
      <c r="O1" s="50" t="s">
        <v>328</v>
      </c>
      <c r="P1" s="50" t="s">
        <v>329</v>
      </c>
      <c r="Q1" s="50" t="s">
        <v>330</v>
      </c>
      <c r="R1" s="50" t="s">
        <v>331</v>
      </c>
      <c r="S1" s="50" t="s">
        <v>332</v>
      </c>
      <c r="T1" s="50" t="s">
        <v>333</v>
      </c>
      <c r="U1" s="50" t="s">
        <v>334</v>
      </c>
      <c r="V1" s="50" t="s">
        <v>335</v>
      </c>
      <c r="W1" s="50" t="s">
        <v>336</v>
      </c>
      <c r="X1" s="50" t="s">
        <v>337</v>
      </c>
      <c r="Y1" s="50" t="s">
        <v>338</v>
      </c>
      <c r="Z1" s="50" t="s">
        <v>339</v>
      </c>
      <c r="AA1" s="88" t="s">
        <v>340</v>
      </c>
    </row>
    <row r="2" spans="1:27">
      <c r="A2" s="86"/>
      <c r="B2" s="87"/>
      <c r="C2" s="87"/>
      <c r="D2" s="51" t="s">
        <v>341</v>
      </c>
      <c r="E2" s="51" t="s">
        <v>342</v>
      </c>
      <c r="F2" s="51" t="s">
        <v>343</v>
      </c>
      <c r="G2" s="51" t="s">
        <v>344</v>
      </c>
      <c r="H2" s="51" t="s">
        <v>345</v>
      </c>
      <c r="I2" s="51" t="s">
        <v>346</v>
      </c>
      <c r="J2" s="52" t="s">
        <v>347</v>
      </c>
      <c r="K2" s="52" t="s">
        <v>348</v>
      </c>
      <c r="L2" s="52" t="s">
        <v>349</v>
      </c>
      <c r="M2" s="52" t="s">
        <v>350</v>
      </c>
      <c r="N2" s="52" t="s">
        <v>351</v>
      </c>
      <c r="O2" s="52" t="s">
        <v>352</v>
      </c>
      <c r="P2" s="52" t="s">
        <v>353</v>
      </c>
      <c r="Q2" s="52" t="s">
        <v>354</v>
      </c>
      <c r="R2" s="52" t="s">
        <v>355</v>
      </c>
      <c r="S2" s="52" t="s">
        <v>356</v>
      </c>
      <c r="T2" s="52" t="s">
        <v>357</v>
      </c>
      <c r="U2" s="52" t="s">
        <v>358</v>
      </c>
      <c r="V2" s="52" t="s">
        <v>359</v>
      </c>
      <c r="W2" s="52" t="s">
        <v>360</v>
      </c>
      <c r="X2" s="52" t="s">
        <v>361</v>
      </c>
      <c r="Y2" s="52" t="s">
        <v>362</v>
      </c>
      <c r="Z2" s="52" t="s">
        <v>363</v>
      </c>
      <c r="AA2" s="89"/>
    </row>
    <row r="3" spans="1:27">
      <c r="A3" s="90"/>
      <c r="B3" s="56" t="s">
        <v>364</v>
      </c>
      <c r="C3" s="53" t="s">
        <v>365</v>
      </c>
      <c r="D3" s="55">
        <v>0.6401</v>
      </c>
      <c r="E3" s="57">
        <v>0.65439999999999998</v>
      </c>
      <c r="F3" s="57">
        <v>0.67930000000000001</v>
      </c>
      <c r="G3" s="57">
        <v>0.67610000000000003</v>
      </c>
      <c r="H3" s="57">
        <v>0.68510000000000004</v>
      </c>
      <c r="I3" s="55">
        <v>0.67900000000000005</v>
      </c>
      <c r="J3" s="54">
        <v>0.67900000000000005</v>
      </c>
      <c r="K3" s="54">
        <v>0.56340000000000001</v>
      </c>
      <c r="L3" s="54">
        <v>0.67520000000000002</v>
      </c>
      <c r="M3" s="54">
        <v>0.64559999999999995</v>
      </c>
      <c r="N3" s="54">
        <v>0.66679999999999995</v>
      </c>
      <c r="O3" s="54">
        <v>0.65859999999999996</v>
      </c>
      <c r="P3" s="54">
        <v>0.6593</v>
      </c>
      <c r="Q3" s="54">
        <v>0.66579999999999995</v>
      </c>
      <c r="R3" s="54">
        <v>0.67159999999999997</v>
      </c>
      <c r="S3" s="54">
        <v>0.66180000000000005</v>
      </c>
      <c r="T3" s="54">
        <v>0.66149999999999998</v>
      </c>
      <c r="U3" s="54">
        <v>0.69269999999999998</v>
      </c>
      <c r="V3" s="54">
        <v>0.66220000000000001</v>
      </c>
      <c r="W3" s="54">
        <v>0.60360000000000003</v>
      </c>
      <c r="X3" s="58">
        <v>0.67249999999999999</v>
      </c>
      <c r="Y3" s="58">
        <v>0.6714</v>
      </c>
      <c r="Z3" s="58">
        <v>0.67069999999999996</v>
      </c>
      <c r="AA3" s="89"/>
    </row>
    <row r="4" spans="1:27">
      <c r="A4" s="90"/>
      <c r="B4" s="56" t="s">
        <v>368</v>
      </c>
      <c r="C4" s="53" t="s">
        <v>366</v>
      </c>
      <c r="D4" s="55">
        <v>0.5353</v>
      </c>
      <c r="E4" s="57">
        <v>0.56340000000000001</v>
      </c>
      <c r="F4" s="57">
        <v>0.65529999999999999</v>
      </c>
      <c r="G4" s="57">
        <v>0.65969999999999995</v>
      </c>
      <c r="H4" s="57">
        <v>0.63819999999999999</v>
      </c>
      <c r="I4" s="55">
        <v>0.35880000000000001</v>
      </c>
      <c r="J4" s="54">
        <v>0.35880000000000001</v>
      </c>
      <c r="K4" s="54">
        <v>0.24560000000000001</v>
      </c>
      <c r="L4" s="54">
        <v>0.48359999999999997</v>
      </c>
      <c r="M4" s="54">
        <v>0.62629999999999997</v>
      </c>
      <c r="N4" s="54">
        <v>0.59799999999999998</v>
      </c>
      <c r="O4" s="54">
        <v>0.64380000000000004</v>
      </c>
      <c r="P4" s="54">
        <v>0.64580000000000004</v>
      </c>
      <c r="Q4" s="54">
        <v>0.65059999999999996</v>
      </c>
      <c r="R4" s="54">
        <v>0.65029999999999999</v>
      </c>
      <c r="S4" s="54">
        <v>0.64549999999999996</v>
      </c>
      <c r="T4" s="54">
        <v>0.64500000000000002</v>
      </c>
      <c r="U4" s="54">
        <v>0.65280000000000005</v>
      </c>
      <c r="V4" s="54">
        <v>0.63470000000000004</v>
      </c>
      <c r="W4" s="54">
        <v>0.59379999999999999</v>
      </c>
      <c r="X4" s="54">
        <v>0.47120000000000001</v>
      </c>
      <c r="Y4" s="58">
        <v>0.53800000000000003</v>
      </c>
      <c r="Z4" s="58">
        <v>0.58320000000000005</v>
      </c>
      <c r="AA4" s="89"/>
    </row>
    <row r="5" spans="1:27">
      <c r="A5" s="90"/>
      <c r="B5" s="59"/>
      <c r="C5" s="53" t="s">
        <v>367</v>
      </c>
      <c r="D5" s="55">
        <v>1.6400000000000001E-2</v>
      </c>
      <c r="E5" s="57">
        <v>0.1678</v>
      </c>
      <c r="F5" s="57">
        <v>0.63890000000000002</v>
      </c>
      <c r="G5" s="57">
        <v>0.64539999999999997</v>
      </c>
      <c r="H5" s="57">
        <v>0.378</v>
      </c>
      <c r="I5" s="55">
        <v>0.11550000000000001</v>
      </c>
      <c r="J5" s="54">
        <v>0.11550000000000001</v>
      </c>
      <c r="K5" s="54">
        <v>1.54E-2</v>
      </c>
      <c r="L5" s="54">
        <v>2.23E-2</v>
      </c>
      <c r="M5" s="54">
        <v>0.60940000000000005</v>
      </c>
      <c r="N5" s="54">
        <v>0.33910000000000001</v>
      </c>
      <c r="O5" s="54">
        <v>0.6351</v>
      </c>
      <c r="P5" s="54">
        <v>0.629</v>
      </c>
      <c r="Q5" s="54">
        <v>0.63739999999999997</v>
      </c>
      <c r="R5" s="54">
        <v>0.6361</v>
      </c>
      <c r="S5" s="54">
        <v>0.63690000000000002</v>
      </c>
      <c r="T5" s="54">
        <v>0.63560000000000005</v>
      </c>
      <c r="U5" s="54">
        <v>0.63239999999999996</v>
      </c>
      <c r="V5" s="54">
        <v>0.59750000000000003</v>
      </c>
      <c r="W5" s="54">
        <v>0.56520000000000004</v>
      </c>
      <c r="X5" s="58">
        <v>8.2199999999999995E-2</v>
      </c>
      <c r="Y5" s="58">
        <v>0.34699999999999998</v>
      </c>
      <c r="Z5" s="58">
        <v>0.499</v>
      </c>
      <c r="AA5" s="89"/>
    </row>
  </sheetData>
  <mergeCells count="3">
    <mergeCell ref="A1:C2"/>
    <mergeCell ref="AA1:AA5"/>
    <mergeCell ref="A3:A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8"/>
  <sheetViews>
    <sheetView workbookViewId="0">
      <selection activeCell="S4" sqref="S4"/>
    </sheetView>
  </sheetViews>
  <sheetFormatPr defaultRowHeight="15"/>
  <sheetData>
    <row r="1" spans="1:16" ht="21.75" thickBot="1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13"/>
      <c r="O1" s="13"/>
      <c r="P1" s="13"/>
    </row>
    <row r="2" spans="1:16" ht="105">
      <c r="A2" s="6" t="s">
        <v>1</v>
      </c>
      <c r="B2" s="7" t="s">
        <v>2</v>
      </c>
      <c r="C2" s="12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98" t="s">
        <v>14</v>
      </c>
      <c r="O2" s="99"/>
      <c r="P2" s="100"/>
    </row>
    <row r="3" spans="1:16" ht="15.75" thickBot="1">
      <c r="A3" s="20"/>
      <c r="B3" s="21"/>
      <c r="C3" s="22"/>
      <c r="D3" s="21"/>
      <c r="E3" s="21"/>
      <c r="F3" s="21"/>
      <c r="G3" s="21"/>
      <c r="H3" s="21"/>
      <c r="I3" s="23">
        <v>0.2</v>
      </c>
      <c r="J3" s="23">
        <v>0.5</v>
      </c>
      <c r="K3" s="23">
        <v>0.7</v>
      </c>
      <c r="L3" s="23">
        <v>1</v>
      </c>
      <c r="M3" s="23">
        <v>1.2</v>
      </c>
      <c r="N3" s="101"/>
      <c r="O3" s="102"/>
      <c r="P3" s="103"/>
    </row>
    <row r="4" spans="1:16" ht="45">
      <c r="A4" s="104" t="s">
        <v>15</v>
      </c>
      <c r="B4" s="28" t="s">
        <v>16</v>
      </c>
      <c r="C4" s="29">
        <v>1.5</v>
      </c>
      <c r="D4" s="29">
        <v>4</v>
      </c>
      <c r="E4" s="92" t="s">
        <v>17</v>
      </c>
      <c r="F4" s="30">
        <v>5</v>
      </c>
      <c r="G4" s="30">
        <v>2</v>
      </c>
      <c r="H4" s="31">
        <v>0.4</v>
      </c>
      <c r="I4" s="29">
        <v>0</v>
      </c>
      <c r="J4" s="29">
        <v>0</v>
      </c>
      <c r="K4" s="29">
        <v>0</v>
      </c>
      <c r="L4" s="32">
        <v>1.6</v>
      </c>
      <c r="M4" s="33">
        <v>0</v>
      </c>
      <c r="N4" s="107" t="s">
        <v>18</v>
      </c>
      <c r="O4" s="108"/>
      <c r="P4" s="108"/>
    </row>
    <row r="5" spans="1:16" ht="45">
      <c r="A5" s="105"/>
      <c r="B5" s="10" t="s">
        <v>19</v>
      </c>
      <c r="C5" s="3">
        <v>1.5</v>
      </c>
      <c r="D5" s="3">
        <v>2</v>
      </c>
      <c r="E5" s="93"/>
      <c r="F5" s="15">
        <v>5</v>
      </c>
      <c r="G5" s="15">
        <v>2</v>
      </c>
      <c r="H5" s="5">
        <v>0.4</v>
      </c>
      <c r="I5" s="3">
        <v>0</v>
      </c>
      <c r="J5" s="3">
        <v>0</v>
      </c>
      <c r="K5" s="3">
        <v>0</v>
      </c>
      <c r="L5" s="18">
        <v>0.8</v>
      </c>
      <c r="M5" s="16">
        <v>0</v>
      </c>
      <c r="N5" s="107"/>
      <c r="O5" s="108"/>
      <c r="P5" s="108"/>
    </row>
    <row r="6" spans="1:16" ht="30">
      <c r="A6" s="105"/>
      <c r="B6" s="10" t="s">
        <v>20</v>
      </c>
      <c r="C6" s="9">
        <v>2</v>
      </c>
      <c r="D6" s="3">
        <v>32</v>
      </c>
      <c r="E6" s="44" t="s">
        <v>21</v>
      </c>
      <c r="F6" s="15">
        <v>22</v>
      </c>
      <c r="G6" s="15">
        <v>2</v>
      </c>
      <c r="H6" s="5">
        <v>0.1</v>
      </c>
      <c r="I6" s="3">
        <v>0.64000000000000012</v>
      </c>
      <c r="J6" s="3">
        <v>1.6</v>
      </c>
      <c r="K6" s="3">
        <v>2.2399999999999998</v>
      </c>
      <c r="L6" s="18">
        <v>3.2</v>
      </c>
      <c r="M6" s="16">
        <v>9.6</v>
      </c>
      <c r="N6" s="107"/>
      <c r="O6" s="108"/>
      <c r="P6" s="108"/>
    </row>
    <row r="7" spans="1:16" ht="45">
      <c r="A7" s="105"/>
      <c r="B7" s="10" t="s">
        <v>22</v>
      </c>
      <c r="C7" s="3">
        <v>1.5</v>
      </c>
      <c r="D7" s="3">
        <v>62</v>
      </c>
      <c r="E7" s="94" t="s">
        <v>17</v>
      </c>
      <c r="F7" s="15">
        <v>5</v>
      </c>
      <c r="G7" s="15">
        <v>2</v>
      </c>
      <c r="H7" s="5">
        <v>0.4</v>
      </c>
      <c r="I7" s="3">
        <v>3.76</v>
      </c>
      <c r="J7" s="3">
        <v>8.4</v>
      </c>
      <c r="K7" s="3">
        <v>11</v>
      </c>
      <c r="L7" s="18">
        <v>24.8</v>
      </c>
      <c r="M7" s="16">
        <v>39.04</v>
      </c>
      <c r="N7" s="107"/>
      <c r="O7" s="108"/>
      <c r="P7" s="108"/>
    </row>
    <row r="8" spans="1:16" ht="45">
      <c r="A8" s="105"/>
      <c r="B8" s="10" t="s">
        <v>23</v>
      </c>
      <c r="C8" s="3">
        <v>1.5</v>
      </c>
      <c r="D8" s="3">
        <v>26</v>
      </c>
      <c r="E8" s="95"/>
      <c r="F8" s="15">
        <v>5</v>
      </c>
      <c r="G8" s="15">
        <v>2</v>
      </c>
      <c r="H8" s="5">
        <v>0.4</v>
      </c>
      <c r="I8" s="3">
        <v>0</v>
      </c>
      <c r="J8" s="3">
        <v>0</v>
      </c>
      <c r="K8" s="3">
        <v>0</v>
      </c>
      <c r="L8" s="18">
        <v>10.4</v>
      </c>
      <c r="M8" s="16">
        <v>0</v>
      </c>
      <c r="N8" s="107"/>
      <c r="O8" s="108"/>
      <c r="P8" s="108"/>
    </row>
    <row r="9" spans="1:16" ht="45">
      <c r="A9" s="105"/>
      <c r="B9" s="10" t="s">
        <v>24</v>
      </c>
      <c r="C9" s="3">
        <v>1.5</v>
      </c>
      <c r="D9" s="3">
        <v>1</v>
      </c>
      <c r="E9" s="95"/>
      <c r="F9" s="15">
        <v>5</v>
      </c>
      <c r="G9" s="15">
        <v>2</v>
      </c>
      <c r="H9" s="5">
        <v>0.4</v>
      </c>
      <c r="I9" s="3">
        <v>3</v>
      </c>
      <c r="J9" s="3">
        <v>8</v>
      </c>
      <c r="K9" s="3">
        <v>12.1</v>
      </c>
      <c r="L9" s="18">
        <v>0.4</v>
      </c>
      <c r="M9" s="16">
        <v>39.04</v>
      </c>
      <c r="N9" s="107"/>
      <c r="O9" s="108"/>
      <c r="P9" s="108"/>
    </row>
    <row r="10" spans="1:16" ht="45">
      <c r="A10" s="105"/>
      <c r="B10" s="10" t="s">
        <v>25</v>
      </c>
      <c r="C10" s="3">
        <v>1.5</v>
      </c>
      <c r="D10" s="3">
        <v>1</v>
      </c>
      <c r="E10" s="95"/>
      <c r="F10" s="15">
        <v>5</v>
      </c>
      <c r="G10" s="15">
        <v>2</v>
      </c>
      <c r="H10" s="5">
        <v>0.4</v>
      </c>
      <c r="I10" s="3">
        <v>0</v>
      </c>
      <c r="J10" s="3">
        <v>0</v>
      </c>
      <c r="K10" s="3">
        <v>0</v>
      </c>
      <c r="L10" s="18">
        <v>0.4</v>
      </c>
      <c r="M10" s="16">
        <v>0</v>
      </c>
      <c r="N10" s="107"/>
      <c r="O10" s="108"/>
      <c r="P10" s="108"/>
    </row>
    <row r="11" spans="1:16" ht="45">
      <c r="A11" s="105"/>
      <c r="B11" s="14" t="s">
        <v>26</v>
      </c>
      <c r="C11" s="3">
        <v>1.5</v>
      </c>
      <c r="D11" s="4">
        <v>1</v>
      </c>
      <c r="E11" s="95"/>
      <c r="F11" s="15">
        <v>5</v>
      </c>
      <c r="G11" s="15">
        <v>2</v>
      </c>
      <c r="H11" s="5">
        <v>0.4</v>
      </c>
      <c r="I11" s="3">
        <v>0</v>
      </c>
      <c r="J11" s="3">
        <v>0</v>
      </c>
      <c r="K11" s="3">
        <v>0</v>
      </c>
      <c r="L11" s="18">
        <v>0.4</v>
      </c>
      <c r="M11" s="16">
        <v>0</v>
      </c>
      <c r="N11" s="107"/>
      <c r="O11" s="108"/>
      <c r="P11" s="108"/>
    </row>
    <row r="12" spans="1:16" ht="45">
      <c r="A12" s="105"/>
      <c r="B12" s="10" t="s">
        <v>27</v>
      </c>
      <c r="C12" s="3">
        <v>1.5</v>
      </c>
      <c r="D12" s="3">
        <v>4</v>
      </c>
      <c r="E12" s="95"/>
      <c r="F12" s="15">
        <v>5</v>
      </c>
      <c r="G12" s="15">
        <v>2</v>
      </c>
      <c r="H12" s="5">
        <v>0.4</v>
      </c>
      <c r="I12" s="3">
        <v>0</v>
      </c>
      <c r="J12" s="3">
        <v>0</v>
      </c>
      <c r="K12" s="3">
        <v>0</v>
      </c>
      <c r="L12" s="18">
        <v>1.6</v>
      </c>
      <c r="M12" s="16">
        <v>0</v>
      </c>
      <c r="N12" s="107"/>
      <c r="O12" s="108"/>
      <c r="P12" s="108"/>
    </row>
    <row r="13" spans="1:16" ht="30">
      <c r="A13" s="105"/>
      <c r="B13" s="10" t="s">
        <v>28</v>
      </c>
      <c r="C13" s="3">
        <v>1.5</v>
      </c>
      <c r="D13" s="3">
        <v>10</v>
      </c>
      <c r="E13" s="95"/>
      <c r="F13" s="15">
        <v>5</v>
      </c>
      <c r="G13" s="15">
        <v>2</v>
      </c>
      <c r="H13" s="5">
        <v>0.4</v>
      </c>
      <c r="I13" s="3">
        <v>0</v>
      </c>
      <c r="J13" s="3">
        <v>0</v>
      </c>
      <c r="K13" s="3">
        <v>0</v>
      </c>
      <c r="L13" s="18">
        <v>4</v>
      </c>
      <c r="M13" s="16">
        <v>0</v>
      </c>
      <c r="N13" s="107"/>
      <c r="O13" s="108"/>
      <c r="P13" s="108"/>
    </row>
    <row r="14" spans="1:16" ht="45">
      <c r="A14" s="105"/>
      <c r="B14" s="10" t="s">
        <v>29</v>
      </c>
      <c r="C14" s="3">
        <v>1.5</v>
      </c>
      <c r="D14" s="3">
        <v>4</v>
      </c>
      <c r="E14" s="95"/>
      <c r="F14" s="15">
        <v>5</v>
      </c>
      <c r="G14" s="15">
        <v>2</v>
      </c>
      <c r="H14" s="5">
        <v>0.4</v>
      </c>
      <c r="I14" s="3">
        <v>0</v>
      </c>
      <c r="J14" s="3">
        <v>0</v>
      </c>
      <c r="K14" s="3">
        <v>0</v>
      </c>
      <c r="L14" s="18">
        <v>1.6</v>
      </c>
      <c r="M14" s="16">
        <v>0</v>
      </c>
      <c r="N14" s="107"/>
      <c r="O14" s="108"/>
      <c r="P14" s="108"/>
    </row>
    <row r="15" spans="1:16" ht="60.75" thickBot="1">
      <c r="A15" s="106"/>
      <c r="B15" s="34" t="s">
        <v>30</v>
      </c>
      <c r="C15" s="35">
        <v>1.5</v>
      </c>
      <c r="D15" s="35">
        <v>7</v>
      </c>
      <c r="E15" s="96"/>
      <c r="F15" s="36">
        <v>5</v>
      </c>
      <c r="G15" s="36">
        <v>2</v>
      </c>
      <c r="H15" s="37">
        <v>0.4</v>
      </c>
      <c r="I15" s="35">
        <v>3</v>
      </c>
      <c r="J15" s="35">
        <v>8</v>
      </c>
      <c r="K15" s="35">
        <v>11</v>
      </c>
      <c r="L15" s="38">
        <v>2.8000000000000003</v>
      </c>
      <c r="M15" s="39">
        <v>3.3600000000000003</v>
      </c>
      <c r="N15" s="107"/>
      <c r="O15" s="108"/>
      <c r="P15" s="108"/>
    </row>
    <row r="16" spans="1:16" ht="15.75" thickBot="1">
      <c r="A16" s="8"/>
      <c r="B16" s="41" t="s">
        <v>31</v>
      </c>
      <c r="C16" s="19"/>
      <c r="D16" s="19">
        <v>154</v>
      </c>
      <c r="E16" s="17"/>
      <c r="F16" s="17"/>
      <c r="G16" s="17"/>
      <c r="H16" s="42"/>
      <c r="I16" s="19">
        <v>10.6</v>
      </c>
      <c r="J16" s="19">
        <v>26.5</v>
      </c>
      <c r="K16" s="19">
        <v>37.04</v>
      </c>
      <c r="L16" s="19">
        <v>53</v>
      </c>
      <c r="M16" s="43">
        <v>92.24</v>
      </c>
      <c r="N16" s="107"/>
      <c r="O16" s="108"/>
      <c r="P16" s="108"/>
    </row>
    <row r="17" spans="1:16" ht="45">
      <c r="A17" s="109" t="s">
        <v>32</v>
      </c>
      <c r="B17" s="28" t="s">
        <v>33</v>
      </c>
      <c r="C17" s="29">
        <v>1.5</v>
      </c>
      <c r="D17" s="29">
        <v>105</v>
      </c>
      <c r="E17" s="97" t="s">
        <v>21</v>
      </c>
      <c r="F17" s="30">
        <v>22</v>
      </c>
      <c r="G17" s="30">
        <v>2</v>
      </c>
      <c r="H17" s="31">
        <v>0.1</v>
      </c>
      <c r="I17" s="29">
        <v>2.1</v>
      </c>
      <c r="J17" s="29">
        <v>5.25</v>
      </c>
      <c r="K17" s="29">
        <v>7.35</v>
      </c>
      <c r="L17" s="32">
        <v>10.5</v>
      </c>
      <c r="M17" s="33">
        <v>12.6</v>
      </c>
      <c r="N17" s="108"/>
      <c r="O17" s="108"/>
      <c r="P17" s="108"/>
    </row>
    <row r="18" spans="1:16" ht="30">
      <c r="A18" s="110"/>
      <c r="B18" s="11" t="s">
        <v>34</v>
      </c>
      <c r="C18" s="3">
        <v>4</v>
      </c>
      <c r="D18" s="3">
        <v>14</v>
      </c>
      <c r="E18" s="95"/>
      <c r="F18" s="15">
        <v>22</v>
      </c>
      <c r="G18" s="15">
        <v>2</v>
      </c>
      <c r="H18" s="5">
        <v>0.1</v>
      </c>
      <c r="I18" s="3">
        <v>0.28000000000000003</v>
      </c>
      <c r="J18" s="3">
        <v>0.70000000000000007</v>
      </c>
      <c r="K18" s="3">
        <v>0.98</v>
      </c>
      <c r="L18" s="18">
        <v>1.4000000000000001</v>
      </c>
      <c r="M18" s="16">
        <v>1.6800000000000002</v>
      </c>
      <c r="N18" s="108"/>
      <c r="O18" s="108"/>
      <c r="P18" s="108"/>
    </row>
    <row r="19" spans="1:16" ht="45">
      <c r="A19" s="110"/>
      <c r="B19" s="11" t="s">
        <v>35</v>
      </c>
      <c r="C19" s="3">
        <v>1.5</v>
      </c>
      <c r="D19" s="3">
        <v>4</v>
      </c>
      <c r="E19" s="95"/>
      <c r="F19" s="15">
        <v>22</v>
      </c>
      <c r="G19" s="15">
        <v>2</v>
      </c>
      <c r="H19" s="5">
        <v>0.1</v>
      </c>
      <c r="I19" s="3">
        <v>8.0000000000000016E-2</v>
      </c>
      <c r="J19" s="3">
        <v>0.2</v>
      </c>
      <c r="K19" s="3">
        <v>0.27999999999999997</v>
      </c>
      <c r="L19" s="18">
        <v>0.4</v>
      </c>
      <c r="M19" s="16">
        <v>0.48</v>
      </c>
      <c r="N19" s="108"/>
      <c r="O19" s="108"/>
      <c r="P19" s="108"/>
    </row>
    <row r="20" spans="1:16" ht="45.75" thickBot="1">
      <c r="A20" s="111"/>
      <c r="B20" s="40" t="s">
        <v>36</v>
      </c>
      <c r="C20" s="35">
        <v>4</v>
      </c>
      <c r="D20" s="35">
        <v>4</v>
      </c>
      <c r="E20" s="96"/>
      <c r="F20" s="36">
        <v>22</v>
      </c>
      <c r="G20" s="36">
        <v>2</v>
      </c>
      <c r="H20" s="37">
        <v>0.1</v>
      </c>
      <c r="I20" s="35">
        <v>8.0000000000000016E-2</v>
      </c>
      <c r="J20" s="35">
        <v>0.2</v>
      </c>
      <c r="K20" s="35">
        <v>0.27999999999999997</v>
      </c>
      <c r="L20" s="38">
        <v>0.4</v>
      </c>
      <c r="M20" s="39">
        <v>0.48</v>
      </c>
      <c r="N20" s="108"/>
      <c r="O20" s="108"/>
      <c r="P20" s="108"/>
    </row>
    <row r="21" spans="1:16" ht="15.75" thickBot="1">
      <c r="A21" s="8"/>
      <c r="B21" s="41" t="s">
        <v>31</v>
      </c>
      <c r="C21" s="19"/>
      <c r="D21" s="19">
        <v>127</v>
      </c>
      <c r="E21" s="17"/>
      <c r="F21" s="17"/>
      <c r="G21" s="17"/>
      <c r="H21" s="42"/>
      <c r="I21" s="19">
        <v>2.54</v>
      </c>
      <c r="J21" s="19">
        <v>6.3500000000000005</v>
      </c>
      <c r="K21" s="19">
        <v>8.8899999999999988</v>
      </c>
      <c r="L21" s="19">
        <v>12.700000000000001</v>
      </c>
      <c r="M21" s="19">
        <v>15.24</v>
      </c>
      <c r="N21" s="108"/>
      <c r="O21" s="108"/>
      <c r="P21" s="108"/>
    </row>
    <row r="22" spans="1:16" ht="30">
      <c r="A22" s="104" t="s">
        <v>37</v>
      </c>
      <c r="B22" s="28" t="s">
        <v>38</v>
      </c>
      <c r="C22" s="29">
        <v>2</v>
      </c>
      <c r="D22" s="29">
        <v>5</v>
      </c>
      <c r="E22" s="45" t="s">
        <v>21</v>
      </c>
      <c r="F22" s="30">
        <v>22</v>
      </c>
      <c r="G22" s="30">
        <v>2</v>
      </c>
      <c r="H22" s="31">
        <v>0.1</v>
      </c>
      <c r="I22" s="29">
        <v>0.1</v>
      </c>
      <c r="J22" s="29">
        <v>0.25</v>
      </c>
      <c r="K22" s="29">
        <v>0.35</v>
      </c>
      <c r="L22" s="32">
        <v>0.5</v>
      </c>
      <c r="M22" s="33">
        <v>0.6</v>
      </c>
      <c r="N22" s="107"/>
      <c r="O22" s="108"/>
      <c r="P22" s="108"/>
    </row>
    <row r="23" spans="1:16" ht="45">
      <c r="A23" s="105"/>
      <c r="B23" s="11" t="s">
        <v>39</v>
      </c>
      <c r="C23" s="3">
        <v>1.5</v>
      </c>
      <c r="D23" s="3">
        <v>5</v>
      </c>
      <c r="E23" s="112" t="s">
        <v>17</v>
      </c>
      <c r="F23" s="15">
        <v>5</v>
      </c>
      <c r="G23" s="15">
        <v>2</v>
      </c>
      <c r="H23" s="5">
        <v>0.4</v>
      </c>
      <c r="I23" s="3">
        <v>0.4</v>
      </c>
      <c r="J23" s="3">
        <v>1</v>
      </c>
      <c r="K23" s="3">
        <v>1.4</v>
      </c>
      <c r="L23" s="18">
        <v>2</v>
      </c>
      <c r="M23" s="16">
        <v>2.4</v>
      </c>
      <c r="N23" s="107"/>
      <c r="O23" s="108"/>
      <c r="P23" s="108"/>
    </row>
    <row r="24" spans="1:16" ht="45">
      <c r="A24" s="105"/>
      <c r="B24" s="11" t="s">
        <v>40</v>
      </c>
      <c r="C24" s="3">
        <v>1.5</v>
      </c>
      <c r="D24" s="3">
        <v>5</v>
      </c>
      <c r="E24" s="112"/>
      <c r="F24" s="15">
        <v>5</v>
      </c>
      <c r="G24" s="15">
        <v>2</v>
      </c>
      <c r="H24" s="5">
        <v>0.4</v>
      </c>
      <c r="I24" s="3">
        <v>0.4</v>
      </c>
      <c r="J24" s="3">
        <v>1</v>
      </c>
      <c r="K24" s="3">
        <v>1.4</v>
      </c>
      <c r="L24" s="18">
        <v>2</v>
      </c>
      <c r="M24" s="16">
        <v>2.4</v>
      </c>
      <c r="N24" s="107"/>
      <c r="O24" s="108"/>
      <c r="P24" s="108"/>
    </row>
    <row r="25" spans="1:16" ht="45">
      <c r="A25" s="105"/>
      <c r="B25" s="11" t="s">
        <v>41</v>
      </c>
      <c r="C25" s="3">
        <v>1.5</v>
      </c>
      <c r="D25" s="3">
        <v>5</v>
      </c>
      <c r="E25" s="112"/>
      <c r="F25" s="15">
        <v>5</v>
      </c>
      <c r="G25" s="15">
        <v>2</v>
      </c>
      <c r="H25" s="5">
        <v>0.4</v>
      </c>
      <c r="I25" s="3">
        <v>0.4</v>
      </c>
      <c r="J25" s="3">
        <v>1</v>
      </c>
      <c r="K25" s="3">
        <v>1.4</v>
      </c>
      <c r="L25" s="18">
        <v>2</v>
      </c>
      <c r="M25" s="16">
        <v>2.4</v>
      </c>
      <c r="N25" s="107"/>
      <c r="O25" s="108"/>
      <c r="P25" s="108"/>
    </row>
    <row r="26" spans="1:16" ht="60">
      <c r="A26" s="105"/>
      <c r="B26" s="11" t="s">
        <v>42</v>
      </c>
      <c r="C26" s="3">
        <v>1.5</v>
      </c>
      <c r="D26" s="3">
        <v>5</v>
      </c>
      <c r="E26" s="112"/>
      <c r="F26" s="15">
        <v>5</v>
      </c>
      <c r="G26" s="15">
        <v>2</v>
      </c>
      <c r="H26" s="5">
        <v>0.4</v>
      </c>
      <c r="I26" s="3">
        <v>0.4</v>
      </c>
      <c r="J26" s="3">
        <v>1</v>
      </c>
      <c r="K26" s="3">
        <v>1.4</v>
      </c>
      <c r="L26" s="18">
        <v>2</v>
      </c>
      <c r="M26" s="16">
        <v>2.4</v>
      </c>
      <c r="N26" s="107"/>
      <c r="O26" s="108"/>
      <c r="P26" s="108"/>
    </row>
    <row r="27" spans="1:16" ht="60.75" thickBot="1">
      <c r="A27" s="106"/>
      <c r="B27" s="40" t="s">
        <v>43</v>
      </c>
      <c r="C27" s="35">
        <v>1.5</v>
      </c>
      <c r="D27" s="35">
        <v>5</v>
      </c>
      <c r="E27" s="113"/>
      <c r="F27" s="36">
        <v>5</v>
      </c>
      <c r="G27" s="36">
        <v>2</v>
      </c>
      <c r="H27" s="37">
        <v>0.4</v>
      </c>
      <c r="I27" s="35">
        <v>0.4</v>
      </c>
      <c r="J27" s="35">
        <v>1</v>
      </c>
      <c r="K27" s="35">
        <v>1.4</v>
      </c>
      <c r="L27" s="38">
        <v>2</v>
      </c>
      <c r="M27" s="39">
        <v>2.4</v>
      </c>
      <c r="N27" s="107"/>
      <c r="O27" s="108"/>
      <c r="P27" s="108"/>
    </row>
    <row r="28" spans="1:16" ht="15.75" thickBot="1">
      <c r="A28" s="1"/>
      <c r="B28" s="24" t="s">
        <v>31</v>
      </c>
      <c r="C28" s="25"/>
      <c r="D28" s="25">
        <v>30</v>
      </c>
      <c r="E28" s="26"/>
      <c r="F28" s="26"/>
      <c r="G28" s="26"/>
      <c r="H28" s="27"/>
      <c r="I28" s="25">
        <v>2.1</v>
      </c>
      <c r="J28" s="25">
        <v>5.25</v>
      </c>
      <c r="K28" s="25">
        <v>7.35</v>
      </c>
      <c r="L28" s="25">
        <v>10.5</v>
      </c>
      <c r="M28" s="25">
        <v>12.600000000000001</v>
      </c>
      <c r="N28" s="1"/>
      <c r="O28" s="1"/>
      <c r="P28" s="1"/>
    </row>
  </sheetData>
  <mergeCells count="11">
    <mergeCell ref="A1:M1"/>
    <mergeCell ref="E4:E5"/>
    <mergeCell ref="E7:E15"/>
    <mergeCell ref="E17:E20"/>
    <mergeCell ref="N2:P2"/>
    <mergeCell ref="N3:P3"/>
    <mergeCell ref="A4:A15"/>
    <mergeCell ref="N4:P27"/>
    <mergeCell ref="A17:A20"/>
    <mergeCell ref="A22:A27"/>
    <mergeCell ref="E23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280"/>
  <sheetViews>
    <sheetView workbookViewId="0">
      <selection activeCell="I5" sqref="I5"/>
    </sheetView>
  </sheetViews>
  <sheetFormatPr defaultRowHeight="15"/>
  <cols>
    <col min="1" max="1" width="20.85546875" customWidth="1"/>
    <col min="2" max="2" width="15.7109375" style="46" customWidth="1"/>
    <col min="3" max="3" width="13.5703125" style="46" customWidth="1"/>
    <col min="4" max="4" width="17.140625" style="46" customWidth="1"/>
    <col min="5" max="6" width="17.85546875" style="46" customWidth="1"/>
    <col min="7" max="7" width="19.28515625" style="46" customWidth="1"/>
    <col min="8" max="8" width="20.5703125" customWidth="1"/>
    <col min="9" max="9" width="12.140625" customWidth="1"/>
    <col min="10" max="10" width="9.7109375" customWidth="1"/>
    <col min="11" max="11" width="11.85546875" customWidth="1"/>
    <col min="12" max="12" width="11.42578125" customWidth="1"/>
    <col min="16" max="16" width="11.28515625" customWidth="1"/>
    <col min="17" max="17" width="15.5703125" customWidth="1"/>
    <col min="19" max="19" width="14.5703125" customWidth="1"/>
  </cols>
  <sheetData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68" t="s">
        <v>44</v>
      </c>
      <c r="B4" s="69" t="s">
        <v>369</v>
      </c>
      <c r="C4" s="69" t="s">
        <v>374</v>
      </c>
      <c r="D4" s="69" t="s">
        <v>375</v>
      </c>
      <c r="E4" s="69" t="s">
        <v>321</v>
      </c>
      <c r="F4" s="69" t="s">
        <v>371</v>
      </c>
      <c r="G4" s="69" t="s">
        <v>372</v>
      </c>
      <c r="H4" s="69" t="s">
        <v>370</v>
      </c>
    </row>
    <row r="5" spans="1:8">
      <c r="A5" s="61" t="s">
        <v>117</v>
      </c>
      <c r="B5" s="62">
        <f t="shared" ref="B5:B68" si="0">TIMEVALUE(MID(A5,11,8))</f>
        <v>0.39583333333333331</v>
      </c>
      <c r="C5" s="63">
        <v>1</v>
      </c>
      <c r="D5" s="63">
        <f t="shared" ref="D5:D68" si="1">TRUNC((C5-1)/12)</f>
        <v>0</v>
      </c>
      <c r="E5" s="65">
        <v>0.71</v>
      </c>
      <c r="F5" s="70">
        <f ca="1">OFFSET(CMCPU!$J$3,0,$D5,1,1)</f>
        <v>0.67900000000000005</v>
      </c>
      <c r="G5" s="70">
        <f ca="1">OFFSET(CMCPU!$J$4,0,$D5,1,1)</f>
        <v>0.35880000000000001</v>
      </c>
      <c r="H5" s="64">
        <v>13.99</v>
      </c>
    </row>
    <row r="6" spans="1:8">
      <c r="A6" s="61" t="s">
        <v>118</v>
      </c>
      <c r="B6" s="62">
        <f t="shared" si="0"/>
        <v>0.39930555555555558</v>
      </c>
      <c r="C6" s="63">
        <v>2</v>
      </c>
      <c r="D6" s="63">
        <f t="shared" si="1"/>
        <v>0</v>
      </c>
      <c r="E6" s="65">
        <v>0.71</v>
      </c>
      <c r="F6" s="70">
        <f ca="1">OFFSET(CMCPU!$J$3,0,$D6,1,1)</f>
        <v>0.67900000000000005</v>
      </c>
      <c r="G6" s="70">
        <f ca="1">OFFSET(CMCPU!$J$4,0,$D6,1,1)</f>
        <v>0.35880000000000001</v>
      </c>
      <c r="H6" s="64">
        <v>12.48</v>
      </c>
    </row>
    <row r="7" spans="1:8">
      <c r="A7" s="61" t="s">
        <v>119</v>
      </c>
      <c r="B7" s="62">
        <f t="shared" si="0"/>
        <v>0.40277777777777773</v>
      </c>
      <c r="C7" s="63">
        <v>3</v>
      </c>
      <c r="D7" s="63">
        <f t="shared" si="1"/>
        <v>0</v>
      </c>
      <c r="E7" s="65">
        <v>0.71</v>
      </c>
      <c r="F7" s="70">
        <f ca="1">OFFSET(CMCPU!$J$3,0,$D7,1,1)</f>
        <v>0.67900000000000005</v>
      </c>
      <c r="G7" s="70">
        <f ca="1">OFFSET(CMCPU!$J$4,0,$D7,1,1)</f>
        <v>0.35880000000000001</v>
      </c>
      <c r="H7" s="64">
        <v>9.2200000000000006</v>
      </c>
    </row>
    <row r="8" spans="1:8">
      <c r="A8" s="61" t="s">
        <v>120</v>
      </c>
      <c r="B8" s="62">
        <f t="shared" si="0"/>
        <v>0.40625</v>
      </c>
      <c r="C8" s="63">
        <v>4</v>
      </c>
      <c r="D8" s="63">
        <f t="shared" si="1"/>
        <v>0</v>
      </c>
      <c r="E8" s="65">
        <v>0.71</v>
      </c>
      <c r="F8" s="70">
        <f ca="1">OFFSET(CMCPU!$J$3,0,$D8,1,1)</f>
        <v>0.67900000000000005</v>
      </c>
      <c r="G8" s="70">
        <f ca="1">OFFSET(CMCPU!$J$4,0,$D8,1,1)</f>
        <v>0.35880000000000001</v>
      </c>
      <c r="H8" s="64">
        <v>8.61</v>
      </c>
    </row>
    <row r="9" spans="1:8">
      <c r="A9" s="61" t="s">
        <v>121</v>
      </c>
      <c r="B9" s="62">
        <f t="shared" si="0"/>
        <v>0.4097337962962963</v>
      </c>
      <c r="C9" s="63">
        <v>5</v>
      </c>
      <c r="D9" s="63">
        <f t="shared" si="1"/>
        <v>0</v>
      </c>
      <c r="E9" s="65">
        <v>0.71</v>
      </c>
      <c r="F9" s="70">
        <f ca="1">OFFSET(CMCPU!$J$3,0,$D9,1,1)</f>
        <v>0.67900000000000005</v>
      </c>
      <c r="G9" s="70">
        <f ca="1">OFFSET(CMCPU!$J$4,0,$D9,1,1)</f>
        <v>0.35880000000000001</v>
      </c>
      <c r="H9" s="64">
        <v>8.68</v>
      </c>
    </row>
    <row r="10" spans="1:8">
      <c r="A10" s="61" t="s">
        <v>122</v>
      </c>
      <c r="B10" s="62">
        <f t="shared" si="0"/>
        <v>0.41319444444444442</v>
      </c>
      <c r="C10" s="63">
        <v>6</v>
      </c>
      <c r="D10" s="63">
        <f t="shared" si="1"/>
        <v>0</v>
      </c>
      <c r="E10" s="65">
        <v>0.71</v>
      </c>
      <c r="F10" s="70">
        <f ca="1">OFFSET(CMCPU!$J$3,0,$D10,1,1)</f>
        <v>0.67900000000000005</v>
      </c>
      <c r="G10" s="70">
        <f ca="1">OFFSET(CMCPU!$J$4,0,$D10,1,1)</f>
        <v>0.35880000000000001</v>
      </c>
      <c r="H10" s="64">
        <v>10.49</v>
      </c>
    </row>
    <row r="11" spans="1:8">
      <c r="A11" s="61" t="s">
        <v>123</v>
      </c>
      <c r="B11" s="62">
        <f t="shared" si="0"/>
        <v>0.41666666666666669</v>
      </c>
      <c r="C11" s="63">
        <v>7</v>
      </c>
      <c r="D11" s="63">
        <f t="shared" si="1"/>
        <v>0</v>
      </c>
      <c r="E11" s="65">
        <v>0.71</v>
      </c>
      <c r="F11" s="70">
        <f ca="1">OFFSET(CMCPU!$J$3,0,$D11,1,1)</f>
        <v>0.67900000000000005</v>
      </c>
      <c r="G11" s="70">
        <f ca="1">OFFSET(CMCPU!$J$4,0,$D11,1,1)</f>
        <v>0.35880000000000001</v>
      </c>
      <c r="H11" s="64">
        <v>6.09</v>
      </c>
    </row>
    <row r="12" spans="1:8">
      <c r="A12" s="61" t="s">
        <v>124</v>
      </c>
      <c r="B12" s="62">
        <f t="shared" si="0"/>
        <v>0.4201388888888889</v>
      </c>
      <c r="C12" s="63">
        <v>8</v>
      </c>
      <c r="D12" s="63">
        <f t="shared" si="1"/>
        <v>0</v>
      </c>
      <c r="E12" s="65">
        <v>0.71</v>
      </c>
      <c r="F12" s="70">
        <f ca="1">OFFSET(CMCPU!$J$3,0,$D12,1,1)</f>
        <v>0.67900000000000005</v>
      </c>
      <c r="G12" s="70">
        <f ca="1">OFFSET(CMCPU!$J$4,0,$D12,1,1)</f>
        <v>0.35880000000000001</v>
      </c>
      <c r="H12" s="64">
        <v>7.8</v>
      </c>
    </row>
    <row r="13" spans="1:8">
      <c r="A13" s="61" t="s">
        <v>125</v>
      </c>
      <c r="B13" s="62">
        <f t="shared" si="0"/>
        <v>0.4236111111111111</v>
      </c>
      <c r="C13" s="63">
        <v>9</v>
      </c>
      <c r="D13" s="63">
        <f t="shared" si="1"/>
        <v>0</v>
      </c>
      <c r="E13" s="65">
        <v>0.71</v>
      </c>
      <c r="F13" s="70">
        <f ca="1">OFFSET(CMCPU!$J$3,0,$D13,1,1)</f>
        <v>0.67900000000000005</v>
      </c>
      <c r="G13" s="70">
        <f ca="1">OFFSET(CMCPU!$J$4,0,$D13,1,1)</f>
        <v>0.35880000000000001</v>
      </c>
      <c r="H13" s="64">
        <v>4.4800000000000004</v>
      </c>
    </row>
    <row r="14" spans="1:8">
      <c r="A14" s="61" t="s">
        <v>126</v>
      </c>
      <c r="B14" s="62">
        <f t="shared" si="0"/>
        <v>0.42708333333333331</v>
      </c>
      <c r="C14" s="63">
        <v>10</v>
      </c>
      <c r="D14" s="63">
        <f t="shared" si="1"/>
        <v>0</v>
      </c>
      <c r="E14" s="65">
        <v>0.71</v>
      </c>
      <c r="F14" s="70">
        <f ca="1">OFFSET(CMCPU!$J$3,0,$D14,1,1)</f>
        <v>0.67900000000000005</v>
      </c>
      <c r="G14" s="70">
        <f ca="1">OFFSET(CMCPU!$J$4,0,$D14,1,1)</f>
        <v>0.35880000000000001</v>
      </c>
      <c r="H14" s="64">
        <v>8.3000000000000007</v>
      </c>
    </row>
    <row r="15" spans="1:8">
      <c r="A15" s="61" t="s">
        <v>127</v>
      </c>
      <c r="B15" s="62">
        <f t="shared" si="0"/>
        <v>0.43055555555555558</v>
      </c>
      <c r="C15" s="63">
        <v>11</v>
      </c>
      <c r="D15" s="63">
        <f t="shared" si="1"/>
        <v>0</v>
      </c>
      <c r="E15" s="65">
        <v>0.71</v>
      </c>
      <c r="F15" s="70">
        <f ca="1">OFFSET(CMCPU!$J$3,0,$D15,1,1)</f>
        <v>0.67900000000000005</v>
      </c>
      <c r="G15" s="70">
        <f ca="1">OFFSET(CMCPU!$J$4,0,$D15,1,1)</f>
        <v>0.35880000000000001</v>
      </c>
      <c r="H15" s="64">
        <v>7.37</v>
      </c>
    </row>
    <row r="16" spans="1:8">
      <c r="A16" s="61" t="s">
        <v>128</v>
      </c>
      <c r="B16" s="62">
        <f t="shared" si="0"/>
        <v>0.43402777777777773</v>
      </c>
      <c r="C16" s="63">
        <v>12</v>
      </c>
      <c r="D16" s="63">
        <f t="shared" si="1"/>
        <v>0</v>
      </c>
      <c r="E16" s="65">
        <v>0.71</v>
      </c>
      <c r="F16" s="70">
        <f ca="1">OFFSET(CMCPU!$J$3,0,$D16,1,1)</f>
        <v>0.67900000000000005</v>
      </c>
      <c r="G16" s="70">
        <f ca="1">OFFSET(CMCPU!$J$4,0,$D16,1,1)</f>
        <v>0.35880000000000001</v>
      </c>
      <c r="H16" s="64">
        <v>6.93</v>
      </c>
    </row>
    <row r="17" spans="1:8">
      <c r="A17" s="61" t="s">
        <v>129</v>
      </c>
      <c r="B17" s="62">
        <f t="shared" si="0"/>
        <v>0.4375</v>
      </c>
      <c r="C17" s="63">
        <v>13</v>
      </c>
      <c r="D17" s="63">
        <f t="shared" si="1"/>
        <v>1</v>
      </c>
      <c r="E17" s="65">
        <v>0.71</v>
      </c>
      <c r="F17" s="70">
        <f ca="1">OFFSET(CMCPU!$J$3,0,$D17,1,1)</f>
        <v>0.56340000000000001</v>
      </c>
      <c r="G17" s="70">
        <f ca="1">OFFSET(CMCPU!$J$4,0,$D17,1,1)</f>
        <v>0.24560000000000001</v>
      </c>
      <c r="H17" s="64">
        <v>9.1199999999999992</v>
      </c>
    </row>
    <row r="18" spans="1:8">
      <c r="A18" s="61" t="s">
        <v>130</v>
      </c>
      <c r="B18" s="62">
        <f t="shared" si="0"/>
        <v>0.44097222222222227</v>
      </c>
      <c r="C18" s="63">
        <v>14</v>
      </c>
      <c r="D18" s="63">
        <f t="shared" si="1"/>
        <v>1</v>
      </c>
      <c r="E18" s="65">
        <v>0.71</v>
      </c>
      <c r="F18" s="70">
        <f ca="1">OFFSET(CMCPU!$J$3,0,$D18,1,1)</f>
        <v>0.56340000000000001</v>
      </c>
      <c r="G18" s="70">
        <f ca="1">OFFSET(CMCPU!$J$4,0,$D18,1,1)</f>
        <v>0.24560000000000001</v>
      </c>
      <c r="H18" s="64">
        <v>7.58</v>
      </c>
    </row>
    <row r="19" spans="1:8">
      <c r="A19" s="61" t="s">
        <v>131</v>
      </c>
      <c r="B19" s="62">
        <f t="shared" si="0"/>
        <v>0.44444444444444442</v>
      </c>
      <c r="C19" s="63">
        <v>15</v>
      </c>
      <c r="D19" s="63">
        <f t="shared" si="1"/>
        <v>1</v>
      </c>
      <c r="E19" s="65">
        <v>0.71</v>
      </c>
      <c r="F19" s="70">
        <f ca="1">OFFSET(CMCPU!$J$3,0,$D19,1,1)</f>
        <v>0.56340000000000001</v>
      </c>
      <c r="G19" s="70">
        <f ca="1">OFFSET(CMCPU!$J$4,0,$D19,1,1)</f>
        <v>0.24560000000000001</v>
      </c>
      <c r="H19" s="64">
        <v>6.22</v>
      </c>
    </row>
    <row r="20" spans="1:8">
      <c r="A20" s="61" t="s">
        <v>132</v>
      </c>
      <c r="B20" s="62">
        <f t="shared" si="0"/>
        <v>0.44791666666666669</v>
      </c>
      <c r="C20" s="63">
        <v>16</v>
      </c>
      <c r="D20" s="63">
        <f t="shared" si="1"/>
        <v>1</v>
      </c>
      <c r="E20" s="65">
        <v>0.71</v>
      </c>
      <c r="F20" s="70">
        <f ca="1">OFFSET(CMCPU!$J$3,0,$D20,1,1)</f>
        <v>0.56340000000000001</v>
      </c>
      <c r="G20" s="70">
        <f ca="1">OFFSET(CMCPU!$J$4,0,$D20,1,1)</f>
        <v>0.24560000000000001</v>
      </c>
      <c r="H20" s="64">
        <v>5.82</v>
      </c>
    </row>
    <row r="21" spans="1:8">
      <c r="A21" s="61" t="s">
        <v>133</v>
      </c>
      <c r="B21" s="62">
        <f t="shared" si="0"/>
        <v>0.4513888888888889</v>
      </c>
      <c r="C21" s="63">
        <v>17</v>
      </c>
      <c r="D21" s="63">
        <f t="shared" si="1"/>
        <v>1</v>
      </c>
      <c r="E21" s="65">
        <v>0.71</v>
      </c>
      <c r="F21" s="70">
        <f ca="1">OFFSET(CMCPU!$J$3,0,$D21,1,1)</f>
        <v>0.56340000000000001</v>
      </c>
      <c r="G21" s="70">
        <f ca="1">OFFSET(CMCPU!$J$4,0,$D21,1,1)</f>
        <v>0.24560000000000001</v>
      </c>
      <c r="H21" s="64">
        <v>6.53</v>
      </c>
    </row>
    <row r="22" spans="1:8">
      <c r="A22" s="61" t="s">
        <v>134</v>
      </c>
      <c r="B22" s="62">
        <f t="shared" si="0"/>
        <v>0.4548611111111111</v>
      </c>
      <c r="C22" s="63">
        <v>18</v>
      </c>
      <c r="D22" s="63">
        <f t="shared" si="1"/>
        <v>1</v>
      </c>
      <c r="E22" s="65">
        <v>0.71</v>
      </c>
      <c r="F22" s="70">
        <f ca="1">OFFSET(CMCPU!$J$3,0,$D22,1,1)</f>
        <v>0.56340000000000001</v>
      </c>
      <c r="G22" s="70">
        <f ca="1">OFFSET(CMCPU!$J$4,0,$D22,1,1)</f>
        <v>0.24560000000000001</v>
      </c>
      <c r="H22" s="64">
        <v>9.26</v>
      </c>
    </row>
    <row r="23" spans="1:8">
      <c r="A23" s="61" t="s">
        <v>135</v>
      </c>
      <c r="B23" s="62">
        <f t="shared" si="0"/>
        <v>0.45833333333333331</v>
      </c>
      <c r="C23" s="63">
        <v>19</v>
      </c>
      <c r="D23" s="63">
        <f t="shared" si="1"/>
        <v>1</v>
      </c>
      <c r="E23" s="65">
        <v>0.71</v>
      </c>
      <c r="F23" s="70">
        <f ca="1">OFFSET(CMCPU!$J$3,0,$D23,1,1)</f>
        <v>0.56340000000000001</v>
      </c>
      <c r="G23" s="70">
        <f ca="1">OFFSET(CMCPU!$J$4,0,$D23,1,1)</f>
        <v>0.24560000000000001</v>
      </c>
      <c r="H23" s="64">
        <v>8.01</v>
      </c>
    </row>
    <row r="24" spans="1:8">
      <c r="A24" s="61" t="s">
        <v>136</v>
      </c>
      <c r="B24" s="62">
        <f t="shared" si="0"/>
        <v>0.46180555555555558</v>
      </c>
      <c r="C24" s="63">
        <v>20</v>
      </c>
      <c r="D24" s="63">
        <f t="shared" si="1"/>
        <v>1</v>
      </c>
      <c r="E24" s="65">
        <v>0.71</v>
      </c>
      <c r="F24" s="70">
        <f ca="1">OFFSET(CMCPU!$J$3,0,$D24,1,1)</f>
        <v>0.56340000000000001</v>
      </c>
      <c r="G24" s="70">
        <f ca="1">OFFSET(CMCPU!$J$4,0,$D24,1,1)</f>
        <v>0.24560000000000001</v>
      </c>
      <c r="H24" s="64">
        <v>9.7200000000000006</v>
      </c>
    </row>
    <row r="25" spans="1:8">
      <c r="A25" s="61" t="s">
        <v>137</v>
      </c>
      <c r="B25" s="62">
        <f t="shared" si="0"/>
        <v>0.46527777777777773</v>
      </c>
      <c r="C25" s="63">
        <v>21</v>
      </c>
      <c r="D25" s="63">
        <f t="shared" si="1"/>
        <v>1</v>
      </c>
      <c r="E25" s="65">
        <v>0.71</v>
      </c>
      <c r="F25" s="70">
        <f ca="1">OFFSET(CMCPU!$J$3,0,$D25,1,1)</f>
        <v>0.56340000000000001</v>
      </c>
      <c r="G25" s="70">
        <f ca="1">OFFSET(CMCPU!$J$4,0,$D25,1,1)</f>
        <v>0.24560000000000001</v>
      </c>
      <c r="H25" s="64">
        <v>6.63</v>
      </c>
    </row>
    <row r="26" spans="1:8">
      <c r="A26" s="61" t="s">
        <v>138</v>
      </c>
      <c r="B26" s="62">
        <f t="shared" si="0"/>
        <v>0.46875</v>
      </c>
      <c r="C26" s="63">
        <v>22</v>
      </c>
      <c r="D26" s="63">
        <f t="shared" si="1"/>
        <v>1</v>
      </c>
      <c r="E26" s="65">
        <v>0.71</v>
      </c>
      <c r="F26" s="70">
        <f ca="1">OFFSET(CMCPU!$J$3,0,$D26,1,1)</f>
        <v>0.56340000000000001</v>
      </c>
      <c r="G26" s="70">
        <f ca="1">OFFSET(CMCPU!$J$4,0,$D26,1,1)</f>
        <v>0.24560000000000001</v>
      </c>
      <c r="H26" s="64">
        <v>7.12</v>
      </c>
    </row>
    <row r="27" spans="1:8">
      <c r="A27" s="61" t="s">
        <v>139</v>
      </c>
      <c r="B27" s="62">
        <f t="shared" si="0"/>
        <v>0.47222222222222227</v>
      </c>
      <c r="C27" s="63">
        <v>23</v>
      </c>
      <c r="D27" s="63">
        <f t="shared" si="1"/>
        <v>1</v>
      </c>
      <c r="E27" s="65">
        <v>0.71</v>
      </c>
      <c r="F27" s="70">
        <f ca="1">OFFSET(CMCPU!$J$3,0,$D27,1,1)</f>
        <v>0.56340000000000001</v>
      </c>
      <c r="G27" s="70">
        <f ca="1">OFFSET(CMCPU!$J$4,0,$D27,1,1)</f>
        <v>0.24560000000000001</v>
      </c>
      <c r="H27" s="64">
        <v>8.4600000000000009</v>
      </c>
    </row>
    <row r="28" spans="1:8">
      <c r="A28" s="61" t="s">
        <v>140</v>
      </c>
      <c r="B28" s="62">
        <f t="shared" si="0"/>
        <v>0.47569444444444442</v>
      </c>
      <c r="C28" s="63">
        <v>24</v>
      </c>
      <c r="D28" s="63">
        <f t="shared" si="1"/>
        <v>1</v>
      </c>
      <c r="E28" s="65">
        <v>0.71</v>
      </c>
      <c r="F28" s="70">
        <f ca="1">OFFSET(CMCPU!$J$3,0,$D28,1,1)</f>
        <v>0.56340000000000001</v>
      </c>
      <c r="G28" s="70">
        <f ca="1">OFFSET(CMCPU!$J$4,0,$D28,1,1)</f>
        <v>0.24560000000000001</v>
      </c>
      <c r="H28" s="64">
        <v>8.1999999999999993</v>
      </c>
    </row>
    <row r="29" spans="1:8">
      <c r="A29" s="61" t="s">
        <v>141</v>
      </c>
      <c r="B29" s="62">
        <f t="shared" si="0"/>
        <v>0.47916666666666669</v>
      </c>
      <c r="C29" s="63">
        <v>25</v>
      </c>
      <c r="D29" s="63">
        <f t="shared" si="1"/>
        <v>2</v>
      </c>
      <c r="E29" s="65">
        <v>0.71</v>
      </c>
      <c r="F29" s="70">
        <f ca="1">OFFSET(CMCPU!$J$3,0,$D29,1,1)</f>
        <v>0.67520000000000002</v>
      </c>
      <c r="G29" s="70">
        <f ca="1">OFFSET(CMCPU!$J$4,0,$D29,1,1)</f>
        <v>0.48359999999999997</v>
      </c>
      <c r="H29" s="64">
        <v>14.55</v>
      </c>
    </row>
    <row r="30" spans="1:8">
      <c r="A30" s="61" t="s">
        <v>142</v>
      </c>
      <c r="B30" s="62">
        <f t="shared" si="0"/>
        <v>0.4826388888888889</v>
      </c>
      <c r="C30" s="63">
        <v>26</v>
      </c>
      <c r="D30" s="63">
        <f t="shared" si="1"/>
        <v>2</v>
      </c>
      <c r="E30" s="65">
        <v>0.71</v>
      </c>
      <c r="F30" s="70">
        <f ca="1">OFFSET(CMCPU!$J$3,0,$D30,1,1)</f>
        <v>0.67520000000000002</v>
      </c>
      <c r="G30" s="70">
        <f ca="1">OFFSET(CMCPU!$J$4,0,$D30,1,1)</f>
        <v>0.48359999999999997</v>
      </c>
      <c r="H30" s="64">
        <v>11.58</v>
      </c>
    </row>
    <row r="31" spans="1:8">
      <c r="A31" s="61" t="s">
        <v>143</v>
      </c>
      <c r="B31" s="62">
        <f t="shared" si="0"/>
        <v>0.4861111111111111</v>
      </c>
      <c r="C31" s="63">
        <v>27</v>
      </c>
      <c r="D31" s="63">
        <f t="shared" si="1"/>
        <v>2</v>
      </c>
      <c r="E31" s="65">
        <v>0.71</v>
      </c>
      <c r="F31" s="70">
        <f ca="1">OFFSET(CMCPU!$J$3,0,$D31,1,1)</f>
        <v>0.67520000000000002</v>
      </c>
      <c r="G31" s="70">
        <f ca="1">OFFSET(CMCPU!$J$4,0,$D31,1,1)</f>
        <v>0.48359999999999997</v>
      </c>
      <c r="H31" s="64">
        <v>12.05</v>
      </c>
    </row>
    <row r="32" spans="1:8">
      <c r="A32" s="61" t="s">
        <v>144</v>
      </c>
      <c r="B32" s="62">
        <f t="shared" si="0"/>
        <v>0.48958333333333331</v>
      </c>
      <c r="C32" s="63">
        <v>28</v>
      </c>
      <c r="D32" s="63">
        <f t="shared" si="1"/>
        <v>2</v>
      </c>
      <c r="E32" s="65">
        <v>0.71</v>
      </c>
      <c r="F32" s="70">
        <f ca="1">OFFSET(CMCPU!$J$3,0,$D32,1,1)</f>
        <v>0.67520000000000002</v>
      </c>
      <c r="G32" s="70">
        <f ca="1">OFFSET(CMCPU!$J$4,0,$D32,1,1)</f>
        <v>0.48359999999999997</v>
      </c>
      <c r="H32" s="64">
        <v>11.94</v>
      </c>
    </row>
    <row r="33" spans="1:8">
      <c r="A33" s="61" t="s">
        <v>145</v>
      </c>
      <c r="B33" s="62">
        <f t="shared" si="0"/>
        <v>0.49305555555555558</v>
      </c>
      <c r="C33" s="63">
        <v>29</v>
      </c>
      <c r="D33" s="63">
        <f t="shared" si="1"/>
        <v>2</v>
      </c>
      <c r="E33" s="65">
        <v>0.71</v>
      </c>
      <c r="F33" s="70">
        <f ca="1">OFFSET(CMCPU!$J$3,0,$D33,1,1)</f>
        <v>0.67520000000000002</v>
      </c>
      <c r="G33" s="70">
        <f ca="1">OFFSET(CMCPU!$J$4,0,$D33,1,1)</f>
        <v>0.48359999999999997</v>
      </c>
      <c r="H33" s="64">
        <v>5.83</v>
      </c>
    </row>
    <row r="34" spans="1:8">
      <c r="A34" s="61" t="s">
        <v>146</v>
      </c>
      <c r="B34" s="62">
        <f t="shared" si="0"/>
        <v>0.49652777777777773</v>
      </c>
      <c r="C34" s="63">
        <v>30</v>
      </c>
      <c r="D34" s="63">
        <f t="shared" si="1"/>
        <v>2</v>
      </c>
      <c r="E34" s="65">
        <v>0.71</v>
      </c>
      <c r="F34" s="70">
        <f ca="1">OFFSET(CMCPU!$J$3,0,$D34,1,1)</f>
        <v>0.67520000000000002</v>
      </c>
      <c r="G34" s="70">
        <f ca="1">OFFSET(CMCPU!$J$4,0,$D34,1,1)</f>
        <v>0.48359999999999997</v>
      </c>
      <c r="H34" s="64">
        <v>5.63</v>
      </c>
    </row>
    <row r="35" spans="1:8">
      <c r="A35" s="61" t="s">
        <v>147</v>
      </c>
      <c r="B35" s="62">
        <f t="shared" si="0"/>
        <v>0.5</v>
      </c>
      <c r="C35" s="63">
        <v>31</v>
      </c>
      <c r="D35" s="63">
        <f t="shared" si="1"/>
        <v>2</v>
      </c>
      <c r="E35" s="65">
        <v>0.71</v>
      </c>
      <c r="F35" s="70">
        <f ca="1">OFFSET(CMCPU!$J$3,0,$D35,1,1)</f>
        <v>0.67520000000000002</v>
      </c>
      <c r="G35" s="70">
        <f ca="1">OFFSET(CMCPU!$J$4,0,$D35,1,1)</f>
        <v>0.48359999999999997</v>
      </c>
      <c r="H35" s="64">
        <v>8.0500000000000007</v>
      </c>
    </row>
    <row r="36" spans="1:8">
      <c r="A36" s="61" t="s">
        <v>148</v>
      </c>
      <c r="B36" s="62">
        <f t="shared" si="0"/>
        <v>0.50347222222222221</v>
      </c>
      <c r="C36" s="63">
        <v>32</v>
      </c>
      <c r="D36" s="63">
        <f t="shared" si="1"/>
        <v>2</v>
      </c>
      <c r="E36" s="65">
        <v>0.71</v>
      </c>
      <c r="F36" s="70">
        <f ca="1">OFFSET(CMCPU!$J$3,0,$D36,1,1)</f>
        <v>0.67520000000000002</v>
      </c>
      <c r="G36" s="70">
        <f ca="1">OFFSET(CMCPU!$J$4,0,$D36,1,1)</f>
        <v>0.48359999999999997</v>
      </c>
      <c r="H36" s="64">
        <v>10.37</v>
      </c>
    </row>
    <row r="37" spans="1:8">
      <c r="A37" s="61" t="s">
        <v>149</v>
      </c>
      <c r="B37" s="62">
        <f t="shared" si="0"/>
        <v>0.50694444444444442</v>
      </c>
      <c r="C37" s="63">
        <v>33</v>
      </c>
      <c r="D37" s="63">
        <f t="shared" si="1"/>
        <v>2</v>
      </c>
      <c r="E37" s="65">
        <v>0.71</v>
      </c>
      <c r="F37" s="70">
        <f ca="1">OFFSET(CMCPU!$J$3,0,$D37,1,1)</f>
        <v>0.67520000000000002</v>
      </c>
      <c r="G37" s="70">
        <f ca="1">OFFSET(CMCPU!$J$4,0,$D37,1,1)</f>
        <v>0.48359999999999997</v>
      </c>
      <c r="H37" s="64">
        <v>11.44</v>
      </c>
    </row>
    <row r="38" spans="1:8">
      <c r="A38" s="61" t="s">
        <v>150</v>
      </c>
      <c r="B38" s="62">
        <f t="shared" si="0"/>
        <v>0.51041666666666663</v>
      </c>
      <c r="C38" s="63">
        <v>34</v>
      </c>
      <c r="D38" s="63">
        <f t="shared" si="1"/>
        <v>2</v>
      </c>
      <c r="E38" s="65">
        <v>0.71</v>
      </c>
      <c r="F38" s="70">
        <f ca="1">OFFSET(CMCPU!$J$3,0,$D38,1,1)</f>
        <v>0.67520000000000002</v>
      </c>
      <c r="G38" s="70">
        <f ca="1">OFFSET(CMCPU!$J$4,0,$D38,1,1)</f>
        <v>0.48359999999999997</v>
      </c>
      <c r="H38" s="64">
        <v>11.76</v>
      </c>
    </row>
    <row r="39" spans="1:8">
      <c r="A39" s="61" t="s">
        <v>151</v>
      </c>
      <c r="B39" s="62">
        <f t="shared" si="0"/>
        <v>0.51388888888888895</v>
      </c>
      <c r="C39" s="63">
        <v>35</v>
      </c>
      <c r="D39" s="63">
        <f t="shared" si="1"/>
        <v>2</v>
      </c>
      <c r="E39" s="65">
        <v>0.71</v>
      </c>
      <c r="F39" s="70">
        <f ca="1">OFFSET(CMCPU!$J$3,0,$D39,1,1)</f>
        <v>0.67520000000000002</v>
      </c>
      <c r="G39" s="70">
        <f ca="1">OFFSET(CMCPU!$J$4,0,$D39,1,1)</f>
        <v>0.48359999999999997</v>
      </c>
      <c r="H39" s="64">
        <v>10.95</v>
      </c>
    </row>
    <row r="40" spans="1:8">
      <c r="A40" s="61" t="s">
        <v>152</v>
      </c>
      <c r="B40" s="62">
        <f t="shared" si="0"/>
        <v>0.51736111111111105</v>
      </c>
      <c r="C40" s="63">
        <v>36</v>
      </c>
      <c r="D40" s="63">
        <f t="shared" si="1"/>
        <v>2</v>
      </c>
      <c r="E40" s="65">
        <v>0.71</v>
      </c>
      <c r="F40" s="70">
        <f ca="1">OFFSET(CMCPU!$J$3,0,$D40,1,1)</f>
        <v>0.67520000000000002</v>
      </c>
      <c r="G40" s="70">
        <f ca="1">OFFSET(CMCPU!$J$4,0,$D40,1,1)</f>
        <v>0.48359999999999997</v>
      </c>
      <c r="H40" s="64">
        <v>11.56</v>
      </c>
    </row>
    <row r="41" spans="1:8">
      <c r="A41" s="61" t="s">
        <v>153</v>
      </c>
      <c r="B41" s="62">
        <f t="shared" si="0"/>
        <v>0.52083333333333337</v>
      </c>
      <c r="C41" s="63">
        <v>37</v>
      </c>
      <c r="D41" s="63">
        <f t="shared" si="1"/>
        <v>3</v>
      </c>
      <c r="E41" s="65">
        <v>0.71</v>
      </c>
      <c r="F41" s="70">
        <f ca="1">OFFSET(CMCPU!$J$3,0,$D41,1,1)</f>
        <v>0.64559999999999995</v>
      </c>
      <c r="G41" s="70">
        <f ca="1">OFFSET(CMCPU!$J$4,0,$D41,1,1)</f>
        <v>0.62629999999999997</v>
      </c>
      <c r="H41" s="64">
        <v>13.12</v>
      </c>
    </row>
    <row r="42" spans="1:8">
      <c r="A42" s="61" t="s">
        <v>154</v>
      </c>
      <c r="B42" s="62">
        <f t="shared" si="0"/>
        <v>0.52430555555555558</v>
      </c>
      <c r="C42" s="63">
        <v>38</v>
      </c>
      <c r="D42" s="63">
        <f t="shared" si="1"/>
        <v>3</v>
      </c>
      <c r="E42" s="65">
        <v>0.71</v>
      </c>
      <c r="F42" s="70">
        <f ca="1">OFFSET(CMCPU!$J$3,0,$D42,1,1)</f>
        <v>0.64559999999999995</v>
      </c>
      <c r="G42" s="70">
        <f ca="1">OFFSET(CMCPU!$J$4,0,$D42,1,1)</f>
        <v>0.62629999999999997</v>
      </c>
      <c r="H42" s="64">
        <v>12.08</v>
      </c>
    </row>
    <row r="43" spans="1:8">
      <c r="A43" s="61" t="s">
        <v>155</v>
      </c>
      <c r="B43" s="62">
        <f t="shared" si="0"/>
        <v>0.52777777777777779</v>
      </c>
      <c r="C43" s="63">
        <v>39</v>
      </c>
      <c r="D43" s="63">
        <f t="shared" si="1"/>
        <v>3</v>
      </c>
      <c r="E43" s="65">
        <v>0.71</v>
      </c>
      <c r="F43" s="70">
        <f ca="1">OFFSET(CMCPU!$J$3,0,$D43,1,1)</f>
        <v>0.64559999999999995</v>
      </c>
      <c r="G43" s="70">
        <f ca="1">OFFSET(CMCPU!$J$4,0,$D43,1,1)</f>
        <v>0.62629999999999997</v>
      </c>
      <c r="H43" s="64">
        <v>11.89</v>
      </c>
    </row>
    <row r="44" spans="1:8">
      <c r="A44" s="61" t="s">
        <v>156</v>
      </c>
      <c r="B44" s="62">
        <f t="shared" si="0"/>
        <v>0.53125</v>
      </c>
      <c r="C44" s="63">
        <v>40</v>
      </c>
      <c r="D44" s="63">
        <f t="shared" si="1"/>
        <v>3</v>
      </c>
      <c r="E44" s="65">
        <v>0.71</v>
      </c>
      <c r="F44" s="70">
        <f ca="1">OFFSET(CMCPU!$J$3,0,$D44,1,1)</f>
        <v>0.64559999999999995</v>
      </c>
      <c r="G44" s="70">
        <f ca="1">OFFSET(CMCPU!$J$4,0,$D44,1,1)</f>
        <v>0.62629999999999997</v>
      </c>
      <c r="H44" s="64">
        <v>12.47</v>
      </c>
    </row>
    <row r="45" spans="1:8">
      <c r="A45" s="61" t="s">
        <v>157</v>
      </c>
      <c r="B45" s="62">
        <f t="shared" si="0"/>
        <v>0.53472222222222221</v>
      </c>
      <c r="C45" s="63">
        <v>41</v>
      </c>
      <c r="D45" s="63">
        <f t="shared" si="1"/>
        <v>3</v>
      </c>
      <c r="E45" s="65">
        <v>0.71</v>
      </c>
      <c r="F45" s="70">
        <f ca="1">OFFSET(CMCPU!$J$3,0,$D45,1,1)</f>
        <v>0.64559999999999995</v>
      </c>
      <c r="G45" s="70">
        <f ca="1">OFFSET(CMCPU!$J$4,0,$D45,1,1)</f>
        <v>0.62629999999999997</v>
      </c>
      <c r="H45" s="64">
        <v>10.89</v>
      </c>
    </row>
    <row r="46" spans="1:8">
      <c r="A46" s="61" t="s">
        <v>158</v>
      </c>
      <c r="B46" s="62">
        <f t="shared" si="0"/>
        <v>0.53819444444444442</v>
      </c>
      <c r="C46" s="63">
        <v>42</v>
      </c>
      <c r="D46" s="63">
        <f t="shared" si="1"/>
        <v>3</v>
      </c>
      <c r="E46" s="65">
        <v>0.71</v>
      </c>
      <c r="F46" s="70">
        <f ca="1">OFFSET(CMCPU!$J$3,0,$D46,1,1)</f>
        <v>0.64559999999999995</v>
      </c>
      <c r="G46" s="70">
        <f ca="1">OFFSET(CMCPU!$J$4,0,$D46,1,1)</f>
        <v>0.62629999999999997</v>
      </c>
      <c r="H46" s="64">
        <v>11.69</v>
      </c>
    </row>
    <row r="47" spans="1:8">
      <c r="A47" s="61" t="s">
        <v>159</v>
      </c>
      <c r="B47" s="62">
        <f t="shared" si="0"/>
        <v>0.54166666666666663</v>
      </c>
      <c r="C47" s="63">
        <v>43</v>
      </c>
      <c r="D47" s="63">
        <f t="shared" si="1"/>
        <v>3</v>
      </c>
      <c r="E47" s="65">
        <v>0.71</v>
      </c>
      <c r="F47" s="70">
        <f ca="1">OFFSET(CMCPU!$J$3,0,$D47,1,1)</f>
        <v>0.64559999999999995</v>
      </c>
      <c r="G47" s="70">
        <f ca="1">OFFSET(CMCPU!$J$4,0,$D47,1,1)</f>
        <v>0.62629999999999997</v>
      </c>
      <c r="H47" s="64">
        <v>12.12</v>
      </c>
    </row>
    <row r="48" spans="1:8">
      <c r="A48" s="61" t="s">
        <v>160</v>
      </c>
      <c r="B48" s="62">
        <f t="shared" si="0"/>
        <v>0.54513888888888895</v>
      </c>
      <c r="C48" s="63">
        <v>44</v>
      </c>
      <c r="D48" s="63">
        <f t="shared" si="1"/>
        <v>3</v>
      </c>
      <c r="E48" s="65">
        <v>0.71</v>
      </c>
      <c r="F48" s="70">
        <f ca="1">OFFSET(CMCPU!$J$3,0,$D48,1,1)</f>
        <v>0.64559999999999995</v>
      </c>
      <c r="G48" s="70">
        <f ca="1">OFFSET(CMCPU!$J$4,0,$D48,1,1)</f>
        <v>0.62629999999999997</v>
      </c>
      <c r="H48" s="64">
        <v>12.23</v>
      </c>
    </row>
    <row r="49" spans="1:8">
      <c r="A49" s="61" t="s">
        <v>161</v>
      </c>
      <c r="B49" s="62">
        <f t="shared" si="0"/>
        <v>0.54861111111111105</v>
      </c>
      <c r="C49" s="63">
        <v>45</v>
      </c>
      <c r="D49" s="63">
        <f t="shared" si="1"/>
        <v>3</v>
      </c>
      <c r="E49" s="65">
        <v>0.71</v>
      </c>
      <c r="F49" s="70">
        <f ca="1">OFFSET(CMCPU!$J$3,0,$D49,1,1)</f>
        <v>0.64559999999999995</v>
      </c>
      <c r="G49" s="70">
        <f ca="1">OFFSET(CMCPU!$J$4,0,$D49,1,1)</f>
        <v>0.62629999999999997</v>
      </c>
      <c r="H49" s="64">
        <v>10.39</v>
      </c>
    </row>
    <row r="50" spans="1:8">
      <c r="A50" s="61" t="s">
        <v>162</v>
      </c>
      <c r="B50" s="62">
        <f t="shared" si="0"/>
        <v>0.55208333333333337</v>
      </c>
      <c r="C50" s="63">
        <v>46</v>
      </c>
      <c r="D50" s="63">
        <f t="shared" si="1"/>
        <v>3</v>
      </c>
      <c r="E50" s="65">
        <v>0.71</v>
      </c>
      <c r="F50" s="70">
        <f ca="1">OFFSET(CMCPU!$J$3,0,$D50,1,1)</f>
        <v>0.64559999999999995</v>
      </c>
      <c r="G50" s="70">
        <f ca="1">OFFSET(CMCPU!$J$4,0,$D50,1,1)</f>
        <v>0.62629999999999997</v>
      </c>
      <c r="H50" s="64">
        <v>10.25</v>
      </c>
    </row>
    <row r="51" spans="1:8">
      <c r="A51" s="61" t="s">
        <v>163</v>
      </c>
      <c r="B51" s="62">
        <f t="shared" si="0"/>
        <v>0.55555555555555558</v>
      </c>
      <c r="C51" s="63">
        <v>47</v>
      </c>
      <c r="D51" s="63">
        <f t="shared" si="1"/>
        <v>3</v>
      </c>
      <c r="E51" s="65">
        <v>0.71</v>
      </c>
      <c r="F51" s="70">
        <f ca="1">OFFSET(CMCPU!$J$3,0,$D51,1,1)</f>
        <v>0.64559999999999995</v>
      </c>
      <c r="G51" s="70">
        <f ca="1">OFFSET(CMCPU!$J$4,0,$D51,1,1)</f>
        <v>0.62629999999999997</v>
      </c>
      <c r="H51" s="64">
        <v>9.8800000000000008</v>
      </c>
    </row>
    <row r="52" spans="1:8" s="2" customFormat="1">
      <c r="A52" s="61" t="s">
        <v>164</v>
      </c>
      <c r="B52" s="62">
        <f t="shared" si="0"/>
        <v>0.55902777777777779</v>
      </c>
      <c r="C52" s="63">
        <v>48</v>
      </c>
      <c r="D52" s="63">
        <f t="shared" si="1"/>
        <v>3</v>
      </c>
      <c r="E52" s="65">
        <v>0.71</v>
      </c>
      <c r="F52" s="70">
        <f ca="1">OFFSET(CMCPU!$J$3,0,$D52,1,1)</f>
        <v>0.64559999999999995</v>
      </c>
      <c r="G52" s="70">
        <f ca="1">OFFSET(CMCPU!$J$4,0,$D52,1,1)</f>
        <v>0.62629999999999997</v>
      </c>
      <c r="H52" s="64">
        <v>10.16</v>
      </c>
    </row>
    <row r="53" spans="1:8">
      <c r="A53" s="61" t="s">
        <v>165</v>
      </c>
      <c r="B53" s="62">
        <f t="shared" si="0"/>
        <v>0.5625</v>
      </c>
      <c r="C53" s="63">
        <v>49</v>
      </c>
      <c r="D53" s="63">
        <f t="shared" si="1"/>
        <v>4</v>
      </c>
      <c r="E53" s="65">
        <v>0.71</v>
      </c>
      <c r="F53" s="70">
        <f ca="1">OFFSET(CMCPU!$J$3,0,$D53,1,1)</f>
        <v>0.66679999999999995</v>
      </c>
      <c r="G53" s="70">
        <f ca="1">OFFSET(CMCPU!$J$4,0,$D53,1,1)</f>
        <v>0.59799999999999998</v>
      </c>
      <c r="H53" s="64">
        <v>11.87</v>
      </c>
    </row>
    <row r="54" spans="1:8">
      <c r="A54" s="61" t="s">
        <v>166</v>
      </c>
      <c r="B54" s="62">
        <f t="shared" si="0"/>
        <v>0.56597222222222221</v>
      </c>
      <c r="C54" s="63">
        <v>50</v>
      </c>
      <c r="D54" s="63">
        <f t="shared" si="1"/>
        <v>4</v>
      </c>
      <c r="E54" s="65">
        <v>0.71</v>
      </c>
      <c r="F54" s="70">
        <f ca="1">OFFSET(CMCPU!$J$3,0,$D54,1,1)</f>
        <v>0.66679999999999995</v>
      </c>
      <c r="G54" s="70">
        <f ca="1">OFFSET(CMCPU!$J$4,0,$D54,1,1)</f>
        <v>0.59799999999999998</v>
      </c>
      <c r="H54" s="64">
        <v>11.37</v>
      </c>
    </row>
    <row r="55" spans="1:8">
      <c r="A55" s="61" t="s">
        <v>167</v>
      </c>
      <c r="B55" s="62">
        <f t="shared" si="0"/>
        <v>0.56944444444444442</v>
      </c>
      <c r="C55" s="63">
        <v>51</v>
      </c>
      <c r="D55" s="63">
        <f t="shared" si="1"/>
        <v>4</v>
      </c>
      <c r="E55" s="65">
        <v>0.71</v>
      </c>
      <c r="F55" s="70">
        <f ca="1">OFFSET(CMCPU!$J$3,0,$D55,1,1)</f>
        <v>0.66679999999999995</v>
      </c>
      <c r="G55" s="70">
        <f ca="1">OFFSET(CMCPU!$J$4,0,$D55,1,1)</f>
        <v>0.59799999999999998</v>
      </c>
      <c r="H55" s="64">
        <v>11.76</v>
      </c>
    </row>
    <row r="56" spans="1:8">
      <c r="A56" s="61" t="s">
        <v>168</v>
      </c>
      <c r="B56" s="62">
        <f t="shared" si="0"/>
        <v>0.57291666666666663</v>
      </c>
      <c r="C56" s="63">
        <v>52</v>
      </c>
      <c r="D56" s="63">
        <f t="shared" si="1"/>
        <v>4</v>
      </c>
      <c r="E56" s="65">
        <v>0.71</v>
      </c>
      <c r="F56" s="70">
        <f ca="1">OFFSET(CMCPU!$J$3,0,$D56,1,1)</f>
        <v>0.66679999999999995</v>
      </c>
      <c r="G56" s="70">
        <f ca="1">OFFSET(CMCPU!$J$4,0,$D56,1,1)</f>
        <v>0.59799999999999998</v>
      </c>
      <c r="H56" s="64">
        <v>23</v>
      </c>
    </row>
    <row r="57" spans="1:8">
      <c r="A57" s="61" t="s">
        <v>169</v>
      </c>
      <c r="B57" s="62">
        <f t="shared" si="0"/>
        <v>0.57638888888888895</v>
      </c>
      <c r="C57" s="63">
        <v>53</v>
      </c>
      <c r="D57" s="63">
        <f t="shared" si="1"/>
        <v>4</v>
      </c>
      <c r="E57" s="65">
        <v>0.71</v>
      </c>
      <c r="F57" s="70">
        <f ca="1">OFFSET(CMCPU!$J$3,0,$D57,1,1)</f>
        <v>0.66679999999999995</v>
      </c>
      <c r="G57" s="70">
        <f ca="1">OFFSET(CMCPU!$J$4,0,$D57,1,1)</f>
        <v>0.59799999999999998</v>
      </c>
      <c r="H57" s="64">
        <v>21.16</v>
      </c>
    </row>
    <row r="58" spans="1:8">
      <c r="A58" s="61" t="s">
        <v>170</v>
      </c>
      <c r="B58" s="62">
        <f t="shared" si="0"/>
        <v>0.57986111111111105</v>
      </c>
      <c r="C58" s="63">
        <v>54</v>
      </c>
      <c r="D58" s="63">
        <f t="shared" si="1"/>
        <v>4</v>
      </c>
      <c r="E58" s="65">
        <v>0.71</v>
      </c>
      <c r="F58" s="70">
        <f ca="1">OFFSET(CMCPU!$J$3,0,$D58,1,1)</f>
        <v>0.66679999999999995</v>
      </c>
      <c r="G58" s="70">
        <f ca="1">OFFSET(CMCPU!$J$4,0,$D58,1,1)</f>
        <v>0.59799999999999998</v>
      </c>
      <c r="H58" s="64">
        <v>15.28</v>
      </c>
    </row>
    <row r="59" spans="1:8">
      <c r="A59" s="61" t="s">
        <v>171</v>
      </c>
      <c r="B59" s="62">
        <f t="shared" si="0"/>
        <v>0.58333333333333337</v>
      </c>
      <c r="C59" s="63">
        <v>55</v>
      </c>
      <c r="D59" s="63">
        <f t="shared" si="1"/>
        <v>4</v>
      </c>
      <c r="E59" s="65">
        <v>0.71</v>
      </c>
      <c r="F59" s="70">
        <f ca="1">OFFSET(CMCPU!$J$3,0,$D59,1,1)</f>
        <v>0.66679999999999995</v>
      </c>
      <c r="G59" s="70">
        <f ca="1">OFFSET(CMCPU!$J$4,0,$D59,1,1)</f>
        <v>0.59799999999999998</v>
      </c>
      <c r="H59" s="64">
        <v>12.79</v>
      </c>
    </row>
    <row r="60" spans="1:8">
      <c r="A60" s="61" t="s">
        <v>172</v>
      </c>
      <c r="B60" s="62">
        <f t="shared" si="0"/>
        <v>0.58680555555555558</v>
      </c>
      <c r="C60" s="63">
        <v>56</v>
      </c>
      <c r="D60" s="63">
        <f t="shared" si="1"/>
        <v>4</v>
      </c>
      <c r="E60" s="65">
        <v>0.71</v>
      </c>
      <c r="F60" s="70">
        <f ca="1">OFFSET(CMCPU!$J$3,0,$D60,1,1)</f>
        <v>0.66679999999999995</v>
      </c>
      <c r="G60" s="70">
        <f ca="1">OFFSET(CMCPU!$J$4,0,$D60,1,1)</f>
        <v>0.59799999999999998</v>
      </c>
      <c r="H60" s="64">
        <v>12.49</v>
      </c>
    </row>
    <row r="61" spans="1:8">
      <c r="A61" s="61" t="s">
        <v>173</v>
      </c>
      <c r="B61" s="62">
        <f t="shared" si="0"/>
        <v>0.59027777777777779</v>
      </c>
      <c r="C61" s="63">
        <v>57</v>
      </c>
      <c r="D61" s="63">
        <f t="shared" si="1"/>
        <v>4</v>
      </c>
      <c r="E61" s="65">
        <v>0.71</v>
      </c>
      <c r="F61" s="70">
        <f ca="1">OFFSET(CMCPU!$J$3,0,$D61,1,1)</f>
        <v>0.66679999999999995</v>
      </c>
      <c r="G61" s="70">
        <f ca="1">OFFSET(CMCPU!$J$4,0,$D61,1,1)</f>
        <v>0.59799999999999998</v>
      </c>
      <c r="H61" s="64">
        <v>12.79</v>
      </c>
    </row>
    <row r="62" spans="1:8">
      <c r="A62" s="61" t="s">
        <v>174</v>
      </c>
      <c r="B62" s="62">
        <f t="shared" si="0"/>
        <v>0.59375</v>
      </c>
      <c r="C62" s="63">
        <v>58</v>
      </c>
      <c r="D62" s="63">
        <f t="shared" si="1"/>
        <v>4</v>
      </c>
      <c r="E62" s="65">
        <v>0.71</v>
      </c>
      <c r="F62" s="70">
        <f ca="1">OFFSET(CMCPU!$J$3,0,$D62,1,1)</f>
        <v>0.66679999999999995</v>
      </c>
      <c r="G62" s="70">
        <f ca="1">OFFSET(CMCPU!$J$4,0,$D62,1,1)</f>
        <v>0.59799999999999998</v>
      </c>
      <c r="H62" s="64">
        <v>11.73</v>
      </c>
    </row>
    <row r="63" spans="1:8">
      <c r="A63" s="61" t="s">
        <v>175</v>
      </c>
      <c r="B63" s="62">
        <f t="shared" si="0"/>
        <v>0.59722222222222221</v>
      </c>
      <c r="C63" s="63">
        <v>59</v>
      </c>
      <c r="D63" s="63">
        <f t="shared" si="1"/>
        <v>4</v>
      </c>
      <c r="E63" s="65">
        <v>0.71</v>
      </c>
      <c r="F63" s="70">
        <f ca="1">OFFSET(CMCPU!$J$3,0,$D63,1,1)</f>
        <v>0.66679999999999995</v>
      </c>
      <c r="G63" s="70">
        <f ca="1">OFFSET(CMCPU!$J$4,0,$D63,1,1)</f>
        <v>0.59799999999999998</v>
      </c>
      <c r="H63" s="64">
        <v>12.55</v>
      </c>
    </row>
    <row r="64" spans="1:8">
      <c r="A64" s="61" t="s">
        <v>176</v>
      </c>
      <c r="B64" s="62">
        <f t="shared" si="0"/>
        <v>0.60069444444444442</v>
      </c>
      <c r="C64" s="63">
        <v>60</v>
      </c>
      <c r="D64" s="63">
        <f t="shared" si="1"/>
        <v>4</v>
      </c>
      <c r="E64" s="65">
        <v>0.71</v>
      </c>
      <c r="F64" s="70">
        <f ca="1">OFFSET(CMCPU!$J$3,0,$D64,1,1)</f>
        <v>0.66679999999999995</v>
      </c>
      <c r="G64" s="70">
        <f ca="1">OFFSET(CMCPU!$J$4,0,$D64,1,1)</f>
        <v>0.59799999999999998</v>
      </c>
      <c r="H64" s="64">
        <v>12.66</v>
      </c>
    </row>
    <row r="65" spans="1:8">
      <c r="A65" s="61" t="s">
        <v>177</v>
      </c>
      <c r="B65" s="62">
        <f t="shared" si="0"/>
        <v>0.60416666666666663</v>
      </c>
      <c r="C65" s="63">
        <v>61</v>
      </c>
      <c r="D65" s="63">
        <f t="shared" si="1"/>
        <v>5</v>
      </c>
      <c r="E65" s="65">
        <v>0.71</v>
      </c>
      <c r="F65" s="70">
        <f ca="1">OFFSET(CMCPU!$J$3,0,$D65,1,1)</f>
        <v>0.65859999999999996</v>
      </c>
      <c r="G65" s="70">
        <f ca="1">OFFSET(CMCPU!$J$4,0,$D65,1,1)</f>
        <v>0.64380000000000004</v>
      </c>
      <c r="H65" s="64">
        <v>14.98</v>
      </c>
    </row>
    <row r="66" spans="1:8">
      <c r="A66" s="61" t="s">
        <v>178</v>
      </c>
      <c r="B66" s="62">
        <f t="shared" si="0"/>
        <v>0.60763888888888895</v>
      </c>
      <c r="C66" s="63">
        <v>62</v>
      </c>
      <c r="D66" s="63">
        <f t="shared" si="1"/>
        <v>5</v>
      </c>
      <c r="E66" s="65">
        <v>0.71</v>
      </c>
      <c r="F66" s="70">
        <f ca="1">OFFSET(CMCPU!$J$3,0,$D66,1,1)</f>
        <v>0.65859999999999996</v>
      </c>
      <c r="G66" s="70">
        <f ca="1">OFFSET(CMCPU!$J$4,0,$D66,1,1)</f>
        <v>0.64380000000000004</v>
      </c>
      <c r="H66" s="64">
        <v>13.16</v>
      </c>
    </row>
    <row r="67" spans="1:8">
      <c r="A67" s="61" t="s">
        <v>179</v>
      </c>
      <c r="B67" s="62">
        <f t="shared" si="0"/>
        <v>0.61111111111111105</v>
      </c>
      <c r="C67" s="63">
        <v>63</v>
      </c>
      <c r="D67" s="63">
        <f t="shared" si="1"/>
        <v>5</v>
      </c>
      <c r="E67" s="65">
        <v>0.71</v>
      </c>
      <c r="F67" s="70">
        <f ca="1">OFFSET(CMCPU!$J$3,0,$D67,1,1)</f>
        <v>0.65859999999999996</v>
      </c>
      <c r="G67" s="70">
        <f ca="1">OFFSET(CMCPU!$J$4,0,$D67,1,1)</f>
        <v>0.64380000000000004</v>
      </c>
      <c r="H67" s="64">
        <v>13.12</v>
      </c>
    </row>
    <row r="68" spans="1:8">
      <c r="A68" s="61" t="s">
        <v>180</v>
      </c>
      <c r="B68" s="62">
        <f t="shared" si="0"/>
        <v>0.61458333333333337</v>
      </c>
      <c r="C68" s="63">
        <v>64</v>
      </c>
      <c r="D68" s="63">
        <f t="shared" si="1"/>
        <v>5</v>
      </c>
      <c r="E68" s="65">
        <v>0.71</v>
      </c>
      <c r="F68" s="70">
        <f ca="1">OFFSET(CMCPU!$J$3,0,$D68,1,1)</f>
        <v>0.65859999999999996</v>
      </c>
      <c r="G68" s="70">
        <f ca="1">OFFSET(CMCPU!$J$4,0,$D68,1,1)</f>
        <v>0.64380000000000004</v>
      </c>
      <c r="H68" s="64">
        <v>12.12</v>
      </c>
    </row>
    <row r="69" spans="1:8">
      <c r="A69" s="61" t="s">
        <v>181</v>
      </c>
      <c r="B69" s="62">
        <f t="shared" ref="B69:B132" si="2">TIMEVALUE(MID(A69,11,8))</f>
        <v>0.61805555555555558</v>
      </c>
      <c r="C69" s="63">
        <v>65</v>
      </c>
      <c r="D69" s="63">
        <f t="shared" ref="D69:D132" si="3">TRUNC((C69-1)/12)</f>
        <v>5</v>
      </c>
      <c r="E69" s="65">
        <v>0.71</v>
      </c>
      <c r="F69" s="70">
        <f ca="1">OFFSET(CMCPU!$J$3,0,$D69,1,1)</f>
        <v>0.65859999999999996</v>
      </c>
      <c r="G69" s="70">
        <f ca="1">OFFSET(CMCPU!$J$4,0,$D69,1,1)</f>
        <v>0.64380000000000004</v>
      </c>
      <c r="H69" s="64">
        <v>11</v>
      </c>
    </row>
    <row r="70" spans="1:8">
      <c r="A70" s="61" t="s">
        <v>182</v>
      </c>
      <c r="B70" s="62">
        <f t="shared" si="2"/>
        <v>0.62152777777777779</v>
      </c>
      <c r="C70" s="63">
        <v>66</v>
      </c>
      <c r="D70" s="63">
        <f t="shared" si="3"/>
        <v>5</v>
      </c>
      <c r="E70" s="65">
        <v>0.71</v>
      </c>
      <c r="F70" s="70">
        <f ca="1">OFFSET(CMCPU!$J$3,0,$D70,1,1)</f>
        <v>0.65859999999999996</v>
      </c>
      <c r="G70" s="70">
        <f ca="1">OFFSET(CMCPU!$J$4,0,$D70,1,1)</f>
        <v>0.64380000000000004</v>
      </c>
      <c r="H70" s="64">
        <v>15.16</v>
      </c>
    </row>
    <row r="71" spans="1:8">
      <c r="A71" s="61" t="s">
        <v>183</v>
      </c>
      <c r="B71" s="62">
        <f t="shared" si="2"/>
        <v>0.625</v>
      </c>
      <c r="C71" s="63">
        <v>67</v>
      </c>
      <c r="D71" s="63">
        <f t="shared" si="3"/>
        <v>5</v>
      </c>
      <c r="E71" s="65">
        <v>0.71</v>
      </c>
      <c r="F71" s="70">
        <f ca="1">OFFSET(CMCPU!$J$3,0,$D71,1,1)</f>
        <v>0.65859999999999996</v>
      </c>
      <c r="G71" s="70">
        <f ca="1">OFFSET(CMCPU!$J$4,0,$D71,1,1)</f>
        <v>0.64380000000000004</v>
      </c>
      <c r="H71" s="64">
        <v>12.56</v>
      </c>
    </row>
    <row r="72" spans="1:8">
      <c r="A72" s="61" t="s">
        <v>184</v>
      </c>
      <c r="B72" s="62">
        <f t="shared" si="2"/>
        <v>0.62847222222222221</v>
      </c>
      <c r="C72" s="63">
        <v>68</v>
      </c>
      <c r="D72" s="63">
        <f t="shared" si="3"/>
        <v>5</v>
      </c>
      <c r="E72" s="65">
        <v>0.71</v>
      </c>
      <c r="F72" s="70">
        <f ca="1">OFFSET(CMCPU!$J$3,0,$D72,1,1)</f>
        <v>0.65859999999999996</v>
      </c>
      <c r="G72" s="70">
        <f ca="1">OFFSET(CMCPU!$J$4,0,$D72,1,1)</f>
        <v>0.64380000000000004</v>
      </c>
      <c r="H72" s="64">
        <v>12.55</v>
      </c>
    </row>
    <row r="73" spans="1:8">
      <c r="A73" s="61" t="s">
        <v>185</v>
      </c>
      <c r="B73" s="62">
        <f t="shared" si="2"/>
        <v>0.63194444444444442</v>
      </c>
      <c r="C73" s="63">
        <v>69</v>
      </c>
      <c r="D73" s="63">
        <f t="shared" si="3"/>
        <v>5</v>
      </c>
      <c r="E73" s="65">
        <v>0.71</v>
      </c>
      <c r="F73" s="70">
        <f ca="1">OFFSET(CMCPU!$J$3,0,$D73,1,1)</f>
        <v>0.65859999999999996</v>
      </c>
      <c r="G73" s="70">
        <f ca="1">OFFSET(CMCPU!$J$4,0,$D73,1,1)</f>
        <v>0.64380000000000004</v>
      </c>
      <c r="H73" s="64">
        <v>11.8</v>
      </c>
    </row>
    <row r="74" spans="1:8">
      <c r="A74" s="61" t="s">
        <v>186</v>
      </c>
      <c r="B74" s="62">
        <f t="shared" si="2"/>
        <v>0.63541666666666663</v>
      </c>
      <c r="C74" s="63">
        <v>70</v>
      </c>
      <c r="D74" s="63">
        <f t="shared" si="3"/>
        <v>5</v>
      </c>
      <c r="E74" s="65">
        <v>0.71</v>
      </c>
      <c r="F74" s="70">
        <f ca="1">OFFSET(CMCPU!$J$3,0,$D74,1,1)</f>
        <v>0.65859999999999996</v>
      </c>
      <c r="G74" s="70">
        <f ca="1">OFFSET(CMCPU!$J$4,0,$D74,1,1)</f>
        <v>0.64380000000000004</v>
      </c>
      <c r="H74" s="64">
        <v>12.15</v>
      </c>
    </row>
    <row r="75" spans="1:8">
      <c r="A75" s="61" t="s">
        <v>187</v>
      </c>
      <c r="B75" s="62">
        <f t="shared" si="2"/>
        <v>0.63888888888888895</v>
      </c>
      <c r="C75" s="63">
        <v>71</v>
      </c>
      <c r="D75" s="63">
        <f t="shared" si="3"/>
        <v>5</v>
      </c>
      <c r="E75" s="65">
        <v>0.71</v>
      </c>
      <c r="F75" s="70">
        <f ca="1">OFFSET(CMCPU!$J$3,0,$D75,1,1)</f>
        <v>0.65859999999999996</v>
      </c>
      <c r="G75" s="70">
        <f ca="1">OFFSET(CMCPU!$J$4,0,$D75,1,1)</f>
        <v>0.64380000000000004</v>
      </c>
      <c r="H75" s="64">
        <v>12.13</v>
      </c>
    </row>
    <row r="76" spans="1:8">
      <c r="A76" s="61" t="s">
        <v>188</v>
      </c>
      <c r="B76" s="62">
        <f t="shared" si="2"/>
        <v>0.64236111111111105</v>
      </c>
      <c r="C76" s="63">
        <v>72</v>
      </c>
      <c r="D76" s="63">
        <f t="shared" si="3"/>
        <v>5</v>
      </c>
      <c r="E76" s="65">
        <v>0.71</v>
      </c>
      <c r="F76" s="70">
        <f ca="1">OFFSET(CMCPU!$J$3,0,$D76,1,1)</f>
        <v>0.65859999999999996</v>
      </c>
      <c r="G76" s="70">
        <f ca="1">OFFSET(CMCPU!$J$4,0,$D76,1,1)</f>
        <v>0.64380000000000004</v>
      </c>
      <c r="H76" s="64">
        <v>13.08</v>
      </c>
    </row>
    <row r="77" spans="1:8">
      <c r="A77" s="61" t="s">
        <v>189</v>
      </c>
      <c r="B77" s="62">
        <f t="shared" si="2"/>
        <v>0.64583333333333337</v>
      </c>
      <c r="C77" s="63">
        <v>73</v>
      </c>
      <c r="D77" s="63">
        <f t="shared" si="3"/>
        <v>6</v>
      </c>
      <c r="E77" s="65">
        <v>0.71</v>
      </c>
      <c r="F77" s="70">
        <f ca="1">OFFSET(CMCPU!$J$3,0,$D77,1,1)</f>
        <v>0.6593</v>
      </c>
      <c r="G77" s="70">
        <f ca="1">OFFSET(CMCPU!$J$4,0,$D77,1,1)</f>
        <v>0.64580000000000004</v>
      </c>
      <c r="H77" s="64">
        <v>14.29</v>
      </c>
    </row>
    <row r="78" spans="1:8">
      <c r="A78" s="61" t="s">
        <v>190</v>
      </c>
      <c r="B78" s="62">
        <f t="shared" si="2"/>
        <v>0.64930555555555558</v>
      </c>
      <c r="C78" s="63">
        <v>74</v>
      </c>
      <c r="D78" s="63">
        <f t="shared" si="3"/>
        <v>6</v>
      </c>
      <c r="E78" s="65">
        <v>0.71</v>
      </c>
      <c r="F78" s="70">
        <f ca="1">OFFSET(CMCPU!$J$3,0,$D78,1,1)</f>
        <v>0.6593</v>
      </c>
      <c r="G78" s="70">
        <f ca="1">OFFSET(CMCPU!$J$4,0,$D78,1,1)</f>
        <v>0.64580000000000004</v>
      </c>
      <c r="H78" s="64">
        <v>12.54</v>
      </c>
    </row>
    <row r="79" spans="1:8">
      <c r="A79" s="61" t="s">
        <v>191</v>
      </c>
      <c r="B79" s="62">
        <f t="shared" si="2"/>
        <v>0.65277777777777779</v>
      </c>
      <c r="C79" s="63">
        <v>75</v>
      </c>
      <c r="D79" s="63">
        <f t="shared" si="3"/>
        <v>6</v>
      </c>
      <c r="E79" s="65">
        <v>0.71</v>
      </c>
      <c r="F79" s="70">
        <f ca="1">OFFSET(CMCPU!$J$3,0,$D79,1,1)</f>
        <v>0.6593</v>
      </c>
      <c r="G79" s="70">
        <f ca="1">OFFSET(CMCPU!$J$4,0,$D79,1,1)</f>
        <v>0.64580000000000004</v>
      </c>
      <c r="H79" s="64">
        <v>12.7</v>
      </c>
    </row>
    <row r="80" spans="1:8">
      <c r="A80" s="61" t="s">
        <v>192</v>
      </c>
      <c r="B80" s="62">
        <f t="shared" si="2"/>
        <v>0.65625</v>
      </c>
      <c r="C80" s="63">
        <v>76</v>
      </c>
      <c r="D80" s="63">
        <f t="shared" si="3"/>
        <v>6</v>
      </c>
      <c r="E80" s="65">
        <v>0.71</v>
      </c>
      <c r="F80" s="70">
        <f ca="1">OFFSET(CMCPU!$J$3,0,$D80,1,1)</f>
        <v>0.6593</v>
      </c>
      <c r="G80" s="70">
        <f ca="1">OFFSET(CMCPU!$J$4,0,$D80,1,1)</f>
        <v>0.64580000000000004</v>
      </c>
      <c r="H80" s="64">
        <v>13.29</v>
      </c>
    </row>
    <row r="81" spans="1:8">
      <c r="A81" s="61" t="s">
        <v>193</v>
      </c>
      <c r="B81" s="62">
        <f t="shared" si="2"/>
        <v>0.65972222222222221</v>
      </c>
      <c r="C81" s="63">
        <v>77</v>
      </c>
      <c r="D81" s="63">
        <f t="shared" si="3"/>
        <v>6</v>
      </c>
      <c r="E81" s="65">
        <v>0.71</v>
      </c>
      <c r="F81" s="70">
        <f ca="1">OFFSET(CMCPU!$J$3,0,$D81,1,1)</f>
        <v>0.6593</v>
      </c>
      <c r="G81" s="70">
        <f ca="1">OFFSET(CMCPU!$J$4,0,$D81,1,1)</f>
        <v>0.64580000000000004</v>
      </c>
      <c r="H81" s="64">
        <v>11.77</v>
      </c>
    </row>
    <row r="82" spans="1:8">
      <c r="A82" s="61" t="s">
        <v>194</v>
      </c>
      <c r="B82" s="62">
        <f t="shared" si="2"/>
        <v>0.66319444444444442</v>
      </c>
      <c r="C82" s="63">
        <v>78</v>
      </c>
      <c r="D82" s="63">
        <f t="shared" si="3"/>
        <v>6</v>
      </c>
      <c r="E82" s="65">
        <v>0.71</v>
      </c>
      <c r="F82" s="70">
        <f ca="1">OFFSET(CMCPU!$J$3,0,$D82,1,1)</f>
        <v>0.6593</v>
      </c>
      <c r="G82" s="70">
        <f ca="1">OFFSET(CMCPU!$J$4,0,$D82,1,1)</f>
        <v>0.64580000000000004</v>
      </c>
      <c r="H82" s="64">
        <v>12.95</v>
      </c>
    </row>
    <row r="83" spans="1:8">
      <c r="A83" s="61" t="s">
        <v>195</v>
      </c>
      <c r="B83" s="62">
        <f t="shared" si="2"/>
        <v>0.66666666666666663</v>
      </c>
      <c r="C83" s="63">
        <v>79</v>
      </c>
      <c r="D83" s="63">
        <f t="shared" si="3"/>
        <v>6</v>
      </c>
      <c r="E83" s="65">
        <v>0.71</v>
      </c>
      <c r="F83" s="70">
        <f ca="1">OFFSET(CMCPU!$J$3,0,$D83,1,1)</f>
        <v>0.6593</v>
      </c>
      <c r="G83" s="70">
        <f ca="1">OFFSET(CMCPU!$J$4,0,$D83,1,1)</f>
        <v>0.64580000000000004</v>
      </c>
      <c r="H83" s="64">
        <v>13.3</v>
      </c>
    </row>
    <row r="84" spans="1:8">
      <c r="A84" s="61" t="s">
        <v>196</v>
      </c>
      <c r="B84" s="62">
        <f t="shared" si="2"/>
        <v>0.67013888888888884</v>
      </c>
      <c r="C84" s="63">
        <v>80</v>
      </c>
      <c r="D84" s="63">
        <f t="shared" si="3"/>
        <v>6</v>
      </c>
      <c r="E84" s="65">
        <v>0.71</v>
      </c>
      <c r="F84" s="70">
        <f ca="1">OFFSET(CMCPU!$J$3,0,$D84,1,1)</f>
        <v>0.6593</v>
      </c>
      <c r="G84" s="70">
        <f ca="1">OFFSET(CMCPU!$J$4,0,$D84,1,1)</f>
        <v>0.64580000000000004</v>
      </c>
      <c r="H84" s="64">
        <v>13.33</v>
      </c>
    </row>
    <row r="85" spans="1:8">
      <c r="A85" s="61" t="s">
        <v>197</v>
      </c>
      <c r="B85" s="62">
        <f t="shared" si="2"/>
        <v>0.67361111111111116</v>
      </c>
      <c r="C85" s="63">
        <v>81</v>
      </c>
      <c r="D85" s="63">
        <f t="shared" si="3"/>
        <v>6</v>
      </c>
      <c r="E85" s="65">
        <v>0.71</v>
      </c>
      <c r="F85" s="70">
        <f ca="1">OFFSET(CMCPU!$J$3,0,$D85,1,1)</f>
        <v>0.6593</v>
      </c>
      <c r="G85" s="70">
        <f ca="1">OFFSET(CMCPU!$J$4,0,$D85,1,1)</f>
        <v>0.64580000000000004</v>
      </c>
      <c r="H85" s="64">
        <v>11.94</v>
      </c>
    </row>
    <row r="86" spans="1:8">
      <c r="A86" s="61" t="s">
        <v>198</v>
      </c>
      <c r="B86" s="62">
        <f t="shared" si="2"/>
        <v>0.67708333333333337</v>
      </c>
      <c r="C86" s="63">
        <v>82</v>
      </c>
      <c r="D86" s="63">
        <f t="shared" si="3"/>
        <v>6</v>
      </c>
      <c r="E86" s="65">
        <v>0.71</v>
      </c>
      <c r="F86" s="70">
        <f ca="1">OFFSET(CMCPU!$J$3,0,$D86,1,1)</f>
        <v>0.6593</v>
      </c>
      <c r="G86" s="70">
        <f ca="1">OFFSET(CMCPU!$J$4,0,$D86,1,1)</f>
        <v>0.64580000000000004</v>
      </c>
      <c r="H86" s="64">
        <v>12.54</v>
      </c>
    </row>
    <row r="87" spans="1:8">
      <c r="A87" s="61" t="s">
        <v>199</v>
      </c>
      <c r="B87" s="62">
        <f t="shared" si="2"/>
        <v>0.68055555555555547</v>
      </c>
      <c r="C87" s="63">
        <v>83</v>
      </c>
      <c r="D87" s="63">
        <f t="shared" si="3"/>
        <v>6</v>
      </c>
      <c r="E87" s="65">
        <v>0.71</v>
      </c>
      <c r="F87" s="70">
        <f ca="1">OFFSET(CMCPU!$J$3,0,$D87,1,1)</f>
        <v>0.6593</v>
      </c>
      <c r="G87" s="70">
        <f ca="1">OFFSET(CMCPU!$J$4,0,$D87,1,1)</f>
        <v>0.64580000000000004</v>
      </c>
      <c r="H87" s="64">
        <v>11.94</v>
      </c>
    </row>
    <row r="88" spans="1:8">
      <c r="A88" s="61" t="s">
        <v>200</v>
      </c>
      <c r="B88" s="62">
        <f t="shared" si="2"/>
        <v>0.68402777777777779</v>
      </c>
      <c r="C88" s="63">
        <v>84</v>
      </c>
      <c r="D88" s="63">
        <f t="shared" si="3"/>
        <v>6</v>
      </c>
      <c r="E88" s="65">
        <v>0.71</v>
      </c>
      <c r="F88" s="70">
        <f ca="1">OFFSET(CMCPU!$J$3,0,$D88,1,1)</f>
        <v>0.6593</v>
      </c>
      <c r="G88" s="70">
        <f ca="1">OFFSET(CMCPU!$J$4,0,$D88,1,1)</f>
        <v>0.64580000000000004</v>
      </c>
      <c r="H88" s="64">
        <v>12.9</v>
      </c>
    </row>
    <row r="89" spans="1:8">
      <c r="A89" s="61" t="s">
        <v>201</v>
      </c>
      <c r="B89" s="62">
        <f t="shared" si="2"/>
        <v>0.6875</v>
      </c>
      <c r="C89" s="63">
        <v>85</v>
      </c>
      <c r="D89" s="63">
        <f t="shared" si="3"/>
        <v>7</v>
      </c>
      <c r="E89" s="65">
        <v>0.71</v>
      </c>
      <c r="F89" s="70">
        <f ca="1">OFFSET(CMCPU!$J$3,0,$D89,1,1)</f>
        <v>0.66579999999999995</v>
      </c>
      <c r="G89" s="70">
        <f ca="1">OFFSET(CMCPU!$J$4,0,$D89,1,1)</f>
        <v>0.65059999999999996</v>
      </c>
      <c r="H89" s="64">
        <v>15.02</v>
      </c>
    </row>
    <row r="90" spans="1:8">
      <c r="A90" s="61" t="s">
        <v>202</v>
      </c>
      <c r="B90" s="62">
        <f t="shared" si="2"/>
        <v>0.69097222222222221</v>
      </c>
      <c r="C90" s="63">
        <v>86</v>
      </c>
      <c r="D90" s="63">
        <f t="shared" si="3"/>
        <v>7</v>
      </c>
      <c r="E90" s="65">
        <v>0.71</v>
      </c>
      <c r="F90" s="70">
        <f ca="1">OFFSET(CMCPU!$J$3,0,$D90,1,1)</f>
        <v>0.66579999999999995</v>
      </c>
      <c r="G90" s="70">
        <f ca="1">OFFSET(CMCPU!$J$4,0,$D90,1,1)</f>
        <v>0.65059999999999996</v>
      </c>
      <c r="H90" s="64">
        <v>13.67</v>
      </c>
    </row>
    <row r="91" spans="1:8">
      <c r="A91" s="61" t="s">
        <v>203</v>
      </c>
      <c r="B91" s="62">
        <f t="shared" si="2"/>
        <v>0.69444444444444453</v>
      </c>
      <c r="C91" s="63">
        <v>87</v>
      </c>
      <c r="D91" s="63">
        <f t="shared" si="3"/>
        <v>7</v>
      </c>
      <c r="E91" s="65">
        <v>0.71</v>
      </c>
      <c r="F91" s="70">
        <f ca="1">OFFSET(CMCPU!$J$3,0,$D91,1,1)</f>
        <v>0.66579999999999995</v>
      </c>
      <c r="G91" s="70">
        <f ca="1">OFFSET(CMCPU!$J$4,0,$D91,1,1)</f>
        <v>0.65059999999999996</v>
      </c>
      <c r="H91" s="64">
        <v>12.91</v>
      </c>
    </row>
    <row r="92" spans="1:8">
      <c r="A92" s="61" t="s">
        <v>204</v>
      </c>
      <c r="B92" s="62">
        <f t="shared" si="2"/>
        <v>0.69791666666666663</v>
      </c>
      <c r="C92" s="63">
        <v>88</v>
      </c>
      <c r="D92" s="63">
        <f t="shared" si="3"/>
        <v>7</v>
      </c>
      <c r="E92" s="65">
        <v>0.71</v>
      </c>
      <c r="F92" s="70">
        <f ca="1">OFFSET(CMCPU!$J$3,0,$D92,1,1)</f>
        <v>0.66579999999999995</v>
      </c>
      <c r="G92" s="70">
        <f ca="1">OFFSET(CMCPU!$J$4,0,$D92,1,1)</f>
        <v>0.65059999999999996</v>
      </c>
      <c r="H92" s="64">
        <v>12.83</v>
      </c>
    </row>
    <row r="93" spans="1:8">
      <c r="A93" s="61" t="s">
        <v>205</v>
      </c>
      <c r="B93" s="62">
        <f t="shared" si="2"/>
        <v>0.70138888888888884</v>
      </c>
      <c r="C93" s="63">
        <v>89</v>
      </c>
      <c r="D93" s="63">
        <f t="shared" si="3"/>
        <v>7</v>
      </c>
      <c r="E93" s="65">
        <v>0.71</v>
      </c>
      <c r="F93" s="70">
        <f ca="1">OFFSET(CMCPU!$J$3,0,$D93,1,1)</f>
        <v>0.66579999999999995</v>
      </c>
      <c r="G93" s="70">
        <f ca="1">OFFSET(CMCPU!$J$4,0,$D93,1,1)</f>
        <v>0.65059999999999996</v>
      </c>
      <c r="H93" s="64">
        <v>12.94</v>
      </c>
    </row>
    <row r="94" spans="1:8">
      <c r="A94" s="61" t="s">
        <v>206</v>
      </c>
      <c r="B94" s="62">
        <f t="shared" si="2"/>
        <v>0.70486111111111116</v>
      </c>
      <c r="C94" s="63">
        <v>90</v>
      </c>
      <c r="D94" s="63">
        <f t="shared" si="3"/>
        <v>7</v>
      </c>
      <c r="E94" s="65">
        <v>0.71</v>
      </c>
      <c r="F94" s="70">
        <f ca="1">OFFSET(CMCPU!$J$3,0,$D94,1,1)</f>
        <v>0.66579999999999995</v>
      </c>
      <c r="G94" s="70">
        <f ca="1">OFFSET(CMCPU!$J$4,0,$D94,1,1)</f>
        <v>0.65059999999999996</v>
      </c>
      <c r="H94" s="64">
        <v>13.61</v>
      </c>
    </row>
    <row r="95" spans="1:8">
      <c r="A95" s="61" t="s">
        <v>207</v>
      </c>
      <c r="B95" s="62">
        <f t="shared" si="2"/>
        <v>0.70833333333333337</v>
      </c>
      <c r="C95" s="63">
        <v>91</v>
      </c>
      <c r="D95" s="63">
        <f t="shared" si="3"/>
        <v>7</v>
      </c>
      <c r="E95" s="65">
        <v>0.71</v>
      </c>
      <c r="F95" s="70">
        <f ca="1">OFFSET(CMCPU!$J$3,0,$D95,1,1)</f>
        <v>0.66579999999999995</v>
      </c>
      <c r="G95" s="70">
        <f ca="1">OFFSET(CMCPU!$J$4,0,$D95,1,1)</f>
        <v>0.65059999999999996</v>
      </c>
      <c r="H95" s="64">
        <v>13.96</v>
      </c>
    </row>
    <row r="96" spans="1:8">
      <c r="A96" s="61" t="s">
        <v>208</v>
      </c>
      <c r="B96" s="62">
        <f t="shared" si="2"/>
        <v>0.71180555555555547</v>
      </c>
      <c r="C96" s="63">
        <v>92</v>
      </c>
      <c r="D96" s="63">
        <f t="shared" si="3"/>
        <v>7</v>
      </c>
      <c r="E96" s="65">
        <v>0.71</v>
      </c>
      <c r="F96" s="70">
        <f ca="1">OFFSET(CMCPU!$J$3,0,$D96,1,1)</f>
        <v>0.66579999999999995</v>
      </c>
      <c r="G96" s="70">
        <f ca="1">OFFSET(CMCPU!$J$4,0,$D96,1,1)</f>
        <v>0.65059999999999996</v>
      </c>
      <c r="H96" s="64">
        <v>14.02</v>
      </c>
    </row>
    <row r="97" spans="1:8">
      <c r="A97" s="61" t="s">
        <v>209</v>
      </c>
      <c r="B97" s="62">
        <f t="shared" si="2"/>
        <v>0.71527777777777779</v>
      </c>
      <c r="C97" s="63">
        <v>93</v>
      </c>
      <c r="D97" s="63">
        <f t="shared" si="3"/>
        <v>7</v>
      </c>
      <c r="E97" s="65">
        <v>0.71</v>
      </c>
      <c r="F97" s="70">
        <f ca="1">OFFSET(CMCPU!$J$3,0,$D97,1,1)</f>
        <v>0.66579999999999995</v>
      </c>
      <c r="G97" s="70">
        <f ca="1">OFFSET(CMCPU!$J$4,0,$D97,1,1)</f>
        <v>0.65059999999999996</v>
      </c>
      <c r="H97" s="64">
        <v>13.63</v>
      </c>
    </row>
    <row r="98" spans="1:8">
      <c r="A98" s="61" t="s">
        <v>210</v>
      </c>
      <c r="B98" s="62">
        <f t="shared" si="2"/>
        <v>0.71875</v>
      </c>
      <c r="C98" s="63">
        <v>94</v>
      </c>
      <c r="D98" s="63">
        <f t="shared" si="3"/>
        <v>7</v>
      </c>
      <c r="E98" s="65">
        <v>0.71</v>
      </c>
      <c r="F98" s="70">
        <f ca="1">OFFSET(CMCPU!$J$3,0,$D98,1,1)</f>
        <v>0.66579999999999995</v>
      </c>
      <c r="G98" s="70">
        <f ca="1">OFFSET(CMCPU!$J$4,0,$D98,1,1)</f>
        <v>0.65059999999999996</v>
      </c>
      <c r="H98" s="64">
        <v>13.57</v>
      </c>
    </row>
    <row r="99" spans="1:8">
      <c r="A99" s="61" t="s">
        <v>211</v>
      </c>
      <c r="B99" s="62">
        <f t="shared" si="2"/>
        <v>0.72222222222222221</v>
      </c>
      <c r="C99" s="63">
        <v>95</v>
      </c>
      <c r="D99" s="63">
        <f t="shared" si="3"/>
        <v>7</v>
      </c>
      <c r="E99" s="65">
        <v>0.71</v>
      </c>
      <c r="F99" s="70">
        <f ca="1">OFFSET(CMCPU!$J$3,0,$D99,1,1)</f>
        <v>0.66579999999999995</v>
      </c>
      <c r="G99" s="70">
        <f ca="1">OFFSET(CMCPU!$J$4,0,$D99,1,1)</f>
        <v>0.65059999999999996</v>
      </c>
      <c r="H99" s="64">
        <v>11.98</v>
      </c>
    </row>
    <row r="100" spans="1:8">
      <c r="A100" s="61" t="s">
        <v>212</v>
      </c>
      <c r="B100" s="62">
        <f t="shared" si="2"/>
        <v>0.72569444444444453</v>
      </c>
      <c r="C100" s="63">
        <v>96</v>
      </c>
      <c r="D100" s="63">
        <f t="shared" si="3"/>
        <v>7</v>
      </c>
      <c r="E100" s="65">
        <v>0.71</v>
      </c>
      <c r="F100" s="70">
        <f ca="1">OFFSET(CMCPU!$J$3,0,$D100,1,1)</f>
        <v>0.66579999999999995</v>
      </c>
      <c r="G100" s="70">
        <f ca="1">OFFSET(CMCPU!$J$4,0,$D100,1,1)</f>
        <v>0.65059999999999996</v>
      </c>
      <c r="H100" s="64">
        <v>13.8</v>
      </c>
    </row>
    <row r="101" spans="1:8">
      <c r="A101" s="61" t="s">
        <v>213</v>
      </c>
      <c r="B101" s="62">
        <f t="shared" si="2"/>
        <v>0.72916666666666663</v>
      </c>
      <c r="C101" s="63">
        <v>97</v>
      </c>
      <c r="D101" s="63">
        <f t="shared" si="3"/>
        <v>8</v>
      </c>
      <c r="E101" s="65">
        <v>0.71</v>
      </c>
      <c r="F101" s="70">
        <f ca="1">OFFSET(CMCPU!$J$3,0,$D101,1,1)</f>
        <v>0.67159999999999997</v>
      </c>
      <c r="G101" s="70">
        <f ca="1">OFFSET(CMCPU!$J$4,0,$D101,1,1)</f>
        <v>0.65029999999999999</v>
      </c>
      <c r="H101" s="64">
        <v>14.87</v>
      </c>
    </row>
    <row r="102" spans="1:8">
      <c r="A102" s="61" t="s">
        <v>214</v>
      </c>
      <c r="B102" s="62">
        <f t="shared" si="2"/>
        <v>0.73263888888888884</v>
      </c>
      <c r="C102" s="63">
        <v>98</v>
      </c>
      <c r="D102" s="63">
        <f t="shared" si="3"/>
        <v>8</v>
      </c>
      <c r="E102" s="65">
        <v>0.71</v>
      </c>
      <c r="F102" s="70">
        <f ca="1">OFFSET(CMCPU!$J$3,0,$D102,1,1)</f>
        <v>0.67159999999999997</v>
      </c>
      <c r="G102" s="70">
        <f ca="1">OFFSET(CMCPU!$J$4,0,$D102,1,1)</f>
        <v>0.65029999999999999</v>
      </c>
      <c r="H102" s="64">
        <v>13.73</v>
      </c>
    </row>
    <row r="103" spans="1:8">
      <c r="A103" s="61" t="s">
        <v>215</v>
      </c>
      <c r="B103" s="62">
        <f t="shared" si="2"/>
        <v>0.73611111111111116</v>
      </c>
      <c r="C103" s="63">
        <v>99</v>
      </c>
      <c r="D103" s="63">
        <f t="shared" si="3"/>
        <v>8</v>
      </c>
      <c r="E103" s="65">
        <v>0.71</v>
      </c>
      <c r="F103" s="70">
        <f ca="1">OFFSET(CMCPU!$J$3,0,$D103,1,1)</f>
        <v>0.67159999999999997</v>
      </c>
      <c r="G103" s="70">
        <f ca="1">OFFSET(CMCPU!$J$4,0,$D103,1,1)</f>
        <v>0.65029999999999999</v>
      </c>
      <c r="H103" s="64">
        <v>12.58</v>
      </c>
    </row>
    <row r="104" spans="1:8">
      <c r="A104" s="61" t="s">
        <v>216</v>
      </c>
      <c r="B104" s="62">
        <f t="shared" si="2"/>
        <v>0.73958333333333337</v>
      </c>
      <c r="C104" s="63">
        <v>100</v>
      </c>
      <c r="D104" s="63">
        <f t="shared" si="3"/>
        <v>8</v>
      </c>
      <c r="E104" s="65">
        <v>0.71</v>
      </c>
      <c r="F104" s="70">
        <f ca="1">OFFSET(CMCPU!$J$3,0,$D104,1,1)</f>
        <v>0.67159999999999997</v>
      </c>
      <c r="G104" s="70">
        <f ca="1">OFFSET(CMCPU!$J$4,0,$D104,1,1)</f>
        <v>0.65029999999999999</v>
      </c>
      <c r="H104" s="64">
        <v>13.44</v>
      </c>
    </row>
    <row r="105" spans="1:8">
      <c r="A105" s="61" t="s">
        <v>217</v>
      </c>
      <c r="B105" s="62">
        <f t="shared" si="2"/>
        <v>0.74305555555555547</v>
      </c>
      <c r="C105" s="63">
        <v>101</v>
      </c>
      <c r="D105" s="63">
        <f t="shared" si="3"/>
        <v>8</v>
      </c>
      <c r="E105" s="65">
        <v>0.71</v>
      </c>
      <c r="F105" s="70">
        <f ca="1">OFFSET(CMCPU!$J$3,0,$D105,1,1)</f>
        <v>0.67159999999999997</v>
      </c>
      <c r="G105" s="70">
        <f ca="1">OFFSET(CMCPU!$J$4,0,$D105,1,1)</f>
        <v>0.65029999999999999</v>
      </c>
      <c r="H105" s="64">
        <v>12.35</v>
      </c>
    </row>
    <row r="106" spans="1:8">
      <c r="A106" s="61" t="s">
        <v>218</v>
      </c>
      <c r="B106" s="62">
        <f t="shared" si="2"/>
        <v>0.74652777777777779</v>
      </c>
      <c r="C106" s="63">
        <v>102</v>
      </c>
      <c r="D106" s="63">
        <f t="shared" si="3"/>
        <v>8</v>
      </c>
      <c r="E106" s="65">
        <v>0.71</v>
      </c>
      <c r="F106" s="70">
        <f ca="1">OFFSET(CMCPU!$J$3,0,$D106,1,1)</f>
        <v>0.67159999999999997</v>
      </c>
      <c r="G106" s="70">
        <f ca="1">OFFSET(CMCPU!$J$4,0,$D106,1,1)</f>
        <v>0.65029999999999999</v>
      </c>
      <c r="H106" s="64">
        <v>13.02</v>
      </c>
    </row>
    <row r="107" spans="1:8">
      <c r="A107" s="61" t="s">
        <v>219</v>
      </c>
      <c r="B107" s="62">
        <f t="shared" si="2"/>
        <v>0.75</v>
      </c>
      <c r="C107" s="63">
        <v>103</v>
      </c>
      <c r="D107" s="63">
        <f t="shared" si="3"/>
        <v>8</v>
      </c>
      <c r="E107" s="65">
        <v>0.71</v>
      </c>
      <c r="F107" s="70">
        <f ca="1">OFFSET(CMCPU!$J$3,0,$D107,1,1)</f>
        <v>0.67159999999999997</v>
      </c>
      <c r="G107" s="70">
        <f ca="1">OFFSET(CMCPU!$J$4,0,$D107,1,1)</f>
        <v>0.65029999999999999</v>
      </c>
      <c r="H107" s="64">
        <v>13.48</v>
      </c>
    </row>
    <row r="108" spans="1:8">
      <c r="A108" s="61" t="s">
        <v>220</v>
      </c>
      <c r="B108" s="62">
        <f t="shared" si="2"/>
        <v>0.75347222222222221</v>
      </c>
      <c r="C108" s="63">
        <v>104</v>
      </c>
      <c r="D108" s="63">
        <f t="shared" si="3"/>
        <v>8</v>
      </c>
      <c r="E108" s="65">
        <v>0.71</v>
      </c>
      <c r="F108" s="70">
        <f ca="1">OFFSET(CMCPU!$J$3,0,$D108,1,1)</f>
        <v>0.67159999999999997</v>
      </c>
      <c r="G108" s="70">
        <f ca="1">OFFSET(CMCPU!$J$4,0,$D108,1,1)</f>
        <v>0.65029999999999999</v>
      </c>
      <c r="H108" s="64">
        <v>13.44</v>
      </c>
    </row>
    <row r="109" spans="1:8">
      <c r="A109" s="61" t="s">
        <v>221</v>
      </c>
      <c r="B109" s="62">
        <f t="shared" si="2"/>
        <v>0.75694444444444453</v>
      </c>
      <c r="C109" s="63">
        <v>105</v>
      </c>
      <c r="D109" s="63">
        <f t="shared" si="3"/>
        <v>8</v>
      </c>
      <c r="E109" s="65">
        <v>0.71</v>
      </c>
      <c r="F109" s="70">
        <f ca="1">OFFSET(CMCPU!$J$3,0,$D109,1,1)</f>
        <v>0.67159999999999997</v>
      </c>
      <c r="G109" s="70">
        <f ca="1">OFFSET(CMCPU!$J$4,0,$D109,1,1)</f>
        <v>0.65029999999999999</v>
      </c>
      <c r="H109" s="64">
        <v>13.29</v>
      </c>
    </row>
    <row r="110" spans="1:8">
      <c r="A110" s="61" t="s">
        <v>222</v>
      </c>
      <c r="B110" s="62">
        <f t="shared" si="2"/>
        <v>0.76041666666666663</v>
      </c>
      <c r="C110" s="63">
        <v>106</v>
      </c>
      <c r="D110" s="63">
        <f t="shared" si="3"/>
        <v>8</v>
      </c>
      <c r="E110" s="65">
        <v>0.71</v>
      </c>
      <c r="F110" s="70">
        <f ca="1">OFFSET(CMCPU!$J$3,0,$D110,1,1)</f>
        <v>0.67159999999999997</v>
      </c>
      <c r="G110" s="70">
        <f ca="1">OFFSET(CMCPU!$J$4,0,$D110,1,1)</f>
        <v>0.65029999999999999</v>
      </c>
      <c r="H110" s="64">
        <v>13.44</v>
      </c>
    </row>
    <row r="111" spans="1:8">
      <c r="A111" s="61" t="s">
        <v>223</v>
      </c>
      <c r="B111" s="62">
        <f t="shared" si="2"/>
        <v>0.76388888888888884</v>
      </c>
      <c r="C111" s="63">
        <v>107</v>
      </c>
      <c r="D111" s="63">
        <f t="shared" si="3"/>
        <v>8</v>
      </c>
      <c r="E111" s="65">
        <v>0.71</v>
      </c>
      <c r="F111" s="70">
        <f ca="1">OFFSET(CMCPU!$J$3,0,$D111,1,1)</f>
        <v>0.67159999999999997</v>
      </c>
      <c r="G111" s="70">
        <f ca="1">OFFSET(CMCPU!$J$4,0,$D111,1,1)</f>
        <v>0.65029999999999999</v>
      </c>
      <c r="H111" s="64">
        <v>12.01</v>
      </c>
    </row>
    <row r="112" spans="1:8">
      <c r="A112" s="61" t="s">
        <v>224</v>
      </c>
      <c r="B112" s="62">
        <f t="shared" si="2"/>
        <v>0.76737268518518509</v>
      </c>
      <c r="C112" s="63">
        <v>108</v>
      </c>
      <c r="D112" s="63">
        <f t="shared" si="3"/>
        <v>8</v>
      </c>
      <c r="E112" s="65">
        <v>0.71</v>
      </c>
      <c r="F112" s="70">
        <f ca="1">OFFSET(CMCPU!$J$3,0,$D112,1,1)</f>
        <v>0.67159999999999997</v>
      </c>
      <c r="G112" s="70">
        <f ca="1">OFFSET(CMCPU!$J$4,0,$D112,1,1)</f>
        <v>0.65029999999999999</v>
      </c>
      <c r="H112" s="64">
        <v>13.01</v>
      </c>
    </row>
    <row r="113" spans="1:8">
      <c r="A113" s="61" t="s">
        <v>225</v>
      </c>
      <c r="B113" s="62">
        <f t="shared" si="2"/>
        <v>0.77083333333333337</v>
      </c>
      <c r="C113" s="63">
        <v>109</v>
      </c>
      <c r="D113" s="63">
        <f t="shared" si="3"/>
        <v>9</v>
      </c>
      <c r="E113" s="65">
        <v>0.71</v>
      </c>
      <c r="F113" s="70">
        <f ca="1">OFFSET(CMCPU!$J$3,0,$D113,1,1)</f>
        <v>0.66180000000000005</v>
      </c>
      <c r="G113" s="70">
        <f ca="1">OFFSET(CMCPU!$J$4,0,$D113,1,1)</f>
        <v>0.64549999999999996</v>
      </c>
      <c r="H113" s="64">
        <v>14.91</v>
      </c>
    </row>
    <row r="114" spans="1:8">
      <c r="A114" s="61" t="s">
        <v>226</v>
      </c>
      <c r="B114" s="62">
        <f t="shared" si="2"/>
        <v>0.77430555555555547</v>
      </c>
      <c r="C114" s="63">
        <v>110</v>
      </c>
      <c r="D114" s="63">
        <f t="shared" si="3"/>
        <v>9</v>
      </c>
      <c r="E114" s="65">
        <v>0.71</v>
      </c>
      <c r="F114" s="70">
        <f ca="1">OFFSET(CMCPU!$J$3,0,$D114,1,1)</f>
        <v>0.66180000000000005</v>
      </c>
      <c r="G114" s="70">
        <f ca="1">OFFSET(CMCPU!$J$4,0,$D114,1,1)</f>
        <v>0.64549999999999996</v>
      </c>
      <c r="H114" s="64">
        <v>13.68</v>
      </c>
    </row>
    <row r="115" spans="1:8">
      <c r="A115" s="61" t="s">
        <v>227</v>
      </c>
      <c r="B115" s="62">
        <f t="shared" si="2"/>
        <v>0.77777777777777779</v>
      </c>
      <c r="C115" s="63">
        <v>111</v>
      </c>
      <c r="D115" s="63">
        <f t="shared" si="3"/>
        <v>9</v>
      </c>
      <c r="E115" s="65">
        <v>0.71</v>
      </c>
      <c r="F115" s="70">
        <f ca="1">OFFSET(CMCPU!$J$3,0,$D115,1,1)</f>
        <v>0.66180000000000005</v>
      </c>
      <c r="G115" s="70">
        <f ca="1">OFFSET(CMCPU!$J$4,0,$D115,1,1)</f>
        <v>0.64549999999999996</v>
      </c>
      <c r="H115" s="64">
        <v>13.16</v>
      </c>
    </row>
    <row r="116" spans="1:8">
      <c r="A116" s="61" t="s">
        <v>228</v>
      </c>
      <c r="B116" s="62">
        <f t="shared" si="2"/>
        <v>0.78125</v>
      </c>
      <c r="C116" s="63">
        <v>112</v>
      </c>
      <c r="D116" s="63">
        <f t="shared" si="3"/>
        <v>9</v>
      </c>
      <c r="E116" s="65">
        <v>0.71</v>
      </c>
      <c r="F116" s="70">
        <f ca="1">OFFSET(CMCPU!$J$3,0,$D116,1,1)</f>
        <v>0.66180000000000005</v>
      </c>
      <c r="G116" s="70">
        <f ca="1">OFFSET(CMCPU!$J$4,0,$D116,1,1)</f>
        <v>0.64549999999999996</v>
      </c>
      <c r="H116" s="64">
        <v>13.58</v>
      </c>
    </row>
    <row r="117" spans="1:8">
      <c r="A117" s="61" t="s">
        <v>229</v>
      </c>
      <c r="B117" s="62">
        <f t="shared" si="2"/>
        <v>0.78472222222222221</v>
      </c>
      <c r="C117" s="63">
        <v>113</v>
      </c>
      <c r="D117" s="63">
        <f t="shared" si="3"/>
        <v>9</v>
      </c>
      <c r="E117" s="65">
        <v>0.71</v>
      </c>
      <c r="F117" s="70">
        <f ca="1">OFFSET(CMCPU!$J$3,0,$D117,1,1)</f>
        <v>0.66180000000000005</v>
      </c>
      <c r="G117" s="70">
        <f ca="1">OFFSET(CMCPU!$J$4,0,$D117,1,1)</f>
        <v>0.64549999999999996</v>
      </c>
      <c r="H117" s="64">
        <v>12.62</v>
      </c>
    </row>
    <row r="118" spans="1:8">
      <c r="A118" s="61" t="s">
        <v>230</v>
      </c>
      <c r="B118" s="62">
        <f t="shared" si="2"/>
        <v>0.78819444444444453</v>
      </c>
      <c r="C118" s="63">
        <v>114</v>
      </c>
      <c r="D118" s="63">
        <f t="shared" si="3"/>
        <v>9</v>
      </c>
      <c r="E118" s="65">
        <v>0.71</v>
      </c>
      <c r="F118" s="70">
        <f ca="1">OFFSET(CMCPU!$J$3,0,$D118,1,1)</f>
        <v>0.66180000000000005</v>
      </c>
      <c r="G118" s="70">
        <f ca="1">OFFSET(CMCPU!$J$4,0,$D118,1,1)</f>
        <v>0.64549999999999996</v>
      </c>
      <c r="H118" s="64">
        <v>12.82</v>
      </c>
    </row>
    <row r="119" spans="1:8">
      <c r="A119" s="61" t="s">
        <v>231</v>
      </c>
      <c r="B119" s="62">
        <f t="shared" si="2"/>
        <v>0.79166666666666663</v>
      </c>
      <c r="C119" s="63">
        <v>115</v>
      </c>
      <c r="D119" s="63">
        <f t="shared" si="3"/>
        <v>9</v>
      </c>
      <c r="E119" s="65">
        <v>0.71</v>
      </c>
      <c r="F119" s="70">
        <f ca="1">OFFSET(CMCPU!$J$3,0,$D119,1,1)</f>
        <v>0.66180000000000005</v>
      </c>
      <c r="G119" s="70">
        <f ca="1">OFFSET(CMCPU!$J$4,0,$D119,1,1)</f>
        <v>0.64549999999999996</v>
      </c>
      <c r="H119" s="64">
        <v>14.32</v>
      </c>
    </row>
    <row r="120" spans="1:8">
      <c r="A120" s="61" t="s">
        <v>232</v>
      </c>
      <c r="B120" s="62">
        <f t="shared" si="2"/>
        <v>0.79513888888888884</v>
      </c>
      <c r="C120" s="63">
        <v>116</v>
      </c>
      <c r="D120" s="63">
        <f t="shared" si="3"/>
        <v>9</v>
      </c>
      <c r="E120" s="65">
        <v>0.71</v>
      </c>
      <c r="F120" s="70">
        <f ca="1">OFFSET(CMCPU!$J$3,0,$D120,1,1)</f>
        <v>0.66180000000000005</v>
      </c>
      <c r="G120" s="70">
        <f ca="1">OFFSET(CMCPU!$J$4,0,$D120,1,1)</f>
        <v>0.64549999999999996</v>
      </c>
      <c r="H120" s="64">
        <v>14.17</v>
      </c>
    </row>
    <row r="121" spans="1:8">
      <c r="A121" s="61" t="s">
        <v>233</v>
      </c>
      <c r="B121" s="62">
        <f t="shared" si="2"/>
        <v>0.79861111111111116</v>
      </c>
      <c r="C121" s="63">
        <v>117</v>
      </c>
      <c r="D121" s="63">
        <f t="shared" si="3"/>
        <v>9</v>
      </c>
      <c r="E121" s="65">
        <v>0.71</v>
      </c>
      <c r="F121" s="70">
        <f ca="1">OFFSET(CMCPU!$J$3,0,$D121,1,1)</f>
        <v>0.66180000000000005</v>
      </c>
      <c r="G121" s="70">
        <f ca="1">OFFSET(CMCPU!$J$4,0,$D121,1,1)</f>
        <v>0.64549999999999996</v>
      </c>
      <c r="H121" s="64">
        <v>13.26</v>
      </c>
    </row>
    <row r="122" spans="1:8">
      <c r="A122" s="61" t="s">
        <v>234</v>
      </c>
      <c r="B122" s="62">
        <f t="shared" si="2"/>
        <v>0.80208333333333337</v>
      </c>
      <c r="C122" s="63">
        <v>118</v>
      </c>
      <c r="D122" s="63">
        <f t="shared" si="3"/>
        <v>9</v>
      </c>
      <c r="E122" s="65">
        <v>0.71</v>
      </c>
      <c r="F122" s="70">
        <f ca="1">OFFSET(CMCPU!$J$3,0,$D122,1,1)</f>
        <v>0.66180000000000005</v>
      </c>
      <c r="G122" s="70">
        <f ca="1">OFFSET(CMCPU!$J$4,0,$D122,1,1)</f>
        <v>0.64549999999999996</v>
      </c>
      <c r="H122" s="64">
        <v>12.98</v>
      </c>
    </row>
    <row r="123" spans="1:8">
      <c r="A123" s="61" t="s">
        <v>235</v>
      </c>
      <c r="B123" s="62">
        <f t="shared" si="2"/>
        <v>0.80555555555555547</v>
      </c>
      <c r="C123" s="63">
        <v>119</v>
      </c>
      <c r="D123" s="63">
        <f t="shared" si="3"/>
        <v>9</v>
      </c>
      <c r="E123" s="65">
        <v>0.71</v>
      </c>
      <c r="F123" s="70">
        <f ca="1">OFFSET(CMCPU!$J$3,0,$D123,1,1)</f>
        <v>0.66180000000000005</v>
      </c>
      <c r="G123" s="70">
        <f ca="1">OFFSET(CMCPU!$J$4,0,$D123,1,1)</f>
        <v>0.64549999999999996</v>
      </c>
      <c r="H123" s="64">
        <v>11.94</v>
      </c>
    </row>
    <row r="124" spans="1:8">
      <c r="A124" s="61" t="s">
        <v>236</v>
      </c>
      <c r="B124" s="62">
        <f t="shared" si="2"/>
        <v>0.80902777777777779</v>
      </c>
      <c r="C124" s="63">
        <v>120</v>
      </c>
      <c r="D124" s="63">
        <f t="shared" si="3"/>
        <v>9</v>
      </c>
      <c r="E124" s="65">
        <v>0.71</v>
      </c>
      <c r="F124" s="70">
        <f ca="1">OFFSET(CMCPU!$J$3,0,$D124,1,1)</f>
        <v>0.66180000000000005</v>
      </c>
      <c r="G124" s="70">
        <f ca="1">OFFSET(CMCPU!$J$4,0,$D124,1,1)</f>
        <v>0.64549999999999996</v>
      </c>
      <c r="H124" s="64">
        <v>12.92</v>
      </c>
    </row>
    <row r="125" spans="1:8">
      <c r="A125" s="61" t="s">
        <v>237</v>
      </c>
      <c r="B125" s="62">
        <f t="shared" si="2"/>
        <v>0.8125</v>
      </c>
      <c r="C125" s="63">
        <v>121</v>
      </c>
      <c r="D125" s="63">
        <f t="shared" si="3"/>
        <v>10</v>
      </c>
      <c r="E125" s="65">
        <v>0.71</v>
      </c>
      <c r="F125" s="70">
        <f ca="1">OFFSET(CMCPU!$J$3,0,$D125,1,1)</f>
        <v>0.66149999999999998</v>
      </c>
      <c r="G125" s="70">
        <f ca="1">OFFSET(CMCPU!$J$4,0,$D125,1,1)</f>
        <v>0.64500000000000002</v>
      </c>
      <c r="H125" s="64">
        <v>15.28</v>
      </c>
    </row>
    <row r="126" spans="1:8">
      <c r="A126" s="61" t="s">
        <v>238</v>
      </c>
      <c r="B126" s="62">
        <f t="shared" si="2"/>
        <v>0.81597222222222221</v>
      </c>
      <c r="C126" s="63">
        <v>122</v>
      </c>
      <c r="D126" s="63">
        <f t="shared" si="3"/>
        <v>10</v>
      </c>
      <c r="E126" s="65">
        <v>0.71</v>
      </c>
      <c r="F126" s="70">
        <f ca="1">OFFSET(CMCPU!$J$3,0,$D126,1,1)</f>
        <v>0.66149999999999998</v>
      </c>
      <c r="G126" s="70">
        <f ca="1">OFFSET(CMCPU!$J$4,0,$D126,1,1)</f>
        <v>0.64500000000000002</v>
      </c>
      <c r="H126" s="64">
        <v>13.55</v>
      </c>
    </row>
    <row r="127" spans="1:8">
      <c r="A127" s="61" t="s">
        <v>239</v>
      </c>
      <c r="B127" s="62">
        <f t="shared" si="2"/>
        <v>0.81944444444444453</v>
      </c>
      <c r="C127" s="63">
        <v>123</v>
      </c>
      <c r="D127" s="63">
        <f t="shared" si="3"/>
        <v>10</v>
      </c>
      <c r="E127" s="65">
        <v>0.71</v>
      </c>
      <c r="F127" s="70">
        <f ca="1">OFFSET(CMCPU!$J$3,0,$D127,1,1)</f>
        <v>0.66149999999999998</v>
      </c>
      <c r="G127" s="70">
        <f ca="1">OFFSET(CMCPU!$J$4,0,$D127,1,1)</f>
        <v>0.64500000000000002</v>
      </c>
      <c r="H127" s="64">
        <v>12.73</v>
      </c>
    </row>
    <row r="128" spans="1:8">
      <c r="A128" s="61" t="s">
        <v>240</v>
      </c>
      <c r="B128" s="62">
        <f t="shared" si="2"/>
        <v>0.82291666666666663</v>
      </c>
      <c r="C128" s="63">
        <v>124</v>
      </c>
      <c r="D128" s="63">
        <f t="shared" si="3"/>
        <v>10</v>
      </c>
      <c r="E128" s="65">
        <v>0.71</v>
      </c>
      <c r="F128" s="70">
        <f ca="1">OFFSET(CMCPU!$J$3,0,$D128,1,1)</f>
        <v>0.66149999999999998</v>
      </c>
      <c r="G128" s="70">
        <f ca="1">OFFSET(CMCPU!$J$4,0,$D128,1,1)</f>
        <v>0.64500000000000002</v>
      </c>
      <c r="H128" s="64">
        <v>12.9</v>
      </c>
    </row>
    <row r="129" spans="1:8">
      <c r="A129" s="61" t="s">
        <v>241</v>
      </c>
      <c r="B129" s="62">
        <f t="shared" si="2"/>
        <v>0.82638888888888884</v>
      </c>
      <c r="C129" s="63">
        <v>125</v>
      </c>
      <c r="D129" s="63">
        <f t="shared" si="3"/>
        <v>10</v>
      </c>
      <c r="E129" s="65">
        <v>0.71</v>
      </c>
      <c r="F129" s="70">
        <f ca="1">OFFSET(CMCPU!$J$3,0,$D129,1,1)</f>
        <v>0.66149999999999998</v>
      </c>
      <c r="G129" s="70">
        <f ca="1">OFFSET(CMCPU!$J$4,0,$D129,1,1)</f>
        <v>0.64500000000000002</v>
      </c>
      <c r="H129" s="64">
        <v>12.14</v>
      </c>
    </row>
    <row r="130" spans="1:8">
      <c r="A130" s="61" t="s">
        <v>242</v>
      </c>
      <c r="B130" s="62">
        <f t="shared" si="2"/>
        <v>0.82986111111111116</v>
      </c>
      <c r="C130" s="63">
        <v>126</v>
      </c>
      <c r="D130" s="63">
        <f t="shared" si="3"/>
        <v>10</v>
      </c>
      <c r="E130" s="65">
        <v>0.71</v>
      </c>
      <c r="F130" s="70">
        <f ca="1">OFFSET(CMCPU!$J$3,0,$D130,1,1)</f>
        <v>0.66149999999999998</v>
      </c>
      <c r="G130" s="70">
        <f ca="1">OFFSET(CMCPU!$J$4,0,$D130,1,1)</f>
        <v>0.64500000000000002</v>
      </c>
      <c r="H130" s="64">
        <v>16.579999999999998</v>
      </c>
    </row>
    <row r="131" spans="1:8">
      <c r="A131" s="61" t="s">
        <v>243</v>
      </c>
      <c r="B131" s="62">
        <f t="shared" si="2"/>
        <v>0.83333333333333337</v>
      </c>
      <c r="C131" s="63">
        <v>127</v>
      </c>
      <c r="D131" s="63">
        <f t="shared" si="3"/>
        <v>10</v>
      </c>
      <c r="E131" s="65">
        <v>0.71</v>
      </c>
      <c r="F131" s="70">
        <f ca="1">OFFSET(CMCPU!$J$3,0,$D131,1,1)</f>
        <v>0.66149999999999998</v>
      </c>
      <c r="G131" s="70">
        <f ca="1">OFFSET(CMCPU!$J$4,0,$D131,1,1)</f>
        <v>0.64500000000000002</v>
      </c>
      <c r="H131" s="64">
        <v>13.32</v>
      </c>
    </row>
    <row r="132" spans="1:8">
      <c r="A132" s="61" t="s">
        <v>244</v>
      </c>
      <c r="B132" s="62">
        <f t="shared" si="2"/>
        <v>0.83680555555555547</v>
      </c>
      <c r="C132" s="63">
        <v>128</v>
      </c>
      <c r="D132" s="63">
        <f t="shared" si="3"/>
        <v>10</v>
      </c>
      <c r="E132" s="65">
        <v>0.71</v>
      </c>
      <c r="F132" s="70">
        <f ca="1">OFFSET(CMCPU!$J$3,0,$D132,1,1)</f>
        <v>0.66149999999999998</v>
      </c>
      <c r="G132" s="70">
        <f ca="1">OFFSET(CMCPU!$J$4,0,$D132,1,1)</f>
        <v>0.64500000000000002</v>
      </c>
      <c r="H132" s="64">
        <v>14.47</v>
      </c>
    </row>
    <row r="133" spans="1:8">
      <c r="A133" s="61" t="s">
        <v>245</v>
      </c>
      <c r="B133" s="62">
        <f t="shared" ref="B133:B196" si="4">TIMEVALUE(MID(A133,11,8))</f>
        <v>0.84027777777777779</v>
      </c>
      <c r="C133" s="63">
        <v>129</v>
      </c>
      <c r="D133" s="63">
        <f t="shared" ref="D133:D196" si="5">TRUNC((C133-1)/12)</f>
        <v>10</v>
      </c>
      <c r="E133" s="65">
        <v>0.71</v>
      </c>
      <c r="F133" s="70">
        <f ca="1">OFFSET(CMCPU!$J$3,0,$D133,1,1)</f>
        <v>0.66149999999999998</v>
      </c>
      <c r="G133" s="70">
        <f ca="1">OFFSET(CMCPU!$J$4,0,$D133,1,1)</f>
        <v>0.64500000000000002</v>
      </c>
      <c r="H133" s="64">
        <v>13.03</v>
      </c>
    </row>
    <row r="134" spans="1:8">
      <c r="A134" s="61" t="s">
        <v>246</v>
      </c>
      <c r="B134" s="62">
        <f t="shared" si="4"/>
        <v>0.84375</v>
      </c>
      <c r="C134" s="63">
        <v>130</v>
      </c>
      <c r="D134" s="63">
        <f t="shared" si="5"/>
        <v>10</v>
      </c>
      <c r="E134" s="65">
        <v>0.71</v>
      </c>
      <c r="F134" s="70">
        <f ca="1">OFFSET(CMCPU!$J$3,0,$D134,1,1)</f>
        <v>0.66149999999999998</v>
      </c>
      <c r="G134" s="70">
        <f ca="1">OFFSET(CMCPU!$J$4,0,$D134,1,1)</f>
        <v>0.64500000000000002</v>
      </c>
      <c r="H134" s="64">
        <v>13.26</v>
      </c>
    </row>
    <row r="135" spans="1:8">
      <c r="A135" s="61" t="s">
        <v>247</v>
      </c>
      <c r="B135" s="62">
        <f t="shared" si="4"/>
        <v>0.84722222222222221</v>
      </c>
      <c r="C135" s="63">
        <v>131</v>
      </c>
      <c r="D135" s="63">
        <f t="shared" si="5"/>
        <v>10</v>
      </c>
      <c r="E135" s="65">
        <v>0.71</v>
      </c>
      <c r="F135" s="70">
        <f ca="1">OFFSET(CMCPU!$J$3,0,$D135,1,1)</f>
        <v>0.66149999999999998</v>
      </c>
      <c r="G135" s="70">
        <f ca="1">OFFSET(CMCPU!$J$4,0,$D135,1,1)</f>
        <v>0.64500000000000002</v>
      </c>
      <c r="H135" s="64">
        <v>12.49</v>
      </c>
    </row>
    <row r="136" spans="1:8">
      <c r="A136" s="61" t="s">
        <v>248</v>
      </c>
      <c r="B136" s="62">
        <f t="shared" si="4"/>
        <v>0.85069444444444453</v>
      </c>
      <c r="C136" s="63">
        <v>132</v>
      </c>
      <c r="D136" s="63">
        <f t="shared" si="5"/>
        <v>10</v>
      </c>
      <c r="E136" s="65">
        <v>0.71</v>
      </c>
      <c r="F136" s="70">
        <f ca="1">OFFSET(CMCPU!$J$3,0,$D136,1,1)</f>
        <v>0.66149999999999998</v>
      </c>
      <c r="G136" s="70">
        <f ca="1">OFFSET(CMCPU!$J$4,0,$D136,1,1)</f>
        <v>0.64500000000000002</v>
      </c>
      <c r="H136" s="64">
        <v>12.83</v>
      </c>
    </row>
    <row r="137" spans="1:8">
      <c r="A137" s="61" t="s">
        <v>249</v>
      </c>
      <c r="B137" s="62">
        <f t="shared" si="4"/>
        <v>0.85416666666666663</v>
      </c>
      <c r="C137" s="63">
        <v>133</v>
      </c>
      <c r="D137" s="63">
        <f t="shared" si="5"/>
        <v>11</v>
      </c>
      <c r="E137" s="65">
        <v>0.71</v>
      </c>
      <c r="F137" s="70">
        <f ca="1">OFFSET(CMCPU!$J$3,0,$D137,1,1)</f>
        <v>0.69269999999999998</v>
      </c>
      <c r="G137" s="70">
        <f ca="1">OFFSET(CMCPU!$J$4,0,$D137,1,1)</f>
        <v>0.65280000000000005</v>
      </c>
      <c r="H137" s="64">
        <v>15.95</v>
      </c>
    </row>
    <row r="138" spans="1:8">
      <c r="A138" s="61" t="s">
        <v>250</v>
      </c>
      <c r="B138" s="62">
        <f t="shared" si="4"/>
        <v>0.85763888888888884</v>
      </c>
      <c r="C138" s="63">
        <v>134</v>
      </c>
      <c r="D138" s="63">
        <f t="shared" si="5"/>
        <v>11</v>
      </c>
      <c r="E138" s="65">
        <v>0.71</v>
      </c>
      <c r="F138" s="70">
        <f ca="1">OFFSET(CMCPU!$J$3,0,$D138,1,1)</f>
        <v>0.69269999999999998</v>
      </c>
      <c r="G138" s="70">
        <f ca="1">OFFSET(CMCPU!$J$4,0,$D138,1,1)</f>
        <v>0.65280000000000005</v>
      </c>
      <c r="H138" s="64">
        <v>14.73</v>
      </c>
    </row>
    <row r="139" spans="1:8">
      <c r="A139" s="61" t="s">
        <v>251</v>
      </c>
      <c r="B139" s="62">
        <f t="shared" si="4"/>
        <v>0.86111111111111116</v>
      </c>
      <c r="C139" s="63">
        <v>135</v>
      </c>
      <c r="D139" s="63">
        <f t="shared" si="5"/>
        <v>11</v>
      </c>
      <c r="E139" s="65">
        <v>0.71</v>
      </c>
      <c r="F139" s="70">
        <f ca="1">OFFSET(CMCPU!$J$3,0,$D139,1,1)</f>
        <v>0.69269999999999998</v>
      </c>
      <c r="G139" s="70">
        <f ca="1">OFFSET(CMCPU!$J$4,0,$D139,1,1)</f>
        <v>0.65280000000000005</v>
      </c>
      <c r="H139" s="64">
        <v>13.41</v>
      </c>
    </row>
    <row r="140" spans="1:8">
      <c r="A140" s="61" t="s">
        <v>252</v>
      </c>
      <c r="B140" s="62">
        <f t="shared" si="4"/>
        <v>0.86458333333333337</v>
      </c>
      <c r="C140" s="63">
        <v>136</v>
      </c>
      <c r="D140" s="63">
        <f t="shared" si="5"/>
        <v>11</v>
      </c>
      <c r="E140" s="65">
        <v>0.71</v>
      </c>
      <c r="F140" s="70">
        <f ca="1">OFFSET(CMCPU!$J$3,0,$D140,1,1)</f>
        <v>0.69269999999999998</v>
      </c>
      <c r="G140" s="70">
        <f ca="1">OFFSET(CMCPU!$J$4,0,$D140,1,1)</f>
        <v>0.65280000000000005</v>
      </c>
      <c r="H140" s="64">
        <v>14.76</v>
      </c>
    </row>
    <row r="141" spans="1:8">
      <c r="A141" s="61" t="s">
        <v>253</v>
      </c>
      <c r="B141" s="62">
        <f t="shared" si="4"/>
        <v>0.86805555555555547</v>
      </c>
      <c r="C141" s="63">
        <v>137</v>
      </c>
      <c r="D141" s="63">
        <f t="shared" si="5"/>
        <v>11</v>
      </c>
      <c r="E141" s="65">
        <v>0.71</v>
      </c>
      <c r="F141" s="70">
        <f ca="1">OFFSET(CMCPU!$J$3,0,$D141,1,1)</f>
        <v>0.69269999999999998</v>
      </c>
      <c r="G141" s="70">
        <f ca="1">OFFSET(CMCPU!$J$4,0,$D141,1,1)</f>
        <v>0.65280000000000005</v>
      </c>
      <c r="H141" s="64">
        <v>12.62</v>
      </c>
    </row>
    <row r="142" spans="1:8">
      <c r="A142" s="61" t="s">
        <v>254</v>
      </c>
      <c r="B142" s="62">
        <f t="shared" si="4"/>
        <v>0.87152777777777779</v>
      </c>
      <c r="C142" s="63">
        <v>138</v>
      </c>
      <c r="D142" s="63">
        <f t="shared" si="5"/>
        <v>11</v>
      </c>
      <c r="E142" s="65">
        <v>0.71</v>
      </c>
      <c r="F142" s="70">
        <f ca="1">OFFSET(CMCPU!$J$3,0,$D142,1,1)</f>
        <v>0.69269999999999998</v>
      </c>
      <c r="G142" s="70">
        <f ca="1">OFFSET(CMCPU!$J$4,0,$D142,1,1)</f>
        <v>0.65280000000000005</v>
      </c>
      <c r="H142" s="64">
        <v>13.23</v>
      </c>
    </row>
    <row r="143" spans="1:8">
      <c r="A143" s="61" t="s">
        <v>255</v>
      </c>
      <c r="B143" s="62">
        <f t="shared" si="4"/>
        <v>0.875</v>
      </c>
      <c r="C143" s="63">
        <v>139</v>
      </c>
      <c r="D143" s="63">
        <f t="shared" si="5"/>
        <v>11</v>
      </c>
      <c r="E143" s="65">
        <v>0.71</v>
      </c>
      <c r="F143" s="70">
        <f ca="1">OFFSET(CMCPU!$J$3,0,$D143,1,1)</f>
        <v>0.69269999999999998</v>
      </c>
      <c r="G143" s="70">
        <f ca="1">OFFSET(CMCPU!$J$4,0,$D143,1,1)</f>
        <v>0.65280000000000005</v>
      </c>
      <c r="H143" s="64">
        <v>13.73</v>
      </c>
    </row>
    <row r="144" spans="1:8">
      <c r="A144" s="61" t="s">
        <v>256</v>
      </c>
      <c r="B144" s="62">
        <f t="shared" si="4"/>
        <v>0.87847222222222221</v>
      </c>
      <c r="C144" s="63">
        <v>140</v>
      </c>
      <c r="D144" s="63">
        <f t="shared" si="5"/>
        <v>11</v>
      </c>
      <c r="E144" s="65">
        <v>0.71</v>
      </c>
      <c r="F144" s="70">
        <f ca="1">OFFSET(CMCPU!$J$3,0,$D144,1,1)</f>
        <v>0.69269999999999998</v>
      </c>
      <c r="G144" s="70">
        <f ca="1">OFFSET(CMCPU!$J$4,0,$D144,1,1)</f>
        <v>0.65280000000000005</v>
      </c>
      <c r="H144" s="64">
        <v>14.71</v>
      </c>
    </row>
    <row r="145" spans="1:8">
      <c r="A145" s="61" t="s">
        <v>257</v>
      </c>
      <c r="B145" s="62">
        <f t="shared" si="4"/>
        <v>0.88194444444444453</v>
      </c>
      <c r="C145" s="63">
        <v>141</v>
      </c>
      <c r="D145" s="63">
        <f t="shared" si="5"/>
        <v>11</v>
      </c>
      <c r="E145" s="65">
        <v>0.71</v>
      </c>
      <c r="F145" s="70">
        <f ca="1">OFFSET(CMCPU!$J$3,0,$D145,1,1)</f>
        <v>0.69269999999999998</v>
      </c>
      <c r="G145" s="70">
        <f ca="1">OFFSET(CMCPU!$J$4,0,$D145,1,1)</f>
        <v>0.65280000000000005</v>
      </c>
      <c r="H145" s="64">
        <v>13.94</v>
      </c>
    </row>
    <row r="146" spans="1:8">
      <c r="A146" s="61" t="s">
        <v>258</v>
      </c>
      <c r="B146" s="62">
        <f t="shared" si="4"/>
        <v>0.88541666666666663</v>
      </c>
      <c r="C146" s="63">
        <v>142</v>
      </c>
      <c r="D146" s="63">
        <f t="shared" si="5"/>
        <v>11</v>
      </c>
      <c r="E146" s="65">
        <v>0.71</v>
      </c>
      <c r="F146" s="70">
        <f ca="1">OFFSET(CMCPU!$J$3,0,$D146,1,1)</f>
        <v>0.69269999999999998</v>
      </c>
      <c r="G146" s="70">
        <f ca="1">OFFSET(CMCPU!$J$4,0,$D146,1,1)</f>
        <v>0.65280000000000005</v>
      </c>
      <c r="H146" s="64">
        <v>13.27</v>
      </c>
    </row>
    <row r="147" spans="1:8">
      <c r="A147" s="61" t="s">
        <v>259</v>
      </c>
      <c r="B147" s="62">
        <f t="shared" si="4"/>
        <v>0.88888888888888884</v>
      </c>
      <c r="C147" s="63">
        <v>143</v>
      </c>
      <c r="D147" s="63">
        <f t="shared" si="5"/>
        <v>11</v>
      </c>
      <c r="E147" s="65">
        <v>0.71</v>
      </c>
      <c r="F147" s="70">
        <f ca="1">OFFSET(CMCPU!$J$3,0,$D147,1,1)</f>
        <v>0.69269999999999998</v>
      </c>
      <c r="G147" s="70">
        <f ca="1">OFFSET(CMCPU!$J$4,0,$D147,1,1)</f>
        <v>0.65280000000000005</v>
      </c>
      <c r="H147" s="64">
        <v>12.6</v>
      </c>
    </row>
    <row r="148" spans="1:8">
      <c r="A148" s="61" t="s">
        <v>260</v>
      </c>
      <c r="B148" s="62">
        <f t="shared" si="4"/>
        <v>0.89236111111111116</v>
      </c>
      <c r="C148" s="63">
        <v>144</v>
      </c>
      <c r="D148" s="63">
        <f t="shared" si="5"/>
        <v>11</v>
      </c>
      <c r="E148" s="65">
        <v>0.71</v>
      </c>
      <c r="F148" s="70">
        <f ca="1">OFFSET(CMCPU!$J$3,0,$D148,1,1)</f>
        <v>0.69269999999999998</v>
      </c>
      <c r="G148" s="70">
        <f ca="1">OFFSET(CMCPU!$J$4,0,$D148,1,1)</f>
        <v>0.65280000000000005</v>
      </c>
      <c r="H148" s="64">
        <v>13.87</v>
      </c>
    </row>
    <row r="149" spans="1:8">
      <c r="A149" s="61" t="s">
        <v>261</v>
      </c>
      <c r="B149" s="62">
        <f t="shared" si="4"/>
        <v>0.89583333333333337</v>
      </c>
      <c r="C149" s="63">
        <v>145</v>
      </c>
      <c r="D149" s="63">
        <f t="shared" si="5"/>
        <v>12</v>
      </c>
      <c r="E149" s="65">
        <v>0.71</v>
      </c>
      <c r="F149" s="70">
        <f ca="1">OFFSET(CMCPU!$J$3,0,$D149,1,1)</f>
        <v>0.66220000000000001</v>
      </c>
      <c r="G149" s="70">
        <f ca="1">OFFSET(CMCPU!$J$4,0,$D149,1,1)</f>
        <v>0.63470000000000004</v>
      </c>
      <c r="H149" s="64">
        <v>14.93</v>
      </c>
    </row>
    <row r="150" spans="1:8">
      <c r="A150" s="61" t="s">
        <v>262</v>
      </c>
      <c r="B150" s="62">
        <f t="shared" si="4"/>
        <v>0.89930555555555547</v>
      </c>
      <c r="C150" s="63">
        <v>146</v>
      </c>
      <c r="D150" s="63">
        <f t="shared" si="5"/>
        <v>12</v>
      </c>
      <c r="E150" s="65">
        <v>0.71</v>
      </c>
      <c r="F150" s="70">
        <f ca="1">OFFSET(CMCPU!$J$3,0,$D150,1,1)</f>
        <v>0.66220000000000001</v>
      </c>
      <c r="G150" s="70">
        <f ca="1">OFFSET(CMCPU!$J$4,0,$D150,1,1)</f>
        <v>0.63470000000000004</v>
      </c>
      <c r="H150" s="64">
        <v>14.05</v>
      </c>
    </row>
    <row r="151" spans="1:8">
      <c r="A151" s="61" t="s">
        <v>263</v>
      </c>
      <c r="B151" s="62">
        <f t="shared" si="4"/>
        <v>0.90277777777777779</v>
      </c>
      <c r="C151" s="63">
        <v>147</v>
      </c>
      <c r="D151" s="63">
        <f t="shared" si="5"/>
        <v>12</v>
      </c>
      <c r="E151" s="65">
        <v>0.71</v>
      </c>
      <c r="F151" s="70">
        <f ca="1">OFFSET(CMCPU!$J$3,0,$D151,1,1)</f>
        <v>0.66220000000000001</v>
      </c>
      <c r="G151" s="70">
        <f ca="1">OFFSET(CMCPU!$J$4,0,$D151,1,1)</f>
        <v>0.63470000000000004</v>
      </c>
      <c r="H151" s="64">
        <v>13.58</v>
      </c>
    </row>
    <row r="152" spans="1:8">
      <c r="A152" s="61" t="s">
        <v>264</v>
      </c>
      <c r="B152" s="62">
        <f t="shared" si="4"/>
        <v>0.90625</v>
      </c>
      <c r="C152" s="63">
        <v>148</v>
      </c>
      <c r="D152" s="63">
        <f t="shared" si="5"/>
        <v>12</v>
      </c>
      <c r="E152" s="65">
        <v>0.71</v>
      </c>
      <c r="F152" s="70">
        <f ca="1">OFFSET(CMCPU!$J$3,0,$D152,1,1)</f>
        <v>0.66220000000000001</v>
      </c>
      <c r="G152" s="70">
        <f ca="1">OFFSET(CMCPU!$J$4,0,$D152,1,1)</f>
        <v>0.63470000000000004</v>
      </c>
      <c r="H152" s="64">
        <v>13.19</v>
      </c>
    </row>
    <row r="153" spans="1:8">
      <c r="A153" s="61" t="s">
        <v>265</v>
      </c>
      <c r="B153" s="62">
        <f t="shared" si="4"/>
        <v>0.90972222222222221</v>
      </c>
      <c r="C153" s="63">
        <v>149</v>
      </c>
      <c r="D153" s="63">
        <f t="shared" si="5"/>
        <v>12</v>
      </c>
      <c r="E153" s="65">
        <v>0.71</v>
      </c>
      <c r="F153" s="70">
        <f ca="1">OFFSET(CMCPU!$J$3,0,$D153,1,1)</f>
        <v>0.66220000000000001</v>
      </c>
      <c r="G153" s="70">
        <f ca="1">OFFSET(CMCPU!$J$4,0,$D153,1,1)</f>
        <v>0.63470000000000004</v>
      </c>
      <c r="H153" s="64">
        <v>12.56</v>
      </c>
    </row>
    <row r="154" spans="1:8">
      <c r="A154" s="61" t="s">
        <v>266</v>
      </c>
      <c r="B154" s="62">
        <f t="shared" si="4"/>
        <v>0.91319444444444453</v>
      </c>
      <c r="C154" s="63">
        <v>150</v>
      </c>
      <c r="D154" s="63">
        <f t="shared" si="5"/>
        <v>12</v>
      </c>
      <c r="E154" s="65">
        <v>0.71</v>
      </c>
      <c r="F154" s="70">
        <f ca="1">OFFSET(CMCPU!$J$3,0,$D154,1,1)</f>
        <v>0.66220000000000001</v>
      </c>
      <c r="G154" s="70">
        <f ca="1">OFFSET(CMCPU!$J$4,0,$D154,1,1)</f>
        <v>0.63470000000000004</v>
      </c>
      <c r="H154" s="64">
        <v>14.25</v>
      </c>
    </row>
    <row r="155" spans="1:8">
      <c r="A155" s="61" t="s">
        <v>267</v>
      </c>
      <c r="B155" s="62">
        <f t="shared" si="4"/>
        <v>0.91666666666666663</v>
      </c>
      <c r="C155" s="63">
        <v>151</v>
      </c>
      <c r="D155" s="63">
        <f t="shared" si="5"/>
        <v>12</v>
      </c>
      <c r="E155" s="65">
        <v>0.71</v>
      </c>
      <c r="F155" s="70">
        <f ca="1">OFFSET(CMCPU!$J$3,0,$D155,1,1)</f>
        <v>0.66220000000000001</v>
      </c>
      <c r="G155" s="70">
        <f ca="1">OFFSET(CMCPU!$J$4,0,$D155,1,1)</f>
        <v>0.63470000000000004</v>
      </c>
      <c r="H155" s="64">
        <v>13.97</v>
      </c>
    </row>
    <row r="156" spans="1:8">
      <c r="A156" s="61" t="s">
        <v>268</v>
      </c>
      <c r="B156" s="62">
        <f t="shared" si="4"/>
        <v>0.92013888888888884</v>
      </c>
      <c r="C156" s="63">
        <v>152</v>
      </c>
      <c r="D156" s="63">
        <f t="shared" si="5"/>
        <v>12</v>
      </c>
      <c r="E156" s="65">
        <v>0.71</v>
      </c>
      <c r="F156" s="70">
        <f ca="1">OFFSET(CMCPU!$J$3,0,$D156,1,1)</f>
        <v>0.66220000000000001</v>
      </c>
      <c r="G156" s="70">
        <f ca="1">OFFSET(CMCPU!$J$4,0,$D156,1,1)</f>
        <v>0.63470000000000004</v>
      </c>
      <c r="H156" s="64">
        <v>13.11</v>
      </c>
    </row>
    <row r="157" spans="1:8">
      <c r="A157" s="61" t="s">
        <v>269</v>
      </c>
      <c r="B157" s="62">
        <f t="shared" si="4"/>
        <v>0.92361111111111116</v>
      </c>
      <c r="C157" s="63">
        <v>153</v>
      </c>
      <c r="D157" s="63">
        <f t="shared" si="5"/>
        <v>12</v>
      </c>
      <c r="E157" s="65">
        <v>0.71</v>
      </c>
      <c r="F157" s="70">
        <f ca="1">OFFSET(CMCPU!$J$3,0,$D157,1,1)</f>
        <v>0.66220000000000001</v>
      </c>
      <c r="G157" s="70">
        <f ca="1">OFFSET(CMCPU!$J$4,0,$D157,1,1)</f>
        <v>0.63470000000000004</v>
      </c>
      <c r="H157" s="64">
        <v>11.23</v>
      </c>
    </row>
    <row r="158" spans="1:8">
      <c r="A158" s="61" t="s">
        <v>270</v>
      </c>
      <c r="B158" s="62">
        <f t="shared" si="4"/>
        <v>0.92708333333333337</v>
      </c>
      <c r="C158" s="63">
        <v>154</v>
      </c>
      <c r="D158" s="63">
        <f t="shared" si="5"/>
        <v>12</v>
      </c>
      <c r="E158" s="65">
        <v>0.71</v>
      </c>
      <c r="F158" s="70">
        <f ca="1">OFFSET(CMCPU!$J$3,0,$D158,1,1)</f>
        <v>0.66220000000000001</v>
      </c>
      <c r="G158" s="70">
        <f ca="1">OFFSET(CMCPU!$J$4,0,$D158,1,1)</f>
        <v>0.63470000000000004</v>
      </c>
      <c r="H158" s="64">
        <v>10.91</v>
      </c>
    </row>
    <row r="159" spans="1:8">
      <c r="A159" s="61" t="s">
        <v>271</v>
      </c>
      <c r="B159" s="62">
        <f t="shared" si="4"/>
        <v>0.93055555555555547</v>
      </c>
      <c r="C159" s="63">
        <v>155</v>
      </c>
      <c r="D159" s="63">
        <f t="shared" si="5"/>
        <v>12</v>
      </c>
      <c r="E159" s="65">
        <v>0.71</v>
      </c>
      <c r="F159" s="70">
        <f ca="1">OFFSET(CMCPU!$J$3,0,$D159,1,1)</f>
        <v>0.66220000000000001</v>
      </c>
      <c r="G159" s="70">
        <f ca="1">OFFSET(CMCPU!$J$4,0,$D159,1,1)</f>
        <v>0.63470000000000004</v>
      </c>
      <c r="H159" s="64">
        <v>9.9499999999999993</v>
      </c>
    </row>
    <row r="160" spans="1:8">
      <c r="A160" s="61" t="s">
        <v>272</v>
      </c>
      <c r="B160" s="62">
        <f t="shared" si="4"/>
        <v>0.93402777777777779</v>
      </c>
      <c r="C160" s="63">
        <v>156</v>
      </c>
      <c r="D160" s="63">
        <f t="shared" si="5"/>
        <v>12</v>
      </c>
      <c r="E160" s="65">
        <v>0.71</v>
      </c>
      <c r="F160" s="70">
        <f ca="1">OFFSET(CMCPU!$J$3,0,$D160,1,1)</f>
        <v>0.66220000000000001</v>
      </c>
      <c r="G160" s="70">
        <f ca="1">OFFSET(CMCPU!$J$4,0,$D160,1,1)</f>
        <v>0.63470000000000004</v>
      </c>
      <c r="H160" s="64">
        <v>10.52</v>
      </c>
    </row>
    <row r="161" spans="1:8">
      <c r="A161" s="61" t="s">
        <v>273</v>
      </c>
      <c r="B161" s="62">
        <f t="shared" si="4"/>
        <v>0.9375</v>
      </c>
      <c r="C161" s="63">
        <v>157</v>
      </c>
      <c r="D161" s="63">
        <f t="shared" si="5"/>
        <v>13</v>
      </c>
      <c r="E161" s="65">
        <v>0.71</v>
      </c>
      <c r="F161" s="70">
        <f ca="1">OFFSET(CMCPU!$J$3,0,$D161,1,1)</f>
        <v>0.60360000000000003</v>
      </c>
      <c r="G161" s="70">
        <f ca="1">OFFSET(CMCPU!$J$4,0,$D161,1,1)</f>
        <v>0.59379999999999999</v>
      </c>
      <c r="H161" s="64">
        <v>12.35</v>
      </c>
    </row>
    <row r="162" spans="1:8">
      <c r="A162" s="61" t="s">
        <v>274</v>
      </c>
      <c r="B162" s="62">
        <f t="shared" si="4"/>
        <v>0.94097222222222221</v>
      </c>
      <c r="C162" s="63">
        <v>158</v>
      </c>
      <c r="D162" s="63">
        <f t="shared" si="5"/>
        <v>13</v>
      </c>
      <c r="E162" s="65">
        <v>0.71</v>
      </c>
      <c r="F162" s="70">
        <f ca="1">OFFSET(CMCPU!$J$3,0,$D162,1,1)</f>
        <v>0.60360000000000003</v>
      </c>
      <c r="G162" s="70">
        <f ca="1">OFFSET(CMCPU!$J$4,0,$D162,1,1)</f>
        <v>0.59379999999999999</v>
      </c>
      <c r="H162" s="64">
        <v>11.17</v>
      </c>
    </row>
    <row r="163" spans="1:8">
      <c r="A163" s="61" t="s">
        <v>275</v>
      </c>
      <c r="B163" s="62">
        <f t="shared" si="4"/>
        <v>0.94444444444444453</v>
      </c>
      <c r="C163" s="63">
        <v>159</v>
      </c>
      <c r="D163" s="63">
        <f t="shared" si="5"/>
        <v>13</v>
      </c>
      <c r="E163" s="65">
        <v>0.71</v>
      </c>
      <c r="F163" s="70">
        <f ca="1">OFFSET(CMCPU!$J$3,0,$D163,1,1)</f>
        <v>0.60360000000000003</v>
      </c>
      <c r="G163" s="70">
        <f ca="1">OFFSET(CMCPU!$J$4,0,$D163,1,1)</f>
        <v>0.59379999999999999</v>
      </c>
      <c r="H163" s="64">
        <v>10.19</v>
      </c>
    </row>
    <row r="164" spans="1:8">
      <c r="A164" s="61" t="s">
        <v>276</v>
      </c>
      <c r="B164" s="62">
        <f t="shared" si="4"/>
        <v>0.94791666666666663</v>
      </c>
      <c r="C164" s="63">
        <v>160</v>
      </c>
      <c r="D164" s="63">
        <f t="shared" si="5"/>
        <v>13</v>
      </c>
      <c r="E164" s="65">
        <v>0.71</v>
      </c>
      <c r="F164" s="70">
        <f ca="1">OFFSET(CMCPU!$J$3,0,$D164,1,1)</f>
        <v>0.60360000000000003</v>
      </c>
      <c r="G164" s="70">
        <f ca="1">OFFSET(CMCPU!$J$4,0,$D164,1,1)</f>
        <v>0.59379999999999999</v>
      </c>
      <c r="H164" s="64">
        <v>10.61</v>
      </c>
    </row>
    <row r="165" spans="1:8">
      <c r="A165" s="61" t="s">
        <v>277</v>
      </c>
      <c r="B165" s="62">
        <f t="shared" si="4"/>
        <v>0.95138888888888884</v>
      </c>
      <c r="C165" s="63">
        <v>161</v>
      </c>
      <c r="D165" s="63">
        <f t="shared" si="5"/>
        <v>13</v>
      </c>
      <c r="E165" s="65">
        <v>0.71</v>
      </c>
      <c r="F165" s="70">
        <f ca="1">OFFSET(CMCPU!$J$3,0,$D165,1,1)</f>
        <v>0.60360000000000003</v>
      </c>
      <c r="G165" s="70">
        <f ca="1">OFFSET(CMCPU!$J$4,0,$D165,1,1)</f>
        <v>0.59379999999999999</v>
      </c>
      <c r="H165" s="64">
        <v>9.6199999999999992</v>
      </c>
    </row>
    <row r="166" spans="1:8">
      <c r="A166" s="61" t="s">
        <v>278</v>
      </c>
      <c r="B166" s="62">
        <f t="shared" si="4"/>
        <v>0.95486111111111116</v>
      </c>
      <c r="C166" s="63">
        <v>162</v>
      </c>
      <c r="D166" s="63">
        <f t="shared" si="5"/>
        <v>13</v>
      </c>
      <c r="E166" s="65">
        <v>0.71</v>
      </c>
      <c r="F166" s="70">
        <f ca="1">OFFSET(CMCPU!$J$3,0,$D166,1,1)</f>
        <v>0.60360000000000003</v>
      </c>
      <c r="G166" s="70">
        <f ca="1">OFFSET(CMCPU!$J$4,0,$D166,1,1)</f>
        <v>0.59379999999999999</v>
      </c>
      <c r="H166" s="64">
        <v>10.16</v>
      </c>
    </row>
    <row r="167" spans="1:8">
      <c r="A167" s="61" t="s">
        <v>279</v>
      </c>
      <c r="B167" s="62">
        <f t="shared" si="4"/>
        <v>0.95833333333333337</v>
      </c>
      <c r="C167" s="63">
        <v>163</v>
      </c>
      <c r="D167" s="63">
        <f t="shared" si="5"/>
        <v>13</v>
      </c>
      <c r="E167" s="65">
        <v>0.71</v>
      </c>
      <c r="F167" s="70">
        <f ca="1">OFFSET(CMCPU!$J$3,0,$D167,1,1)</f>
        <v>0.60360000000000003</v>
      </c>
      <c r="G167" s="70">
        <f ca="1">OFFSET(CMCPU!$J$4,0,$D167,1,1)</f>
        <v>0.59379999999999999</v>
      </c>
      <c r="H167" s="64">
        <v>10.51</v>
      </c>
    </row>
    <row r="168" spans="1:8">
      <c r="A168" s="61" t="s">
        <v>280</v>
      </c>
      <c r="B168" s="62">
        <f t="shared" si="4"/>
        <v>0.96180555555555547</v>
      </c>
      <c r="C168" s="63">
        <v>164</v>
      </c>
      <c r="D168" s="63">
        <f t="shared" si="5"/>
        <v>13</v>
      </c>
      <c r="E168" s="65">
        <v>0.71</v>
      </c>
      <c r="F168" s="70">
        <f ca="1">OFFSET(CMCPU!$J$3,0,$D168,1,1)</f>
        <v>0.60360000000000003</v>
      </c>
      <c r="G168" s="70">
        <f ca="1">OFFSET(CMCPU!$J$4,0,$D168,1,1)</f>
        <v>0.59379999999999999</v>
      </c>
      <c r="H168" s="64">
        <v>10.89</v>
      </c>
    </row>
    <row r="169" spans="1:8">
      <c r="A169" s="61" t="s">
        <v>281</v>
      </c>
      <c r="B169" s="62">
        <f t="shared" si="4"/>
        <v>0.96527777777777779</v>
      </c>
      <c r="C169" s="63">
        <v>165</v>
      </c>
      <c r="D169" s="63">
        <f t="shared" si="5"/>
        <v>13</v>
      </c>
      <c r="E169" s="65">
        <v>0.71</v>
      </c>
      <c r="F169" s="70">
        <f ca="1">OFFSET(CMCPU!$J$3,0,$D169,1,1)</f>
        <v>0.60360000000000003</v>
      </c>
      <c r="G169" s="70">
        <f ca="1">OFFSET(CMCPU!$J$4,0,$D169,1,1)</f>
        <v>0.59379999999999999</v>
      </c>
      <c r="H169" s="64">
        <v>9.93</v>
      </c>
    </row>
    <row r="170" spans="1:8">
      <c r="A170" s="61" t="s">
        <v>282</v>
      </c>
      <c r="B170" s="62">
        <f t="shared" si="4"/>
        <v>0.96875</v>
      </c>
      <c r="C170" s="63">
        <v>166</v>
      </c>
      <c r="D170" s="63">
        <f t="shared" si="5"/>
        <v>13</v>
      </c>
      <c r="E170" s="65">
        <v>0.71</v>
      </c>
      <c r="F170" s="70">
        <f ca="1">OFFSET(CMCPU!$J$3,0,$D170,1,1)</f>
        <v>0.60360000000000003</v>
      </c>
      <c r="G170" s="70">
        <f ca="1">OFFSET(CMCPU!$J$4,0,$D170,1,1)</f>
        <v>0.59379999999999999</v>
      </c>
      <c r="H170" s="64">
        <v>10.18</v>
      </c>
    </row>
    <row r="171" spans="1:8">
      <c r="A171" s="61" t="s">
        <v>283</v>
      </c>
      <c r="B171" s="62">
        <f t="shared" si="4"/>
        <v>0.97222222222222221</v>
      </c>
      <c r="C171" s="63">
        <v>167</v>
      </c>
      <c r="D171" s="63">
        <f t="shared" si="5"/>
        <v>13</v>
      </c>
      <c r="E171" s="65">
        <v>0.71</v>
      </c>
      <c r="F171" s="70">
        <f ca="1">OFFSET(CMCPU!$J$3,0,$D171,1,1)</f>
        <v>0.60360000000000003</v>
      </c>
      <c r="G171" s="70">
        <f ca="1">OFFSET(CMCPU!$J$4,0,$D171,1,1)</f>
        <v>0.59379999999999999</v>
      </c>
      <c r="H171" s="64">
        <v>10.16</v>
      </c>
    </row>
    <row r="172" spans="1:8">
      <c r="A172" s="61" t="s">
        <v>284</v>
      </c>
      <c r="B172" s="62">
        <f t="shared" si="4"/>
        <v>0.97569444444444453</v>
      </c>
      <c r="C172" s="63">
        <v>168</v>
      </c>
      <c r="D172" s="63">
        <f t="shared" si="5"/>
        <v>13</v>
      </c>
      <c r="E172" s="65">
        <v>0.71</v>
      </c>
      <c r="F172" s="70">
        <f ca="1">OFFSET(CMCPU!$J$3,0,$D172,1,1)</f>
        <v>0.60360000000000003</v>
      </c>
      <c r="G172" s="70">
        <f ca="1">OFFSET(CMCPU!$J$4,0,$D172,1,1)</f>
        <v>0.59379999999999999</v>
      </c>
      <c r="H172" s="64">
        <v>9.26</v>
      </c>
    </row>
    <row r="173" spans="1:8">
      <c r="A173" s="61" t="s">
        <v>285</v>
      </c>
      <c r="B173" s="62">
        <f t="shared" si="4"/>
        <v>0.97917824074074078</v>
      </c>
      <c r="C173" s="63">
        <v>169</v>
      </c>
      <c r="D173" s="63">
        <f t="shared" si="5"/>
        <v>14</v>
      </c>
      <c r="E173" s="65">
        <v>0.71</v>
      </c>
      <c r="F173" s="70">
        <f ca="1">OFFSET(CMCPU!$J$3,0,$D173,1,1)</f>
        <v>0.67249999999999999</v>
      </c>
      <c r="G173" s="70">
        <f ca="1">OFFSET(CMCPU!$J$4,0,$D173,1,1)</f>
        <v>0.47120000000000001</v>
      </c>
      <c r="H173" s="64">
        <v>11.08</v>
      </c>
    </row>
    <row r="174" spans="1:8">
      <c r="A174" s="61" t="s">
        <v>286</v>
      </c>
      <c r="B174" s="62">
        <f t="shared" si="4"/>
        <v>0.98263888888888884</v>
      </c>
      <c r="C174" s="63">
        <v>170</v>
      </c>
      <c r="D174" s="63">
        <f t="shared" si="5"/>
        <v>14</v>
      </c>
      <c r="E174" s="65">
        <v>0.71</v>
      </c>
      <c r="F174" s="70">
        <f ca="1">OFFSET(CMCPU!$J$3,0,$D174,1,1)</f>
        <v>0.67249999999999999</v>
      </c>
      <c r="G174" s="70">
        <f ca="1">OFFSET(CMCPU!$J$4,0,$D174,1,1)</f>
        <v>0.47120000000000001</v>
      </c>
      <c r="H174" s="64">
        <v>10.24</v>
      </c>
    </row>
    <row r="175" spans="1:8">
      <c r="A175" s="61" t="s">
        <v>287</v>
      </c>
      <c r="B175" s="62">
        <f t="shared" si="4"/>
        <v>0.98611111111111116</v>
      </c>
      <c r="C175" s="63">
        <v>171</v>
      </c>
      <c r="D175" s="63">
        <f t="shared" si="5"/>
        <v>14</v>
      </c>
      <c r="E175" s="65">
        <v>0.71</v>
      </c>
      <c r="F175" s="70">
        <f ca="1">OFFSET(CMCPU!$J$3,0,$D175,1,1)</f>
        <v>0.67249999999999999</v>
      </c>
      <c r="G175" s="70">
        <f ca="1">OFFSET(CMCPU!$J$4,0,$D175,1,1)</f>
        <v>0.47120000000000001</v>
      </c>
      <c r="H175" s="64">
        <v>8.9600000000000009</v>
      </c>
    </row>
    <row r="176" spans="1:8">
      <c r="A176" s="61" t="s">
        <v>288</v>
      </c>
      <c r="B176" s="62">
        <f t="shared" si="4"/>
        <v>0.98958333333333337</v>
      </c>
      <c r="C176" s="63">
        <v>172</v>
      </c>
      <c r="D176" s="63">
        <f t="shared" si="5"/>
        <v>14</v>
      </c>
      <c r="E176" s="65">
        <v>0.71</v>
      </c>
      <c r="F176" s="70">
        <f ca="1">OFFSET(CMCPU!$J$3,0,$D176,1,1)</f>
        <v>0.67249999999999999</v>
      </c>
      <c r="G176" s="70">
        <f ca="1">OFFSET(CMCPU!$J$4,0,$D176,1,1)</f>
        <v>0.47120000000000001</v>
      </c>
      <c r="H176" s="64">
        <v>8.6199999999999992</v>
      </c>
    </row>
    <row r="177" spans="1:8">
      <c r="A177" s="61" t="s">
        <v>289</v>
      </c>
      <c r="B177" s="62">
        <f t="shared" si="4"/>
        <v>0.99305555555555547</v>
      </c>
      <c r="C177" s="63">
        <v>173</v>
      </c>
      <c r="D177" s="63">
        <f t="shared" si="5"/>
        <v>14</v>
      </c>
      <c r="E177" s="65">
        <v>0.71</v>
      </c>
      <c r="F177" s="70">
        <f ca="1">OFFSET(CMCPU!$J$3,0,$D177,1,1)</f>
        <v>0.67249999999999999</v>
      </c>
      <c r="G177" s="70">
        <f ca="1">OFFSET(CMCPU!$J$4,0,$D177,1,1)</f>
        <v>0.47120000000000001</v>
      </c>
      <c r="H177" s="64">
        <v>11.57</v>
      </c>
    </row>
    <row r="178" spans="1:8">
      <c r="A178" s="61" t="s">
        <v>290</v>
      </c>
      <c r="B178" s="62">
        <f t="shared" si="4"/>
        <v>0.99652777777777779</v>
      </c>
      <c r="C178" s="63">
        <v>174</v>
      </c>
      <c r="D178" s="63">
        <f t="shared" si="5"/>
        <v>14</v>
      </c>
      <c r="E178" s="65">
        <v>0.71</v>
      </c>
      <c r="F178" s="70">
        <f ca="1">OFFSET(CMCPU!$J$3,0,$D178,1,1)</f>
        <v>0.67249999999999999</v>
      </c>
      <c r="G178" s="70">
        <f ca="1">OFFSET(CMCPU!$J$4,0,$D178,1,1)</f>
        <v>0.47120000000000001</v>
      </c>
      <c r="H178" s="64">
        <v>15.48</v>
      </c>
    </row>
    <row r="179" spans="1:8">
      <c r="A179" s="61" t="s">
        <v>291</v>
      </c>
      <c r="B179" s="62">
        <f t="shared" si="4"/>
        <v>0</v>
      </c>
      <c r="C179" s="63">
        <v>175</v>
      </c>
      <c r="D179" s="63">
        <f t="shared" si="5"/>
        <v>14</v>
      </c>
      <c r="E179" s="65">
        <v>0.71</v>
      </c>
      <c r="F179" s="70">
        <f ca="1">OFFSET(CMCPU!$J$3,0,$D179,1,1)</f>
        <v>0.67249999999999999</v>
      </c>
      <c r="G179" s="70">
        <f ca="1">OFFSET(CMCPU!$J$4,0,$D179,1,1)</f>
        <v>0.47120000000000001</v>
      </c>
      <c r="H179" s="64">
        <v>12.7</v>
      </c>
    </row>
    <row r="180" spans="1:8">
      <c r="A180" s="61" t="s">
        <v>292</v>
      </c>
      <c r="B180" s="62">
        <f t="shared" si="4"/>
        <v>3.472222222222222E-3</v>
      </c>
      <c r="C180" s="63">
        <v>176</v>
      </c>
      <c r="D180" s="63">
        <f t="shared" si="5"/>
        <v>14</v>
      </c>
      <c r="E180" s="65">
        <v>0.71</v>
      </c>
      <c r="F180" s="70">
        <f ca="1">OFFSET(CMCPU!$J$3,0,$D180,1,1)</f>
        <v>0.67249999999999999</v>
      </c>
      <c r="G180" s="70">
        <f ca="1">OFFSET(CMCPU!$J$4,0,$D180,1,1)</f>
        <v>0.47120000000000001</v>
      </c>
      <c r="H180" s="64">
        <v>11.8</v>
      </c>
    </row>
    <row r="181" spans="1:8">
      <c r="A181" s="61" t="s">
        <v>293</v>
      </c>
      <c r="B181" s="62">
        <f t="shared" si="4"/>
        <v>6.9444444444444441E-3</v>
      </c>
      <c r="C181" s="63">
        <v>177</v>
      </c>
      <c r="D181" s="63">
        <f t="shared" si="5"/>
        <v>14</v>
      </c>
      <c r="E181" s="65">
        <v>0.71</v>
      </c>
      <c r="F181" s="70">
        <f ca="1">OFFSET(CMCPU!$J$3,0,$D181,1,1)</f>
        <v>0.67249999999999999</v>
      </c>
      <c r="G181" s="70">
        <f ca="1">OFFSET(CMCPU!$J$4,0,$D181,1,1)</f>
        <v>0.47120000000000001</v>
      </c>
      <c r="H181" s="64">
        <v>12.51</v>
      </c>
    </row>
    <row r="182" spans="1:8">
      <c r="A182" s="61" t="s">
        <v>294</v>
      </c>
      <c r="B182" s="62">
        <f t="shared" si="4"/>
        <v>1.0416666666666666E-2</v>
      </c>
      <c r="C182" s="63">
        <v>178</v>
      </c>
      <c r="D182" s="63">
        <f t="shared" si="5"/>
        <v>14</v>
      </c>
      <c r="E182" s="65">
        <v>0.71</v>
      </c>
      <c r="F182" s="70">
        <f ca="1">OFFSET(CMCPU!$J$3,0,$D182,1,1)</f>
        <v>0.67249999999999999</v>
      </c>
      <c r="G182" s="70">
        <f ca="1">OFFSET(CMCPU!$J$4,0,$D182,1,1)</f>
        <v>0.47120000000000001</v>
      </c>
      <c r="H182" s="64">
        <v>11.93</v>
      </c>
    </row>
    <row r="183" spans="1:8">
      <c r="A183" s="61" t="s">
        <v>295</v>
      </c>
      <c r="B183" s="62">
        <f t="shared" si="4"/>
        <v>1.3888888888888888E-2</v>
      </c>
      <c r="C183" s="63">
        <v>179</v>
      </c>
      <c r="D183" s="63">
        <f t="shared" si="5"/>
        <v>14</v>
      </c>
      <c r="E183" s="65">
        <v>0.71</v>
      </c>
      <c r="F183" s="70">
        <f ca="1">OFFSET(CMCPU!$J$3,0,$D183,1,1)</f>
        <v>0.67249999999999999</v>
      </c>
      <c r="G183" s="70">
        <f ca="1">OFFSET(CMCPU!$J$4,0,$D183,1,1)</f>
        <v>0.47120000000000001</v>
      </c>
      <c r="H183" s="64">
        <v>11.03</v>
      </c>
    </row>
    <row r="184" spans="1:8">
      <c r="A184" s="61" t="s">
        <v>296</v>
      </c>
      <c r="B184" s="62">
        <f t="shared" si="4"/>
        <v>1.7361111111111112E-2</v>
      </c>
      <c r="C184" s="63">
        <v>180</v>
      </c>
      <c r="D184" s="63">
        <f t="shared" si="5"/>
        <v>14</v>
      </c>
      <c r="E184" s="65">
        <v>0.71</v>
      </c>
      <c r="F184" s="70">
        <f ca="1">OFFSET(CMCPU!$J$3,0,$D184,1,1)</f>
        <v>0.67249999999999999</v>
      </c>
      <c r="G184" s="70">
        <f ca="1">OFFSET(CMCPU!$J$4,0,$D184,1,1)</f>
        <v>0.47120000000000001</v>
      </c>
      <c r="H184" s="64">
        <v>12.45</v>
      </c>
    </row>
    <row r="185" spans="1:8">
      <c r="A185" s="61" t="s">
        <v>297</v>
      </c>
      <c r="B185" s="62">
        <f t="shared" si="4"/>
        <v>2.0833333333333332E-2</v>
      </c>
      <c r="C185" s="63">
        <v>181</v>
      </c>
      <c r="D185" s="63">
        <f t="shared" si="5"/>
        <v>15</v>
      </c>
      <c r="E185" s="65">
        <v>0.71</v>
      </c>
      <c r="F185" s="70">
        <f ca="1">OFFSET(CMCPU!$J$3,0,$D185,1,1)</f>
        <v>0.6714</v>
      </c>
      <c r="G185" s="70">
        <f ca="1">OFFSET(CMCPU!$J$4,0,$D185,1,1)</f>
        <v>0.53800000000000003</v>
      </c>
      <c r="H185" s="64">
        <v>13.28</v>
      </c>
    </row>
    <row r="186" spans="1:8">
      <c r="A186" s="61" t="s">
        <v>298</v>
      </c>
      <c r="B186" s="62">
        <f t="shared" si="4"/>
        <v>2.4305555555555556E-2</v>
      </c>
      <c r="C186" s="63">
        <v>182</v>
      </c>
      <c r="D186" s="63">
        <f t="shared" si="5"/>
        <v>15</v>
      </c>
      <c r="E186" s="65">
        <v>0.71</v>
      </c>
      <c r="F186" s="70">
        <f ca="1">OFFSET(CMCPU!$J$3,0,$D186,1,1)</f>
        <v>0.6714</v>
      </c>
      <c r="G186" s="70">
        <f ca="1">OFFSET(CMCPU!$J$4,0,$D186,1,1)</f>
        <v>0.53800000000000003</v>
      </c>
      <c r="H186" s="64">
        <v>11.83</v>
      </c>
    </row>
    <row r="187" spans="1:8">
      <c r="A187" s="61" t="s">
        <v>299</v>
      </c>
      <c r="B187" s="62">
        <f t="shared" si="4"/>
        <v>2.7777777777777776E-2</v>
      </c>
      <c r="C187" s="63">
        <v>183</v>
      </c>
      <c r="D187" s="63">
        <f t="shared" si="5"/>
        <v>15</v>
      </c>
      <c r="E187" s="65">
        <v>0.71</v>
      </c>
      <c r="F187" s="70">
        <f ca="1">OFFSET(CMCPU!$J$3,0,$D187,1,1)</f>
        <v>0.6714</v>
      </c>
      <c r="G187" s="70">
        <f ca="1">OFFSET(CMCPU!$J$4,0,$D187,1,1)</f>
        <v>0.53800000000000003</v>
      </c>
      <c r="H187" s="64">
        <v>12.51</v>
      </c>
    </row>
    <row r="188" spans="1:8">
      <c r="A188" s="61" t="s">
        <v>300</v>
      </c>
      <c r="B188" s="62">
        <f t="shared" si="4"/>
        <v>3.125E-2</v>
      </c>
      <c r="C188" s="63">
        <v>184</v>
      </c>
      <c r="D188" s="63">
        <f t="shared" si="5"/>
        <v>15</v>
      </c>
      <c r="E188" s="65">
        <v>0.71</v>
      </c>
      <c r="F188" s="70">
        <f ca="1">OFFSET(CMCPU!$J$3,0,$D188,1,1)</f>
        <v>0.6714</v>
      </c>
      <c r="G188" s="70">
        <f ca="1">OFFSET(CMCPU!$J$4,0,$D188,1,1)</f>
        <v>0.53800000000000003</v>
      </c>
      <c r="H188" s="64">
        <v>11.19</v>
      </c>
    </row>
    <row r="189" spans="1:8">
      <c r="A189" s="61" t="s">
        <v>301</v>
      </c>
      <c r="B189" s="62">
        <f t="shared" si="4"/>
        <v>3.4722222222222224E-2</v>
      </c>
      <c r="C189" s="63">
        <v>185</v>
      </c>
      <c r="D189" s="63">
        <f t="shared" si="5"/>
        <v>15</v>
      </c>
      <c r="E189" s="65">
        <v>0.71</v>
      </c>
      <c r="F189" s="70">
        <f ca="1">OFFSET(CMCPU!$J$3,0,$D189,1,1)</f>
        <v>0.6714</v>
      </c>
      <c r="G189" s="70">
        <f ca="1">OFFSET(CMCPU!$J$4,0,$D189,1,1)</f>
        <v>0.53800000000000003</v>
      </c>
      <c r="H189" s="64">
        <v>11.12</v>
      </c>
    </row>
    <row r="190" spans="1:8">
      <c r="A190" s="61" t="s">
        <v>302</v>
      </c>
      <c r="B190" s="62">
        <f t="shared" si="4"/>
        <v>3.8194444444444441E-2</v>
      </c>
      <c r="C190" s="63">
        <v>186</v>
      </c>
      <c r="D190" s="63">
        <f t="shared" si="5"/>
        <v>15</v>
      </c>
      <c r="E190" s="65">
        <v>0.71</v>
      </c>
      <c r="F190" s="70">
        <f ca="1">OFFSET(CMCPU!$J$3,0,$D190,1,1)</f>
        <v>0.6714</v>
      </c>
      <c r="G190" s="70">
        <f ca="1">OFFSET(CMCPU!$J$4,0,$D190,1,1)</f>
        <v>0.53800000000000003</v>
      </c>
      <c r="H190" s="64">
        <v>12</v>
      </c>
    </row>
    <row r="191" spans="1:8">
      <c r="A191" s="61" t="s">
        <v>303</v>
      </c>
      <c r="B191" s="62">
        <f t="shared" si="4"/>
        <v>4.1666666666666664E-2</v>
      </c>
      <c r="C191" s="63">
        <v>187</v>
      </c>
      <c r="D191" s="63">
        <f t="shared" si="5"/>
        <v>15</v>
      </c>
      <c r="E191" s="65">
        <v>0.71</v>
      </c>
      <c r="F191" s="70">
        <f ca="1">OFFSET(CMCPU!$J$3,0,$D191,1,1)</f>
        <v>0.6714</v>
      </c>
      <c r="G191" s="70">
        <f ca="1">OFFSET(CMCPU!$J$4,0,$D191,1,1)</f>
        <v>0.53800000000000003</v>
      </c>
      <c r="H191" s="64">
        <v>11.54</v>
      </c>
    </row>
    <row r="192" spans="1:8">
      <c r="A192" s="61" t="s">
        <v>304</v>
      </c>
      <c r="B192" s="62">
        <f t="shared" si="4"/>
        <v>4.5138888888888888E-2</v>
      </c>
      <c r="C192" s="63">
        <v>188</v>
      </c>
      <c r="D192" s="63">
        <f t="shared" si="5"/>
        <v>15</v>
      </c>
      <c r="E192" s="65">
        <v>0.71</v>
      </c>
      <c r="F192" s="70">
        <f ca="1">OFFSET(CMCPU!$J$3,0,$D192,1,1)</f>
        <v>0.6714</v>
      </c>
      <c r="G192" s="70">
        <f ca="1">OFFSET(CMCPU!$J$4,0,$D192,1,1)</f>
        <v>0.53800000000000003</v>
      </c>
      <c r="H192" s="64">
        <v>12.52</v>
      </c>
    </row>
    <row r="193" spans="1:8">
      <c r="A193" s="61" t="s">
        <v>305</v>
      </c>
      <c r="B193" s="62">
        <f t="shared" si="4"/>
        <v>4.8611111111111112E-2</v>
      </c>
      <c r="C193" s="63">
        <v>189</v>
      </c>
      <c r="D193" s="63">
        <f t="shared" si="5"/>
        <v>15</v>
      </c>
      <c r="E193" s="65">
        <v>0.71</v>
      </c>
      <c r="F193" s="70">
        <f ca="1">OFFSET(CMCPU!$J$3,0,$D193,1,1)</f>
        <v>0.6714</v>
      </c>
      <c r="G193" s="70">
        <f ca="1">OFFSET(CMCPU!$J$4,0,$D193,1,1)</f>
        <v>0.53800000000000003</v>
      </c>
      <c r="H193" s="64">
        <v>12.01</v>
      </c>
    </row>
    <row r="194" spans="1:8">
      <c r="A194" s="61" t="s">
        <v>306</v>
      </c>
      <c r="B194" s="62">
        <f t="shared" si="4"/>
        <v>5.2083333333333336E-2</v>
      </c>
      <c r="C194" s="63">
        <v>190</v>
      </c>
      <c r="D194" s="63">
        <f t="shared" si="5"/>
        <v>15</v>
      </c>
      <c r="E194" s="65">
        <v>0.71</v>
      </c>
      <c r="F194" s="70">
        <f ca="1">OFFSET(CMCPU!$J$3,0,$D194,1,1)</f>
        <v>0.6714</v>
      </c>
      <c r="G194" s="70">
        <f ca="1">OFFSET(CMCPU!$J$4,0,$D194,1,1)</f>
        <v>0.53800000000000003</v>
      </c>
      <c r="H194" s="64">
        <v>12.09</v>
      </c>
    </row>
    <row r="195" spans="1:8">
      <c r="A195" s="61" t="s">
        <v>307</v>
      </c>
      <c r="B195" s="62">
        <f t="shared" si="4"/>
        <v>5.5555555555555552E-2</v>
      </c>
      <c r="C195" s="63">
        <v>191</v>
      </c>
      <c r="D195" s="63">
        <f t="shared" si="5"/>
        <v>15</v>
      </c>
      <c r="E195" s="65">
        <v>0.71</v>
      </c>
      <c r="F195" s="70">
        <f ca="1">OFFSET(CMCPU!$J$3,0,$D195,1,1)</f>
        <v>0.6714</v>
      </c>
      <c r="G195" s="70">
        <f ca="1">OFFSET(CMCPU!$J$4,0,$D195,1,1)</f>
        <v>0.53800000000000003</v>
      </c>
      <c r="H195" s="64">
        <v>12.51</v>
      </c>
    </row>
    <row r="196" spans="1:8">
      <c r="A196" s="61" t="s">
        <v>308</v>
      </c>
      <c r="B196" s="62">
        <f t="shared" si="4"/>
        <v>5.9027777777777783E-2</v>
      </c>
      <c r="C196" s="63">
        <v>192</v>
      </c>
      <c r="D196" s="63">
        <f t="shared" si="5"/>
        <v>15</v>
      </c>
      <c r="E196" s="65">
        <v>0.71</v>
      </c>
      <c r="F196" s="70">
        <f ca="1">OFFSET(CMCPU!$J$3,0,$D196,1,1)</f>
        <v>0.6714</v>
      </c>
      <c r="G196" s="70">
        <f ca="1">OFFSET(CMCPU!$J$4,0,$D196,1,1)</f>
        <v>0.53800000000000003</v>
      </c>
      <c r="H196" s="64">
        <v>14.01</v>
      </c>
    </row>
    <row r="197" spans="1:8">
      <c r="A197" s="61" t="s">
        <v>309</v>
      </c>
      <c r="B197" s="62">
        <f t="shared" ref="B197:B260" si="6">TIMEVALUE(MID(A197,11,8))</f>
        <v>6.25E-2</v>
      </c>
      <c r="C197" s="63">
        <v>193</v>
      </c>
      <c r="D197" s="63">
        <f t="shared" ref="D197:D260" si="7">TRUNC((C197-1)/12)</f>
        <v>16</v>
      </c>
      <c r="E197" s="65">
        <v>0.71</v>
      </c>
      <c r="F197" s="70">
        <f ca="1">OFFSET(CMCPU!$J$3,0,$D197,1,1)</f>
        <v>0.67069999999999996</v>
      </c>
      <c r="G197" s="70">
        <f ca="1">OFFSET(CMCPU!$J$4,0,$D197,1,1)</f>
        <v>0.58320000000000005</v>
      </c>
      <c r="H197" s="64">
        <v>14.5</v>
      </c>
    </row>
    <row r="198" spans="1:8">
      <c r="A198" s="61" t="s">
        <v>310</v>
      </c>
      <c r="B198" s="62">
        <f t="shared" si="6"/>
        <v>6.5972222222222224E-2</v>
      </c>
      <c r="C198" s="63">
        <v>194</v>
      </c>
      <c r="D198" s="63">
        <f t="shared" si="7"/>
        <v>16</v>
      </c>
      <c r="E198" s="65">
        <v>0.71</v>
      </c>
      <c r="F198" s="70">
        <f ca="1">OFFSET(CMCPU!$J$3,0,$D198,1,1)</f>
        <v>0.67069999999999996</v>
      </c>
      <c r="G198" s="70">
        <f ca="1">OFFSET(CMCPU!$J$4,0,$D198,1,1)</f>
        <v>0.58320000000000005</v>
      </c>
      <c r="H198" s="64">
        <v>12.76</v>
      </c>
    </row>
    <row r="199" spans="1:8">
      <c r="A199" s="61" t="s">
        <v>311</v>
      </c>
      <c r="B199" s="62">
        <f t="shared" si="6"/>
        <v>6.9444444444444434E-2</v>
      </c>
      <c r="C199" s="63">
        <v>195</v>
      </c>
      <c r="D199" s="63">
        <f t="shared" si="7"/>
        <v>16</v>
      </c>
      <c r="E199" s="65">
        <v>0.71</v>
      </c>
      <c r="F199" s="70">
        <f ca="1">OFFSET(CMCPU!$J$3,0,$D199,1,1)</f>
        <v>0.67069999999999996</v>
      </c>
      <c r="G199" s="70">
        <f ca="1">OFFSET(CMCPU!$J$4,0,$D199,1,1)</f>
        <v>0.58320000000000005</v>
      </c>
      <c r="H199" s="64">
        <v>14.26</v>
      </c>
    </row>
    <row r="200" spans="1:8">
      <c r="A200" s="61" t="s">
        <v>312</v>
      </c>
      <c r="B200" s="62">
        <f t="shared" si="6"/>
        <v>7.2916666666666671E-2</v>
      </c>
      <c r="C200" s="63">
        <v>196</v>
      </c>
      <c r="D200" s="63">
        <f t="shared" si="7"/>
        <v>16</v>
      </c>
      <c r="E200" s="65">
        <v>0.71</v>
      </c>
      <c r="F200" s="70">
        <f ca="1">OFFSET(CMCPU!$J$3,0,$D200,1,1)</f>
        <v>0.67069999999999996</v>
      </c>
      <c r="G200" s="70">
        <f ca="1">OFFSET(CMCPU!$J$4,0,$D200,1,1)</f>
        <v>0.58320000000000005</v>
      </c>
      <c r="H200" s="64">
        <v>13.2</v>
      </c>
    </row>
    <row r="201" spans="1:8">
      <c r="A201" s="61" t="s">
        <v>313</v>
      </c>
      <c r="B201" s="62">
        <f t="shared" si="6"/>
        <v>7.6388888888888895E-2</v>
      </c>
      <c r="C201" s="63">
        <v>197</v>
      </c>
      <c r="D201" s="63">
        <f t="shared" si="7"/>
        <v>16</v>
      </c>
      <c r="E201" s="65">
        <v>0.71</v>
      </c>
      <c r="F201" s="70">
        <f ca="1">OFFSET(CMCPU!$J$3,0,$D201,1,1)</f>
        <v>0.67069999999999996</v>
      </c>
      <c r="G201" s="70">
        <f ca="1">OFFSET(CMCPU!$J$4,0,$D201,1,1)</f>
        <v>0.58320000000000005</v>
      </c>
      <c r="H201" s="64">
        <v>12.34</v>
      </c>
    </row>
    <row r="202" spans="1:8">
      <c r="A202" s="61" t="s">
        <v>314</v>
      </c>
      <c r="B202" s="62">
        <f t="shared" si="6"/>
        <v>7.9861111111111105E-2</v>
      </c>
      <c r="C202" s="63">
        <v>198</v>
      </c>
      <c r="D202" s="63">
        <f t="shared" si="7"/>
        <v>16</v>
      </c>
      <c r="E202" s="65">
        <v>0.71</v>
      </c>
      <c r="F202" s="70">
        <f ca="1">OFFSET(CMCPU!$J$3,0,$D202,1,1)</f>
        <v>0.67069999999999996</v>
      </c>
      <c r="G202" s="70">
        <f ca="1">OFFSET(CMCPU!$J$4,0,$D202,1,1)</f>
        <v>0.58320000000000005</v>
      </c>
      <c r="H202" s="64">
        <v>13.93</v>
      </c>
    </row>
    <row r="203" spans="1:8">
      <c r="A203" s="61" t="s">
        <v>315</v>
      </c>
      <c r="B203" s="62">
        <f t="shared" si="6"/>
        <v>8.3333333333333329E-2</v>
      </c>
      <c r="C203" s="63">
        <v>199</v>
      </c>
      <c r="D203" s="63">
        <f t="shared" si="7"/>
        <v>16</v>
      </c>
      <c r="E203" s="65">
        <v>0.71</v>
      </c>
      <c r="F203" s="70">
        <f ca="1">OFFSET(CMCPU!$J$3,0,$D203,1,1)</f>
        <v>0.67069999999999996</v>
      </c>
      <c r="G203" s="70">
        <f ca="1">OFFSET(CMCPU!$J$4,0,$D203,1,1)</f>
        <v>0.58320000000000005</v>
      </c>
      <c r="H203" s="64">
        <v>12.4</v>
      </c>
    </row>
    <row r="204" spans="1:8">
      <c r="A204" s="61" t="s">
        <v>316</v>
      </c>
      <c r="B204" s="62">
        <f t="shared" si="6"/>
        <v>8.6805555555555566E-2</v>
      </c>
      <c r="C204" s="63">
        <v>200</v>
      </c>
      <c r="D204" s="63">
        <f t="shared" si="7"/>
        <v>16</v>
      </c>
      <c r="E204" s="65">
        <v>0.71</v>
      </c>
      <c r="F204" s="70">
        <f ca="1">OFFSET(CMCPU!$J$3,0,$D204,1,1)</f>
        <v>0.67069999999999996</v>
      </c>
      <c r="G204" s="70">
        <f ca="1">OFFSET(CMCPU!$J$4,0,$D204,1,1)</f>
        <v>0.58320000000000005</v>
      </c>
      <c r="H204" s="64">
        <v>14.12</v>
      </c>
    </row>
    <row r="205" spans="1:8">
      <c r="A205" s="61" t="s">
        <v>317</v>
      </c>
      <c r="B205" s="62">
        <f t="shared" si="6"/>
        <v>9.0277777777777776E-2</v>
      </c>
      <c r="C205" s="63">
        <v>201</v>
      </c>
      <c r="D205" s="63">
        <f t="shared" si="7"/>
        <v>16</v>
      </c>
      <c r="E205" s="65">
        <v>0.71</v>
      </c>
      <c r="F205" s="70">
        <f ca="1">OFFSET(CMCPU!$J$3,0,$D205,1,1)</f>
        <v>0.67069999999999996</v>
      </c>
      <c r="G205" s="70">
        <f ca="1">OFFSET(CMCPU!$J$4,0,$D205,1,1)</f>
        <v>0.58320000000000005</v>
      </c>
      <c r="H205" s="64">
        <v>12.82</v>
      </c>
    </row>
    <row r="206" spans="1:8">
      <c r="A206" s="61" t="s">
        <v>318</v>
      </c>
      <c r="B206" s="62">
        <f t="shared" si="6"/>
        <v>9.375E-2</v>
      </c>
      <c r="C206" s="63">
        <v>202</v>
      </c>
      <c r="D206" s="63">
        <f t="shared" si="7"/>
        <v>16</v>
      </c>
      <c r="E206" s="65">
        <v>0.71</v>
      </c>
      <c r="F206" s="70">
        <f ca="1">OFFSET(CMCPU!$J$3,0,$D206,1,1)</f>
        <v>0.67069999999999996</v>
      </c>
      <c r="G206" s="70">
        <f ca="1">OFFSET(CMCPU!$J$4,0,$D206,1,1)</f>
        <v>0.58320000000000005</v>
      </c>
      <c r="H206" s="64">
        <v>12.73</v>
      </c>
    </row>
    <row r="207" spans="1:8">
      <c r="A207" s="61" t="s">
        <v>319</v>
      </c>
      <c r="B207" s="62">
        <f t="shared" si="6"/>
        <v>9.7222222222222224E-2</v>
      </c>
      <c r="C207" s="63">
        <v>203</v>
      </c>
      <c r="D207" s="63">
        <f t="shared" si="7"/>
        <v>16</v>
      </c>
      <c r="E207" s="65">
        <v>0.71</v>
      </c>
      <c r="F207" s="70">
        <f ca="1">OFFSET(CMCPU!$J$3,0,$D207,1,1)</f>
        <v>0.67069999999999996</v>
      </c>
      <c r="G207" s="70">
        <f ca="1">OFFSET(CMCPU!$J$4,0,$D207,1,1)</f>
        <v>0.58320000000000005</v>
      </c>
      <c r="H207" s="64">
        <v>11.9</v>
      </c>
    </row>
    <row r="208" spans="1:8">
      <c r="A208" s="61" t="s">
        <v>320</v>
      </c>
      <c r="B208" s="62">
        <f t="shared" si="6"/>
        <v>0.10069444444444443</v>
      </c>
      <c r="C208" s="63">
        <v>204</v>
      </c>
      <c r="D208" s="63">
        <f t="shared" si="7"/>
        <v>16</v>
      </c>
      <c r="E208" s="65">
        <v>0.71</v>
      </c>
      <c r="F208" s="70">
        <f ca="1">OFFSET(CMCPU!$J$3,0,$D208,1,1)</f>
        <v>0.67069999999999996</v>
      </c>
      <c r="G208" s="70">
        <f ca="1">OFFSET(CMCPU!$J$4,0,$D208,1,1)</f>
        <v>0.58320000000000005</v>
      </c>
      <c r="H208" s="64">
        <v>12.2</v>
      </c>
    </row>
    <row r="209" spans="1:8">
      <c r="A209" s="61" t="s">
        <v>105</v>
      </c>
      <c r="B209" s="62">
        <f t="shared" si="6"/>
        <v>0.35416666666666669</v>
      </c>
      <c r="C209" s="63">
        <v>1</v>
      </c>
      <c r="D209" s="63">
        <f t="shared" si="7"/>
        <v>0</v>
      </c>
      <c r="E209" s="65">
        <v>1.2</v>
      </c>
      <c r="F209" s="57">
        <v>0.67900000000000005</v>
      </c>
      <c r="G209" s="57">
        <v>0.35880000000000001</v>
      </c>
      <c r="H209" s="64">
        <v>24.16</v>
      </c>
    </row>
    <row r="210" spans="1:8">
      <c r="A210" s="61" t="s">
        <v>106</v>
      </c>
      <c r="B210" s="62">
        <f t="shared" si="6"/>
        <v>0.3576388888888889</v>
      </c>
      <c r="C210" s="63">
        <v>2</v>
      </c>
      <c r="D210" s="63">
        <f t="shared" si="7"/>
        <v>0</v>
      </c>
      <c r="E210" s="65">
        <v>1.2</v>
      </c>
      <c r="F210" s="57">
        <v>0.67900000000000005</v>
      </c>
      <c r="G210" s="57">
        <v>0.35880000000000001</v>
      </c>
      <c r="H210" s="64">
        <v>6.75</v>
      </c>
    </row>
    <row r="211" spans="1:8">
      <c r="A211" s="61" t="s">
        <v>107</v>
      </c>
      <c r="B211" s="62">
        <f t="shared" si="6"/>
        <v>0.3611111111111111</v>
      </c>
      <c r="C211" s="63">
        <v>3</v>
      </c>
      <c r="D211" s="63">
        <f t="shared" si="7"/>
        <v>0</v>
      </c>
      <c r="E211" s="65">
        <v>1.2</v>
      </c>
      <c r="F211" s="57">
        <v>0.67900000000000005</v>
      </c>
      <c r="G211" s="57">
        <v>0.35880000000000001</v>
      </c>
      <c r="H211" s="64">
        <v>9.16</v>
      </c>
    </row>
    <row r="212" spans="1:8">
      <c r="A212" s="61" t="s">
        <v>108</v>
      </c>
      <c r="B212" s="62">
        <f t="shared" si="6"/>
        <v>0.36458333333333331</v>
      </c>
      <c r="C212" s="63">
        <v>4</v>
      </c>
      <c r="D212" s="63">
        <f t="shared" si="7"/>
        <v>0</v>
      </c>
      <c r="E212" s="65">
        <v>1.2</v>
      </c>
      <c r="F212" s="57">
        <v>0.67900000000000005</v>
      </c>
      <c r="G212" s="57">
        <v>0.35880000000000001</v>
      </c>
      <c r="H212" s="64">
        <v>12.3</v>
      </c>
    </row>
    <row r="213" spans="1:8">
      <c r="A213" s="61" t="s">
        <v>109</v>
      </c>
      <c r="B213" s="62">
        <f t="shared" si="6"/>
        <v>0.36805555555555558</v>
      </c>
      <c r="C213" s="63">
        <v>5</v>
      </c>
      <c r="D213" s="63">
        <f t="shared" si="7"/>
        <v>0</v>
      </c>
      <c r="E213" s="65">
        <v>1.2</v>
      </c>
      <c r="F213" s="57">
        <v>0.67900000000000005</v>
      </c>
      <c r="G213" s="57">
        <v>0.35880000000000001</v>
      </c>
      <c r="H213" s="64">
        <v>12.07</v>
      </c>
    </row>
    <row r="214" spans="1:8">
      <c r="A214" s="61" t="s">
        <v>110</v>
      </c>
      <c r="B214" s="62">
        <f t="shared" si="6"/>
        <v>0.37152777777777773</v>
      </c>
      <c r="C214" s="63">
        <v>6</v>
      </c>
      <c r="D214" s="63">
        <f t="shared" si="7"/>
        <v>0</v>
      </c>
      <c r="E214" s="65">
        <v>1.2</v>
      </c>
      <c r="F214" s="57">
        <v>0.67900000000000005</v>
      </c>
      <c r="G214" s="57">
        <v>0.35880000000000001</v>
      </c>
      <c r="H214" s="64">
        <v>12.55</v>
      </c>
    </row>
    <row r="215" spans="1:8">
      <c r="A215" s="61" t="s">
        <v>111</v>
      </c>
      <c r="B215" s="62">
        <f t="shared" si="6"/>
        <v>0.375</v>
      </c>
      <c r="C215" s="63">
        <v>7</v>
      </c>
      <c r="D215" s="63">
        <f t="shared" si="7"/>
        <v>0</v>
      </c>
      <c r="E215" s="65">
        <v>1.2</v>
      </c>
      <c r="F215" s="57">
        <v>0.67900000000000005</v>
      </c>
      <c r="G215" s="57">
        <v>0.35880000000000001</v>
      </c>
      <c r="H215" s="64">
        <v>13.54</v>
      </c>
    </row>
    <row r="216" spans="1:8">
      <c r="A216" s="61" t="s">
        <v>112</v>
      </c>
      <c r="B216" s="62">
        <f t="shared" si="6"/>
        <v>0.37847222222222227</v>
      </c>
      <c r="C216" s="63">
        <v>8</v>
      </c>
      <c r="D216" s="63">
        <f t="shared" si="7"/>
        <v>0</v>
      </c>
      <c r="E216" s="65">
        <v>1.2</v>
      </c>
      <c r="F216" s="57">
        <v>0.67900000000000005</v>
      </c>
      <c r="G216" s="57">
        <v>0.35880000000000001</v>
      </c>
      <c r="H216" s="64">
        <v>13.69</v>
      </c>
    </row>
    <row r="217" spans="1:8">
      <c r="A217" s="61" t="s">
        <v>113</v>
      </c>
      <c r="B217" s="62">
        <f t="shared" si="6"/>
        <v>0.38194444444444442</v>
      </c>
      <c r="C217" s="63">
        <v>9</v>
      </c>
      <c r="D217" s="63">
        <f t="shared" si="7"/>
        <v>0</v>
      </c>
      <c r="E217" s="65">
        <v>1.2</v>
      </c>
      <c r="F217" s="57">
        <v>0.67900000000000005</v>
      </c>
      <c r="G217" s="57">
        <v>0.35880000000000001</v>
      </c>
      <c r="H217" s="64">
        <v>12.92</v>
      </c>
    </row>
    <row r="218" spans="1:8">
      <c r="A218" s="61" t="s">
        <v>114</v>
      </c>
      <c r="B218" s="62">
        <f t="shared" si="6"/>
        <v>0.38541666666666669</v>
      </c>
      <c r="C218" s="63">
        <v>10</v>
      </c>
      <c r="D218" s="63">
        <f t="shared" si="7"/>
        <v>0</v>
      </c>
      <c r="E218" s="65">
        <v>1.2</v>
      </c>
      <c r="F218" s="57">
        <v>0.67900000000000005</v>
      </c>
      <c r="G218" s="57">
        <v>0.35880000000000001</v>
      </c>
      <c r="H218" s="64">
        <v>12.68</v>
      </c>
    </row>
    <row r="219" spans="1:8">
      <c r="A219" s="61" t="s">
        <v>115</v>
      </c>
      <c r="B219" s="62">
        <f t="shared" si="6"/>
        <v>0.3888888888888889</v>
      </c>
      <c r="C219" s="63">
        <v>11</v>
      </c>
      <c r="D219" s="63">
        <f t="shared" si="7"/>
        <v>0</v>
      </c>
      <c r="E219" s="65">
        <v>1.2</v>
      </c>
      <c r="F219" s="57">
        <v>0.67900000000000005</v>
      </c>
      <c r="G219" s="57">
        <v>0.35880000000000001</v>
      </c>
      <c r="H219" s="64">
        <v>13.03</v>
      </c>
    </row>
    <row r="220" spans="1:8">
      <c r="A220" s="66" t="s">
        <v>116</v>
      </c>
      <c r="B220" s="71">
        <f t="shared" si="6"/>
        <v>0.3923611111111111</v>
      </c>
      <c r="C220" s="72">
        <v>12</v>
      </c>
      <c r="D220" s="72">
        <f t="shared" si="7"/>
        <v>0</v>
      </c>
      <c r="E220" s="73">
        <v>1.2</v>
      </c>
      <c r="F220" s="74">
        <v>0.67900000000000005</v>
      </c>
      <c r="G220" s="74">
        <v>0.35880000000000001</v>
      </c>
      <c r="H220" s="67">
        <v>13.85</v>
      </c>
    </row>
    <row r="221" spans="1:8">
      <c r="A221" s="61" t="s">
        <v>57</v>
      </c>
      <c r="B221" s="62">
        <f t="shared" si="6"/>
        <v>0.1875</v>
      </c>
      <c r="C221" s="63">
        <v>1</v>
      </c>
      <c r="D221" s="63">
        <f t="shared" si="7"/>
        <v>0</v>
      </c>
      <c r="E221" s="65">
        <v>1</v>
      </c>
      <c r="F221" s="57">
        <v>0.65439999999999998</v>
      </c>
      <c r="G221" s="57">
        <v>0.56340000000000001</v>
      </c>
      <c r="H221" s="64">
        <v>13.62</v>
      </c>
    </row>
    <row r="222" spans="1:8">
      <c r="A222" s="61" t="s">
        <v>58</v>
      </c>
      <c r="B222" s="62">
        <f t="shared" si="6"/>
        <v>0.19097222222222221</v>
      </c>
      <c r="C222" s="63">
        <v>2</v>
      </c>
      <c r="D222" s="63">
        <f t="shared" si="7"/>
        <v>0</v>
      </c>
      <c r="E222" s="65">
        <v>1</v>
      </c>
      <c r="F222" s="57">
        <v>0.65439999999999998</v>
      </c>
      <c r="G222" s="57">
        <v>0.56340000000000001</v>
      </c>
      <c r="H222" s="64">
        <v>10.71</v>
      </c>
    </row>
    <row r="223" spans="1:8">
      <c r="A223" s="61" t="s">
        <v>59</v>
      </c>
      <c r="B223" s="62">
        <f t="shared" si="6"/>
        <v>0.19444444444444445</v>
      </c>
      <c r="C223" s="63">
        <v>3</v>
      </c>
      <c r="D223" s="63">
        <f t="shared" si="7"/>
        <v>0</v>
      </c>
      <c r="E223" s="65">
        <v>1</v>
      </c>
      <c r="F223" s="57">
        <v>0.65439999999999998</v>
      </c>
      <c r="G223" s="57">
        <v>0.56340000000000001</v>
      </c>
      <c r="H223" s="64">
        <v>5.8</v>
      </c>
    </row>
    <row r="224" spans="1:8">
      <c r="A224" s="61" t="s">
        <v>60</v>
      </c>
      <c r="B224" s="62">
        <f t="shared" si="6"/>
        <v>0.19791666666666666</v>
      </c>
      <c r="C224" s="63">
        <v>4</v>
      </c>
      <c r="D224" s="63">
        <f t="shared" si="7"/>
        <v>0</v>
      </c>
      <c r="E224" s="65">
        <v>1</v>
      </c>
      <c r="F224" s="57">
        <v>0.65439999999999998</v>
      </c>
      <c r="G224" s="57">
        <v>0.56340000000000001</v>
      </c>
      <c r="H224" s="64">
        <v>11.21</v>
      </c>
    </row>
    <row r="225" spans="1:8">
      <c r="A225" s="61" t="s">
        <v>61</v>
      </c>
      <c r="B225" s="62">
        <f t="shared" si="6"/>
        <v>0.20138888888888887</v>
      </c>
      <c r="C225" s="63">
        <v>5</v>
      </c>
      <c r="D225" s="63">
        <f t="shared" si="7"/>
        <v>0</v>
      </c>
      <c r="E225" s="65">
        <v>1</v>
      </c>
      <c r="F225" s="57">
        <v>0.65439999999999998</v>
      </c>
      <c r="G225" s="57">
        <v>0.56340000000000001</v>
      </c>
      <c r="H225" s="64">
        <v>14.41</v>
      </c>
    </row>
    <row r="226" spans="1:8">
      <c r="A226" s="61" t="s">
        <v>62</v>
      </c>
      <c r="B226" s="62">
        <f t="shared" si="6"/>
        <v>0.20486111111111113</v>
      </c>
      <c r="C226" s="63">
        <v>6</v>
      </c>
      <c r="D226" s="63">
        <f t="shared" si="7"/>
        <v>0</v>
      </c>
      <c r="E226" s="65">
        <v>1</v>
      </c>
      <c r="F226" s="57">
        <v>0.65439999999999998</v>
      </c>
      <c r="G226" s="57">
        <v>0.56340000000000001</v>
      </c>
      <c r="H226" s="64">
        <v>16.61</v>
      </c>
    </row>
    <row r="227" spans="1:8">
      <c r="A227" s="61" t="s">
        <v>63</v>
      </c>
      <c r="B227" s="62">
        <f t="shared" si="6"/>
        <v>0.20833333333333334</v>
      </c>
      <c r="C227" s="63">
        <v>7</v>
      </c>
      <c r="D227" s="63">
        <f t="shared" si="7"/>
        <v>0</v>
      </c>
      <c r="E227" s="65">
        <v>1</v>
      </c>
      <c r="F227" s="57">
        <v>0.65439999999999998</v>
      </c>
      <c r="G227" s="57">
        <v>0.56340000000000001</v>
      </c>
      <c r="H227" s="64">
        <v>18.190000000000001</v>
      </c>
    </row>
    <row r="228" spans="1:8">
      <c r="A228" s="61" t="s">
        <v>64</v>
      </c>
      <c r="B228" s="62">
        <f t="shared" si="6"/>
        <v>0.21180555555555555</v>
      </c>
      <c r="C228" s="63">
        <v>8</v>
      </c>
      <c r="D228" s="63">
        <f t="shared" si="7"/>
        <v>0</v>
      </c>
      <c r="E228" s="65">
        <v>1</v>
      </c>
      <c r="F228" s="57">
        <v>0.65439999999999998</v>
      </c>
      <c r="G228" s="57">
        <v>0.56340000000000001</v>
      </c>
      <c r="H228" s="64">
        <v>19.190000000000001</v>
      </c>
    </row>
    <row r="229" spans="1:8">
      <c r="A229" s="61" t="s">
        <v>65</v>
      </c>
      <c r="B229" s="62">
        <f t="shared" si="6"/>
        <v>0.21527777777777779</v>
      </c>
      <c r="C229" s="63">
        <v>9</v>
      </c>
      <c r="D229" s="63">
        <f t="shared" si="7"/>
        <v>0</v>
      </c>
      <c r="E229" s="65">
        <v>1</v>
      </c>
      <c r="F229" s="57">
        <v>0.65439999999999998</v>
      </c>
      <c r="G229" s="57">
        <v>0.56340000000000001</v>
      </c>
      <c r="H229" s="64">
        <v>16.190000000000001</v>
      </c>
    </row>
    <row r="230" spans="1:8">
      <c r="A230" s="61" t="s">
        <v>66</v>
      </c>
      <c r="B230" s="62">
        <f t="shared" si="6"/>
        <v>0.21875</v>
      </c>
      <c r="C230" s="63">
        <v>10</v>
      </c>
      <c r="D230" s="63">
        <f t="shared" si="7"/>
        <v>0</v>
      </c>
      <c r="E230" s="65">
        <v>1</v>
      </c>
      <c r="F230" s="57">
        <v>0.65439999999999998</v>
      </c>
      <c r="G230" s="57">
        <v>0.56340000000000001</v>
      </c>
      <c r="H230" s="64">
        <v>15.46</v>
      </c>
    </row>
    <row r="231" spans="1:8">
      <c r="A231" s="61" t="s">
        <v>67</v>
      </c>
      <c r="B231" s="62">
        <f t="shared" si="6"/>
        <v>0.22222222222222221</v>
      </c>
      <c r="C231" s="63">
        <v>11</v>
      </c>
      <c r="D231" s="63">
        <f t="shared" si="7"/>
        <v>0</v>
      </c>
      <c r="E231" s="65">
        <v>1</v>
      </c>
      <c r="F231" s="57">
        <v>0.65439999999999998</v>
      </c>
      <c r="G231" s="57">
        <v>0.56340000000000001</v>
      </c>
      <c r="H231" s="64">
        <v>26.69</v>
      </c>
    </row>
    <row r="232" spans="1:8">
      <c r="A232" s="61" t="s">
        <v>68</v>
      </c>
      <c r="B232" s="62">
        <f t="shared" si="6"/>
        <v>0.22569444444444445</v>
      </c>
      <c r="C232" s="63">
        <v>12</v>
      </c>
      <c r="D232" s="63">
        <f t="shared" si="7"/>
        <v>0</v>
      </c>
      <c r="E232" s="65">
        <v>1</v>
      </c>
      <c r="F232" s="57">
        <v>0.65439999999999998</v>
      </c>
      <c r="G232" s="57">
        <v>0.56340000000000001</v>
      </c>
      <c r="H232" s="64">
        <v>18.149999999999999</v>
      </c>
    </row>
    <row r="233" spans="1:8">
      <c r="A233" s="61" t="s">
        <v>69</v>
      </c>
      <c r="B233" s="62">
        <f t="shared" si="6"/>
        <v>0.22916666666666666</v>
      </c>
      <c r="C233" s="63">
        <v>13</v>
      </c>
      <c r="D233" s="63">
        <f t="shared" si="7"/>
        <v>1</v>
      </c>
      <c r="E233" s="65">
        <v>1</v>
      </c>
      <c r="F233" s="57">
        <v>0.65439999999999998</v>
      </c>
      <c r="G233" s="57">
        <v>0.56340000000000001</v>
      </c>
      <c r="H233" s="64">
        <v>20.61</v>
      </c>
    </row>
    <row r="234" spans="1:8">
      <c r="A234" s="61" t="s">
        <v>70</v>
      </c>
      <c r="B234" s="62">
        <f t="shared" si="6"/>
        <v>0.23263888888888887</v>
      </c>
      <c r="C234" s="63">
        <v>14</v>
      </c>
      <c r="D234" s="63">
        <f t="shared" si="7"/>
        <v>1</v>
      </c>
      <c r="E234" s="65">
        <v>1</v>
      </c>
      <c r="F234" s="57">
        <v>0.67930000000000001</v>
      </c>
      <c r="G234" s="57">
        <v>0.65529999999999999</v>
      </c>
      <c r="H234" s="64">
        <v>18.36</v>
      </c>
    </row>
    <row r="235" spans="1:8">
      <c r="A235" s="61" t="s">
        <v>71</v>
      </c>
      <c r="B235" s="62">
        <f t="shared" si="6"/>
        <v>0.23611111111111113</v>
      </c>
      <c r="C235" s="63">
        <v>15</v>
      </c>
      <c r="D235" s="63">
        <f t="shared" si="7"/>
        <v>1</v>
      </c>
      <c r="E235" s="65">
        <v>1</v>
      </c>
      <c r="F235" s="57">
        <v>0.67930000000000001</v>
      </c>
      <c r="G235" s="57">
        <v>0.65529999999999999</v>
      </c>
      <c r="H235" s="64">
        <v>45.2</v>
      </c>
    </row>
    <row r="236" spans="1:8">
      <c r="A236" s="61" t="s">
        <v>72</v>
      </c>
      <c r="B236" s="62">
        <f t="shared" si="6"/>
        <v>0.23958333333333334</v>
      </c>
      <c r="C236" s="63">
        <v>16</v>
      </c>
      <c r="D236" s="63">
        <f t="shared" si="7"/>
        <v>1</v>
      </c>
      <c r="E236" s="65">
        <v>1</v>
      </c>
      <c r="F236" s="57">
        <v>0.67930000000000001</v>
      </c>
      <c r="G236" s="57">
        <v>0.65529999999999999</v>
      </c>
      <c r="H236" s="64">
        <v>18.899999999999999</v>
      </c>
    </row>
    <row r="237" spans="1:8">
      <c r="A237" s="61" t="s">
        <v>73</v>
      </c>
      <c r="B237" s="62">
        <f t="shared" si="6"/>
        <v>0.24305555555555555</v>
      </c>
      <c r="C237" s="63">
        <v>17</v>
      </c>
      <c r="D237" s="63">
        <f t="shared" si="7"/>
        <v>1</v>
      </c>
      <c r="E237" s="65">
        <v>1</v>
      </c>
      <c r="F237" s="57">
        <v>0.67930000000000001</v>
      </c>
      <c r="G237" s="57">
        <v>0.65529999999999999</v>
      </c>
      <c r="H237" s="64">
        <v>17.420000000000002</v>
      </c>
    </row>
    <row r="238" spans="1:8">
      <c r="A238" s="61" t="s">
        <v>74</v>
      </c>
      <c r="B238" s="62">
        <f t="shared" si="6"/>
        <v>0.24652777777777779</v>
      </c>
      <c r="C238" s="63">
        <v>18</v>
      </c>
      <c r="D238" s="63">
        <f t="shared" si="7"/>
        <v>1</v>
      </c>
      <c r="E238" s="65">
        <v>1</v>
      </c>
      <c r="F238" s="57">
        <v>0.67930000000000001</v>
      </c>
      <c r="G238" s="57">
        <v>0.65529999999999999</v>
      </c>
      <c r="H238" s="64">
        <v>18.239999999999998</v>
      </c>
    </row>
    <row r="239" spans="1:8">
      <c r="A239" s="61" t="s">
        <v>75</v>
      </c>
      <c r="B239" s="62">
        <f t="shared" si="6"/>
        <v>0.25</v>
      </c>
      <c r="C239" s="63">
        <v>19</v>
      </c>
      <c r="D239" s="63">
        <f t="shared" si="7"/>
        <v>1</v>
      </c>
      <c r="E239" s="65">
        <v>1</v>
      </c>
      <c r="F239" s="57">
        <v>0.67930000000000001</v>
      </c>
      <c r="G239" s="57">
        <v>0.65529999999999999</v>
      </c>
      <c r="H239" s="64">
        <v>49.18</v>
      </c>
    </row>
    <row r="240" spans="1:8">
      <c r="A240" s="61" t="s">
        <v>76</v>
      </c>
      <c r="B240" s="62">
        <f t="shared" si="6"/>
        <v>0.25347222222222221</v>
      </c>
      <c r="C240" s="63">
        <v>20</v>
      </c>
      <c r="D240" s="63">
        <f t="shared" si="7"/>
        <v>1</v>
      </c>
      <c r="E240" s="65">
        <v>1</v>
      </c>
      <c r="F240" s="57">
        <v>0.67930000000000001</v>
      </c>
      <c r="G240" s="57">
        <v>0.65529999999999999</v>
      </c>
      <c r="H240" s="64">
        <v>18.91</v>
      </c>
    </row>
    <row r="241" spans="1:28">
      <c r="A241" s="61" t="s">
        <v>77</v>
      </c>
      <c r="B241" s="62">
        <f t="shared" si="6"/>
        <v>0.25694444444444448</v>
      </c>
      <c r="C241" s="63">
        <v>21</v>
      </c>
      <c r="D241" s="63">
        <f t="shared" si="7"/>
        <v>1</v>
      </c>
      <c r="E241" s="65">
        <v>1</v>
      </c>
      <c r="F241" s="57">
        <v>0.67930000000000001</v>
      </c>
      <c r="G241" s="57">
        <v>0.65529999999999999</v>
      </c>
      <c r="H241" s="64">
        <v>18.14</v>
      </c>
    </row>
    <row r="242" spans="1:28">
      <c r="A242" s="61" t="s">
        <v>78</v>
      </c>
      <c r="B242" s="62">
        <f t="shared" si="6"/>
        <v>0.26041666666666669</v>
      </c>
      <c r="C242" s="63">
        <v>22</v>
      </c>
      <c r="D242" s="63">
        <f t="shared" si="7"/>
        <v>1</v>
      </c>
      <c r="E242" s="65">
        <v>1</v>
      </c>
      <c r="F242" s="57">
        <v>0.67930000000000001</v>
      </c>
      <c r="G242" s="57">
        <v>0.65529999999999999</v>
      </c>
      <c r="H242" s="64">
        <v>18.760000000000002</v>
      </c>
      <c r="M242" s="60"/>
      <c r="N242" s="60"/>
      <c r="AB242" t="e">
        <v>#N/A</v>
      </c>
    </row>
    <row r="243" spans="1:28">
      <c r="A243" s="61" t="s">
        <v>79</v>
      </c>
      <c r="B243" s="62">
        <f t="shared" si="6"/>
        <v>0.2638888888888889</v>
      </c>
      <c r="C243" s="63">
        <v>23</v>
      </c>
      <c r="D243" s="63">
        <f t="shared" si="7"/>
        <v>1</v>
      </c>
      <c r="E243" s="65">
        <v>1</v>
      </c>
      <c r="F243" s="57">
        <v>0.67930000000000001</v>
      </c>
      <c r="G243" s="57">
        <v>0.65529999999999999</v>
      </c>
      <c r="H243" s="64">
        <v>54.16</v>
      </c>
      <c r="M243" s="48"/>
      <c r="N243" s="48"/>
      <c r="AB243" t="e">
        <f t="shared" ref="AB243:AB256" si="8">AVERAGE(N243:N244)</f>
        <v>#DIV/0!</v>
      </c>
    </row>
    <row r="244" spans="1:28">
      <c r="A244" s="61" t="s">
        <v>80</v>
      </c>
      <c r="B244" s="62">
        <f t="shared" si="6"/>
        <v>0.2673611111111111</v>
      </c>
      <c r="C244" s="63">
        <v>24</v>
      </c>
      <c r="D244" s="63">
        <f t="shared" si="7"/>
        <v>1</v>
      </c>
      <c r="E244" s="65">
        <v>1</v>
      </c>
      <c r="F244" s="57">
        <v>0.67930000000000001</v>
      </c>
      <c r="G244" s="57">
        <v>0.65529999999999999</v>
      </c>
      <c r="H244" s="64">
        <v>17.64</v>
      </c>
      <c r="M244" s="48"/>
      <c r="N244" s="48"/>
      <c r="AB244" t="e">
        <f t="shared" si="8"/>
        <v>#DIV/0!</v>
      </c>
    </row>
    <row r="245" spans="1:28">
      <c r="A245" s="61" t="s">
        <v>81</v>
      </c>
      <c r="B245" s="62">
        <f t="shared" si="6"/>
        <v>0.27083333333333331</v>
      </c>
      <c r="C245" s="63">
        <v>25</v>
      </c>
      <c r="D245" s="63">
        <f t="shared" si="7"/>
        <v>2</v>
      </c>
      <c r="E245" s="65">
        <v>1</v>
      </c>
      <c r="F245" s="57">
        <v>0.67930000000000001</v>
      </c>
      <c r="G245" s="57">
        <v>0.65529999999999999</v>
      </c>
      <c r="H245" s="64">
        <v>20.21</v>
      </c>
      <c r="M245" s="48"/>
      <c r="N245" s="48"/>
      <c r="AB245" t="e">
        <f t="shared" si="8"/>
        <v>#DIV/0!</v>
      </c>
    </row>
    <row r="246" spans="1:28">
      <c r="A246" s="61" t="s">
        <v>82</v>
      </c>
      <c r="B246" s="62">
        <f t="shared" si="6"/>
        <v>0.27430555555555552</v>
      </c>
      <c r="C246" s="63">
        <v>26</v>
      </c>
      <c r="D246" s="63">
        <f t="shared" si="7"/>
        <v>2</v>
      </c>
      <c r="E246" s="65">
        <v>1</v>
      </c>
      <c r="F246" s="57">
        <v>0.67610000000000003</v>
      </c>
      <c r="G246" s="57">
        <v>0.65969999999999995</v>
      </c>
      <c r="H246" s="64">
        <v>18.75</v>
      </c>
      <c r="M246" s="48"/>
      <c r="N246" s="48"/>
      <c r="AB246" t="e">
        <f t="shared" si="8"/>
        <v>#DIV/0!</v>
      </c>
    </row>
    <row r="247" spans="1:28">
      <c r="A247" s="61" t="s">
        <v>83</v>
      </c>
      <c r="B247" s="62">
        <f t="shared" si="6"/>
        <v>0.27777777777777779</v>
      </c>
      <c r="C247" s="63">
        <v>27</v>
      </c>
      <c r="D247" s="63">
        <f t="shared" si="7"/>
        <v>2</v>
      </c>
      <c r="E247" s="65">
        <v>1</v>
      </c>
      <c r="F247" s="57">
        <v>0.67610000000000003</v>
      </c>
      <c r="G247" s="57">
        <v>0.65969999999999995</v>
      </c>
      <c r="H247" s="64">
        <v>55.16</v>
      </c>
      <c r="M247" s="48"/>
      <c r="N247" s="48"/>
      <c r="AB247" t="e">
        <f t="shared" si="8"/>
        <v>#DIV/0!</v>
      </c>
    </row>
    <row r="248" spans="1:28">
      <c r="A248" s="61" t="s">
        <v>84</v>
      </c>
      <c r="B248" s="62">
        <f t="shared" si="6"/>
        <v>0.28125</v>
      </c>
      <c r="C248" s="63">
        <v>28</v>
      </c>
      <c r="D248" s="63">
        <f t="shared" si="7"/>
        <v>2</v>
      </c>
      <c r="E248" s="65">
        <v>1</v>
      </c>
      <c r="F248" s="57">
        <v>0.67610000000000003</v>
      </c>
      <c r="G248" s="57">
        <v>0.65969999999999995</v>
      </c>
      <c r="H248" s="64">
        <v>19.93</v>
      </c>
      <c r="M248" s="48"/>
      <c r="N248" s="48"/>
      <c r="AB248" t="e">
        <f t="shared" si="8"/>
        <v>#DIV/0!</v>
      </c>
    </row>
    <row r="249" spans="1:28">
      <c r="A249" s="61" t="s">
        <v>85</v>
      </c>
      <c r="B249" s="62">
        <f t="shared" si="6"/>
        <v>0.28472222222222221</v>
      </c>
      <c r="C249" s="63">
        <v>29</v>
      </c>
      <c r="D249" s="63">
        <f t="shared" si="7"/>
        <v>2</v>
      </c>
      <c r="E249" s="65">
        <v>1</v>
      </c>
      <c r="F249" s="57">
        <v>0.67610000000000003</v>
      </c>
      <c r="G249" s="57">
        <v>0.65969999999999995</v>
      </c>
      <c r="H249" s="64">
        <v>17.760000000000002</v>
      </c>
      <c r="M249" s="48"/>
      <c r="N249" s="48"/>
      <c r="AB249" t="e">
        <f t="shared" si="8"/>
        <v>#DIV/0!</v>
      </c>
    </row>
    <row r="250" spans="1:28">
      <c r="A250" s="61" t="s">
        <v>86</v>
      </c>
      <c r="B250" s="62">
        <f t="shared" si="6"/>
        <v>0.28819444444444448</v>
      </c>
      <c r="C250" s="63">
        <v>30</v>
      </c>
      <c r="D250" s="63">
        <f t="shared" si="7"/>
        <v>2</v>
      </c>
      <c r="E250" s="65">
        <v>1</v>
      </c>
      <c r="F250" s="57">
        <v>0.67610000000000003</v>
      </c>
      <c r="G250" s="57">
        <v>0.65969999999999995</v>
      </c>
      <c r="H250" s="64">
        <v>22.83</v>
      </c>
      <c r="M250" s="48"/>
      <c r="N250" s="48"/>
      <c r="AB250" t="e">
        <f t="shared" si="8"/>
        <v>#DIV/0!</v>
      </c>
    </row>
    <row r="251" spans="1:28">
      <c r="A251" s="61" t="s">
        <v>87</v>
      </c>
      <c r="B251" s="62">
        <f t="shared" si="6"/>
        <v>0.29166666666666669</v>
      </c>
      <c r="C251" s="63">
        <v>31</v>
      </c>
      <c r="D251" s="63">
        <f t="shared" si="7"/>
        <v>2</v>
      </c>
      <c r="E251" s="65">
        <v>1</v>
      </c>
      <c r="F251" s="57">
        <v>0.67610000000000003</v>
      </c>
      <c r="G251" s="57">
        <v>0.65969999999999995</v>
      </c>
      <c r="H251" s="64">
        <v>45.78</v>
      </c>
      <c r="M251" s="48"/>
      <c r="N251" s="48"/>
      <c r="AB251" t="e">
        <f t="shared" si="8"/>
        <v>#DIV/0!</v>
      </c>
    </row>
    <row r="252" spans="1:28">
      <c r="A252" s="61" t="s">
        <v>88</v>
      </c>
      <c r="B252" s="62">
        <f t="shared" si="6"/>
        <v>0.2951388888888889</v>
      </c>
      <c r="C252" s="63">
        <v>32</v>
      </c>
      <c r="D252" s="63">
        <f t="shared" si="7"/>
        <v>2</v>
      </c>
      <c r="E252" s="65">
        <v>1</v>
      </c>
      <c r="F252" s="57">
        <v>0.67610000000000003</v>
      </c>
      <c r="G252" s="57">
        <v>0.65969999999999995</v>
      </c>
      <c r="H252" s="64">
        <v>19.37</v>
      </c>
      <c r="M252" s="48"/>
      <c r="N252" s="48"/>
      <c r="AB252" t="e">
        <f t="shared" si="8"/>
        <v>#DIV/0!</v>
      </c>
    </row>
    <row r="253" spans="1:28">
      <c r="A253" s="61" t="s">
        <v>89</v>
      </c>
      <c r="B253" s="62">
        <f t="shared" si="6"/>
        <v>0.2986111111111111</v>
      </c>
      <c r="C253" s="63">
        <v>33</v>
      </c>
      <c r="D253" s="63">
        <f t="shared" si="7"/>
        <v>2</v>
      </c>
      <c r="E253" s="65">
        <v>1</v>
      </c>
      <c r="F253" s="57">
        <v>0.67610000000000003</v>
      </c>
      <c r="G253" s="57">
        <v>0.65969999999999995</v>
      </c>
      <c r="H253" s="64">
        <v>20.190000000000001</v>
      </c>
      <c r="M253" s="48"/>
      <c r="N253" s="48"/>
      <c r="AB253" t="e">
        <f t="shared" si="8"/>
        <v>#DIV/0!</v>
      </c>
    </row>
    <row r="254" spans="1:28">
      <c r="A254" s="61" t="s">
        <v>90</v>
      </c>
      <c r="B254" s="62">
        <f t="shared" si="6"/>
        <v>0.30208333333333331</v>
      </c>
      <c r="C254" s="63">
        <v>34</v>
      </c>
      <c r="D254" s="63">
        <f t="shared" si="7"/>
        <v>2</v>
      </c>
      <c r="E254" s="65">
        <v>1</v>
      </c>
      <c r="F254" s="57">
        <v>0.67610000000000003</v>
      </c>
      <c r="G254" s="57">
        <v>0.65969999999999995</v>
      </c>
      <c r="H254" s="64">
        <v>19.16</v>
      </c>
      <c r="M254" s="48"/>
      <c r="N254" s="48"/>
      <c r="AB254" t="e">
        <f t="shared" si="8"/>
        <v>#DIV/0!</v>
      </c>
    </row>
    <row r="255" spans="1:28">
      <c r="A255" s="61" t="s">
        <v>91</v>
      </c>
      <c r="B255" s="62">
        <f t="shared" si="6"/>
        <v>0.30555555555555552</v>
      </c>
      <c r="C255" s="63">
        <v>35</v>
      </c>
      <c r="D255" s="63">
        <f t="shared" si="7"/>
        <v>2</v>
      </c>
      <c r="E255" s="65">
        <v>1</v>
      </c>
      <c r="F255" s="57">
        <v>0.67610000000000003</v>
      </c>
      <c r="G255" s="57">
        <v>0.65969999999999995</v>
      </c>
      <c r="H255" s="64">
        <v>21.46</v>
      </c>
      <c r="M255" s="48"/>
      <c r="N255" s="48"/>
      <c r="AB255" t="e">
        <f t="shared" si="8"/>
        <v>#DIV/0!</v>
      </c>
    </row>
    <row r="256" spans="1:28">
      <c r="A256" s="61" t="s">
        <v>92</v>
      </c>
      <c r="B256" s="62">
        <f t="shared" si="6"/>
        <v>0.30902777777777779</v>
      </c>
      <c r="C256" s="63">
        <v>36</v>
      </c>
      <c r="D256" s="63">
        <f t="shared" si="7"/>
        <v>2</v>
      </c>
      <c r="E256" s="65">
        <v>1</v>
      </c>
      <c r="F256" s="57">
        <v>0.67610000000000003</v>
      </c>
      <c r="G256" s="57">
        <v>0.65969999999999995</v>
      </c>
      <c r="H256" s="64">
        <v>16.649999999999999</v>
      </c>
      <c r="M256" s="48"/>
      <c r="N256" s="48"/>
      <c r="AB256" t="e">
        <f t="shared" si="8"/>
        <v>#DIV/0!</v>
      </c>
    </row>
    <row r="257" spans="1:32">
      <c r="A257" s="61" t="s">
        <v>93</v>
      </c>
      <c r="B257" s="62">
        <f t="shared" si="6"/>
        <v>0.3125</v>
      </c>
      <c r="C257" s="63">
        <v>37</v>
      </c>
      <c r="D257" s="63">
        <f t="shared" si="7"/>
        <v>3</v>
      </c>
      <c r="E257" s="65">
        <v>1</v>
      </c>
      <c r="F257" s="57">
        <v>0.67610000000000003</v>
      </c>
      <c r="G257" s="57">
        <v>0.65969999999999995</v>
      </c>
      <c r="H257" s="64">
        <v>19.04</v>
      </c>
      <c r="M257" s="48"/>
      <c r="N257" s="48"/>
    </row>
    <row r="258" spans="1:32">
      <c r="A258" s="61" t="s">
        <v>94</v>
      </c>
      <c r="B258" s="62">
        <f t="shared" si="6"/>
        <v>0.31597222222222221</v>
      </c>
      <c r="C258" s="63">
        <v>38</v>
      </c>
      <c r="D258" s="63">
        <f t="shared" si="7"/>
        <v>3</v>
      </c>
      <c r="E258" s="65">
        <v>1</v>
      </c>
      <c r="F258" s="57">
        <v>0.68510000000000004</v>
      </c>
      <c r="G258" s="57">
        <v>0.63819999999999999</v>
      </c>
      <c r="H258" s="64">
        <v>20.55</v>
      </c>
      <c r="I258" s="47"/>
      <c r="J258" s="47"/>
      <c r="K258" s="47"/>
      <c r="L258" s="47"/>
      <c r="Q258" s="48"/>
      <c r="R258" s="48"/>
      <c r="AF258" t="e">
        <f t="shared" ref="AF258:AF265" si="9">AVERAGE(R258:R259)</f>
        <v>#DIV/0!</v>
      </c>
    </row>
    <row r="259" spans="1:32">
      <c r="A259" s="61" t="s">
        <v>95</v>
      </c>
      <c r="B259" s="62">
        <f t="shared" si="6"/>
        <v>0.31944444444444448</v>
      </c>
      <c r="C259" s="63">
        <v>39</v>
      </c>
      <c r="D259" s="63">
        <f t="shared" si="7"/>
        <v>3</v>
      </c>
      <c r="E259" s="65">
        <v>1</v>
      </c>
      <c r="F259" s="57">
        <v>0.68510000000000004</v>
      </c>
      <c r="G259" s="57">
        <v>0.63819999999999999</v>
      </c>
      <c r="H259" s="64">
        <v>20.13</v>
      </c>
      <c r="I259" s="47"/>
      <c r="J259" s="47"/>
      <c r="K259" s="47"/>
      <c r="L259" s="47"/>
      <c r="Q259" s="48"/>
      <c r="R259" s="48"/>
      <c r="AF259" t="e">
        <f t="shared" si="9"/>
        <v>#DIV/0!</v>
      </c>
    </row>
    <row r="260" spans="1:32">
      <c r="A260" s="61" t="s">
        <v>96</v>
      </c>
      <c r="B260" s="62">
        <f t="shared" si="6"/>
        <v>0.32291666666666669</v>
      </c>
      <c r="C260" s="63">
        <v>40</v>
      </c>
      <c r="D260" s="63">
        <f t="shared" si="7"/>
        <v>3</v>
      </c>
      <c r="E260" s="65">
        <v>1</v>
      </c>
      <c r="F260" s="57">
        <v>0.68510000000000004</v>
      </c>
      <c r="G260" s="57">
        <v>0.63819999999999999</v>
      </c>
      <c r="H260" s="64">
        <v>20.93</v>
      </c>
      <c r="Q260" s="48"/>
      <c r="R260" s="48"/>
      <c r="AF260" t="e">
        <f t="shared" si="9"/>
        <v>#DIV/0!</v>
      </c>
    </row>
    <row r="261" spans="1:32">
      <c r="A261" s="61" t="s">
        <v>97</v>
      </c>
      <c r="B261" s="62">
        <f t="shared" ref="B261:B268" si="10">TIMEVALUE(MID(A261,11,8))</f>
        <v>0.3263888888888889</v>
      </c>
      <c r="C261" s="63">
        <v>41</v>
      </c>
      <c r="D261" s="63">
        <f t="shared" ref="D261:D268" si="11">TRUNC((C261-1)/12)</f>
        <v>3</v>
      </c>
      <c r="E261" s="65">
        <v>1</v>
      </c>
      <c r="F261" s="57">
        <v>0.68510000000000004</v>
      </c>
      <c r="G261" s="57">
        <v>0.63819999999999999</v>
      </c>
      <c r="H261" s="64">
        <v>27.83</v>
      </c>
      <c r="Q261" s="48"/>
      <c r="R261" s="48"/>
      <c r="AF261" t="e">
        <f t="shared" si="9"/>
        <v>#DIV/0!</v>
      </c>
    </row>
    <row r="262" spans="1:32">
      <c r="A262" s="61" t="s">
        <v>98</v>
      </c>
      <c r="B262" s="62">
        <f t="shared" si="10"/>
        <v>0.3298611111111111</v>
      </c>
      <c r="C262" s="63">
        <v>42</v>
      </c>
      <c r="D262" s="63">
        <f t="shared" si="11"/>
        <v>3</v>
      </c>
      <c r="E262" s="65">
        <v>1</v>
      </c>
      <c r="F262" s="57">
        <v>0.68510000000000004</v>
      </c>
      <c r="G262" s="57">
        <v>0.63819999999999999</v>
      </c>
      <c r="H262" s="64">
        <v>35.93</v>
      </c>
      <c r="Q262" s="48"/>
      <c r="R262" s="48"/>
      <c r="AF262" t="e">
        <f t="shared" si="9"/>
        <v>#DIV/0!</v>
      </c>
    </row>
    <row r="263" spans="1:32">
      <c r="A263" s="61" t="s">
        <v>99</v>
      </c>
      <c r="B263" s="62">
        <f t="shared" si="10"/>
        <v>0.33333333333333331</v>
      </c>
      <c r="C263" s="63">
        <v>43</v>
      </c>
      <c r="D263" s="63">
        <f t="shared" si="11"/>
        <v>3</v>
      </c>
      <c r="E263" s="65">
        <v>1</v>
      </c>
      <c r="F263" s="57">
        <v>0.68510000000000004</v>
      </c>
      <c r="G263" s="57">
        <v>0.63819999999999999</v>
      </c>
      <c r="H263" s="64">
        <v>21.5</v>
      </c>
      <c r="Q263" s="48"/>
      <c r="R263" s="48"/>
      <c r="AF263" t="e">
        <f t="shared" si="9"/>
        <v>#DIV/0!</v>
      </c>
    </row>
    <row r="264" spans="1:32">
      <c r="A264" s="61" t="s">
        <v>100</v>
      </c>
      <c r="B264" s="62">
        <f t="shared" si="10"/>
        <v>0.33680555555555558</v>
      </c>
      <c r="C264" s="63">
        <v>44</v>
      </c>
      <c r="D264" s="63">
        <f t="shared" si="11"/>
        <v>3</v>
      </c>
      <c r="E264" s="65">
        <v>1</v>
      </c>
      <c r="F264" s="57">
        <v>0.68510000000000004</v>
      </c>
      <c r="G264" s="57">
        <v>0.63819999999999999</v>
      </c>
      <c r="H264" s="64">
        <v>20.89</v>
      </c>
      <c r="Q264" s="48"/>
      <c r="R264" s="48"/>
      <c r="AF264" t="e">
        <f t="shared" si="9"/>
        <v>#DIV/0!</v>
      </c>
    </row>
    <row r="265" spans="1:32">
      <c r="A265" s="61" t="s">
        <v>101</v>
      </c>
      <c r="B265" s="62">
        <f t="shared" si="10"/>
        <v>0.34027777777777773</v>
      </c>
      <c r="C265" s="63">
        <v>45</v>
      </c>
      <c r="D265" s="63">
        <f t="shared" si="11"/>
        <v>3</v>
      </c>
      <c r="E265" s="65">
        <v>1</v>
      </c>
      <c r="F265" s="57">
        <v>0.68510000000000004</v>
      </c>
      <c r="G265" s="57">
        <v>0.63819999999999999</v>
      </c>
      <c r="H265" s="64">
        <v>35.979999999999997</v>
      </c>
      <c r="Q265" s="48"/>
      <c r="R265" s="48"/>
      <c r="AF265" t="e">
        <f t="shared" si="9"/>
        <v>#DIV/0!</v>
      </c>
    </row>
    <row r="266" spans="1:32">
      <c r="A266" s="61" t="s">
        <v>102</v>
      </c>
      <c r="B266" s="62">
        <f t="shared" si="10"/>
        <v>0.34375</v>
      </c>
      <c r="C266" s="63">
        <v>46</v>
      </c>
      <c r="D266" s="63">
        <f t="shared" si="11"/>
        <v>3</v>
      </c>
      <c r="E266" s="65">
        <v>1</v>
      </c>
      <c r="F266" s="57">
        <v>0.68510000000000004</v>
      </c>
      <c r="G266" s="57">
        <v>0.63819999999999999</v>
      </c>
      <c r="H266" s="64">
        <v>19.760000000000002</v>
      </c>
      <c r="Q266" s="48"/>
      <c r="R266" s="48"/>
    </row>
    <row r="267" spans="1:32">
      <c r="A267" s="61" t="s">
        <v>103</v>
      </c>
      <c r="B267" s="62">
        <f t="shared" si="10"/>
        <v>0.34722222222222227</v>
      </c>
      <c r="C267" s="63">
        <v>47</v>
      </c>
      <c r="D267" s="63">
        <f t="shared" si="11"/>
        <v>3</v>
      </c>
      <c r="E267" s="65">
        <v>1</v>
      </c>
      <c r="F267" s="57">
        <v>0.68510000000000004</v>
      </c>
      <c r="G267" s="57">
        <v>0.63819999999999999</v>
      </c>
      <c r="H267" s="64">
        <v>18.93</v>
      </c>
    </row>
    <row r="268" spans="1:32">
      <c r="A268" s="66" t="s">
        <v>104</v>
      </c>
      <c r="B268" s="71">
        <f t="shared" si="10"/>
        <v>0.35069444444444442</v>
      </c>
      <c r="C268" s="72">
        <v>48</v>
      </c>
      <c r="D268" s="72">
        <f t="shared" si="11"/>
        <v>3</v>
      </c>
      <c r="E268" s="73">
        <v>1</v>
      </c>
      <c r="F268" s="74">
        <v>0.68510000000000004</v>
      </c>
      <c r="G268" s="74">
        <v>0.63819999999999999</v>
      </c>
      <c r="H268" s="67">
        <v>20.91</v>
      </c>
    </row>
    <row r="269" spans="1:32">
      <c r="A269" s="61" t="s">
        <v>45</v>
      </c>
      <c r="B269" s="62">
        <f>TIMEVALUE(MID(A269,11,8))</f>
        <v>0.14583333333333334</v>
      </c>
      <c r="C269" s="63">
        <v>1</v>
      </c>
      <c r="D269" s="63">
        <f>TRUNC((C269-1)/12)</f>
        <v>0</v>
      </c>
      <c r="E269" s="65">
        <v>0.7</v>
      </c>
      <c r="F269" s="57">
        <v>0.6401</v>
      </c>
      <c r="G269" s="57">
        <v>0.5353</v>
      </c>
      <c r="H269" s="64">
        <v>12.16</v>
      </c>
    </row>
    <row r="270" spans="1:32">
      <c r="A270" s="61" t="s">
        <v>46</v>
      </c>
      <c r="B270" s="62">
        <f t="shared" ref="B270:B280" si="12">TIMEVALUE(MID(A270,11,8))</f>
        <v>0.14930555555555555</v>
      </c>
      <c r="C270" s="63">
        <v>2</v>
      </c>
      <c r="D270" s="63">
        <f t="shared" ref="D270:D280" si="13">TRUNC((C270-1)/12)</f>
        <v>0</v>
      </c>
      <c r="E270" s="65">
        <v>0.7</v>
      </c>
      <c r="F270" s="57">
        <v>0.6401</v>
      </c>
      <c r="G270" s="57">
        <v>0.5353</v>
      </c>
      <c r="H270" s="64">
        <v>9.8000000000000007</v>
      </c>
    </row>
    <row r="271" spans="1:32">
      <c r="A271" s="61" t="s">
        <v>47</v>
      </c>
      <c r="B271" s="62">
        <f t="shared" si="12"/>
        <v>0.15277777777777776</v>
      </c>
      <c r="C271" s="63">
        <v>3</v>
      </c>
      <c r="D271" s="63">
        <f t="shared" si="13"/>
        <v>0</v>
      </c>
      <c r="E271" s="65">
        <v>0.7</v>
      </c>
      <c r="F271" s="57">
        <v>0.6401</v>
      </c>
      <c r="G271" s="57">
        <v>0.5353</v>
      </c>
      <c r="H271" s="64">
        <v>10.25</v>
      </c>
    </row>
    <row r="272" spans="1:32">
      <c r="A272" s="61" t="s">
        <v>48</v>
      </c>
      <c r="B272" s="62">
        <f t="shared" si="12"/>
        <v>0.15625</v>
      </c>
      <c r="C272" s="63">
        <v>4</v>
      </c>
      <c r="D272" s="63">
        <f t="shared" si="13"/>
        <v>0</v>
      </c>
      <c r="E272" s="65">
        <v>0.7</v>
      </c>
      <c r="F272" s="57">
        <v>0.6401</v>
      </c>
      <c r="G272" s="57">
        <v>0.5353</v>
      </c>
      <c r="H272" s="64">
        <v>9.51</v>
      </c>
    </row>
    <row r="273" spans="1:8">
      <c r="A273" s="61" t="s">
        <v>49</v>
      </c>
      <c r="B273" s="62">
        <f t="shared" si="12"/>
        <v>0.15972222222222224</v>
      </c>
      <c r="C273" s="63">
        <v>5</v>
      </c>
      <c r="D273" s="63">
        <f t="shared" si="13"/>
        <v>0</v>
      </c>
      <c r="E273" s="65">
        <v>0.7</v>
      </c>
      <c r="F273" s="57">
        <v>0.6401</v>
      </c>
      <c r="G273" s="57">
        <v>0.5353</v>
      </c>
      <c r="H273" s="64">
        <v>9.6199999999999992</v>
      </c>
    </row>
    <row r="274" spans="1:8">
      <c r="A274" s="61" t="s">
        <v>50</v>
      </c>
      <c r="B274" s="62">
        <f t="shared" si="12"/>
        <v>0.16319444444444445</v>
      </c>
      <c r="C274" s="63">
        <v>6</v>
      </c>
      <c r="D274" s="63">
        <f t="shared" si="13"/>
        <v>0</v>
      </c>
      <c r="E274" s="65">
        <v>0.7</v>
      </c>
      <c r="F274" s="57">
        <v>0.6401</v>
      </c>
      <c r="G274" s="57">
        <v>0.5353</v>
      </c>
      <c r="H274" s="64">
        <v>10.050000000000001</v>
      </c>
    </row>
    <row r="275" spans="1:8">
      <c r="A275" s="61" t="s">
        <v>51</v>
      </c>
      <c r="B275" s="62">
        <f t="shared" si="12"/>
        <v>0.16666666666666666</v>
      </c>
      <c r="C275" s="63">
        <v>7</v>
      </c>
      <c r="D275" s="63">
        <f t="shared" si="13"/>
        <v>0</v>
      </c>
      <c r="E275" s="65">
        <v>0.7</v>
      </c>
      <c r="F275" s="57">
        <v>0.6401</v>
      </c>
      <c r="G275" s="57">
        <v>0.5353</v>
      </c>
      <c r="H275" s="64">
        <v>11.08</v>
      </c>
    </row>
    <row r="276" spans="1:8">
      <c r="A276" s="61" t="s">
        <v>52</v>
      </c>
      <c r="B276" s="62">
        <f t="shared" si="12"/>
        <v>0.17013888888888887</v>
      </c>
      <c r="C276" s="63">
        <v>8</v>
      </c>
      <c r="D276" s="63">
        <f t="shared" si="13"/>
        <v>0</v>
      </c>
      <c r="E276" s="65">
        <v>0.7</v>
      </c>
      <c r="F276" s="57">
        <v>0.6401</v>
      </c>
      <c r="G276" s="57">
        <v>0.5353</v>
      </c>
      <c r="H276" s="64">
        <v>8.91</v>
      </c>
    </row>
    <row r="277" spans="1:8">
      <c r="A277" s="61" t="s">
        <v>53</v>
      </c>
      <c r="B277" s="62">
        <f t="shared" si="12"/>
        <v>0.17361111111111113</v>
      </c>
      <c r="C277" s="63">
        <v>9</v>
      </c>
      <c r="D277" s="63">
        <f t="shared" si="13"/>
        <v>0</v>
      </c>
      <c r="E277" s="65">
        <v>0.7</v>
      </c>
      <c r="F277" s="57">
        <v>0.6401</v>
      </c>
      <c r="G277" s="57">
        <v>0.5353</v>
      </c>
      <c r="H277" s="64">
        <v>10.210000000000001</v>
      </c>
    </row>
    <row r="278" spans="1:8">
      <c r="A278" s="61" t="s">
        <v>54</v>
      </c>
      <c r="B278" s="62">
        <f t="shared" si="12"/>
        <v>0.17708333333333334</v>
      </c>
      <c r="C278" s="63">
        <v>10</v>
      </c>
      <c r="D278" s="63">
        <f t="shared" si="13"/>
        <v>0</v>
      </c>
      <c r="E278" s="65">
        <v>0.7</v>
      </c>
      <c r="F278" s="57">
        <v>0.6401</v>
      </c>
      <c r="G278" s="57">
        <v>0.5353</v>
      </c>
      <c r="H278" s="64">
        <v>10.68</v>
      </c>
    </row>
    <row r="279" spans="1:8">
      <c r="A279" s="61" t="s">
        <v>55</v>
      </c>
      <c r="B279" s="62">
        <f t="shared" si="12"/>
        <v>0.18055555555555555</v>
      </c>
      <c r="C279" s="63">
        <v>11</v>
      </c>
      <c r="D279" s="63">
        <f t="shared" si="13"/>
        <v>0</v>
      </c>
      <c r="E279" s="65">
        <v>0.7</v>
      </c>
      <c r="F279" s="57">
        <v>0.6401</v>
      </c>
      <c r="G279" s="57">
        <v>0.5353</v>
      </c>
      <c r="H279" s="64">
        <v>9.8000000000000007</v>
      </c>
    </row>
    <row r="280" spans="1:8">
      <c r="A280" s="66" t="s">
        <v>56</v>
      </c>
      <c r="B280" s="71">
        <f t="shared" si="12"/>
        <v>0.18402777777777779</v>
      </c>
      <c r="C280" s="72">
        <v>12</v>
      </c>
      <c r="D280" s="72">
        <f t="shared" si="13"/>
        <v>0</v>
      </c>
      <c r="E280" s="73">
        <v>0.7</v>
      </c>
      <c r="F280" s="74">
        <v>0.6401</v>
      </c>
      <c r="G280" s="74">
        <v>0.5353</v>
      </c>
      <c r="H280" s="67">
        <v>11.3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3:C10"/>
  <sheetViews>
    <sheetView workbookViewId="0">
      <selection activeCell="A4" sqref="A4:C8"/>
    </sheetView>
  </sheetViews>
  <sheetFormatPr defaultRowHeight="15"/>
  <cols>
    <col min="1" max="1" width="13" bestFit="1" customWidth="1"/>
    <col min="2" max="2" width="26.5703125" bestFit="1" customWidth="1"/>
    <col min="3" max="3" width="25.5703125" bestFit="1" customWidth="1"/>
  </cols>
  <sheetData>
    <row r="3" spans="1:3">
      <c r="B3" s="81" t="s">
        <v>381</v>
      </c>
    </row>
    <row r="4" spans="1:3">
      <c r="A4" s="81" t="s">
        <v>378</v>
      </c>
      <c r="B4" s="46" t="s">
        <v>395</v>
      </c>
      <c r="C4" s="46" t="s">
        <v>396</v>
      </c>
    </row>
    <row r="5" spans="1:3">
      <c r="A5" s="114">
        <v>0.7</v>
      </c>
      <c r="B5" s="83">
        <v>-0.62492794158280141</v>
      </c>
      <c r="C5" s="83">
        <v>0</v>
      </c>
    </row>
    <row r="6" spans="1:3">
      <c r="A6" s="114">
        <v>0.71</v>
      </c>
      <c r="B6" s="83">
        <v>-0.59209250325557483</v>
      </c>
      <c r="C6" s="83">
        <v>0.2565907348622557</v>
      </c>
    </row>
    <row r="7" spans="1:3">
      <c r="A7" s="114">
        <v>1</v>
      </c>
      <c r="B7" s="83">
        <v>-0.46797242564200286</v>
      </c>
      <c r="C7" s="83">
        <v>6.6284624052166993E-2</v>
      </c>
    </row>
    <row r="8" spans="1:3">
      <c r="A8" s="114">
        <v>1.2</v>
      </c>
      <c r="B8" s="83">
        <v>-1.0249901487974959</v>
      </c>
      <c r="C8" s="83">
        <v>0</v>
      </c>
    </row>
    <row r="9" spans="1:3">
      <c r="A9" s="114" t="s">
        <v>394</v>
      </c>
      <c r="B9" s="83"/>
      <c r="C9" s="83"/>
    </row>
    <row r="10" spans="1:3">
      <c r="A10" s="114" t="s">
        <v>379</v>
      </c>
      <c r="B10" s="83">
        <v>-0.59075566731708973</v>
      </c>
      <c r="C10" s="83">
        <v>0.24548657710061636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77"/>
  <sheetViews>
    <sheetView workbookViewId="0">
      <selection sqref="A1:F1048576"/>
    </sheetView>
  </sheetViews>
  <sheetFormatPr defaultRowHeight="15"/>
  <cols>
    <col min="1" max="1" width="19.85546875" customWidth="1"/>
    <col min="2" max="2" width="14.5703125" style="78" customWidth="1"/>
    <col min="3" max="3" width="15.7109375" style="76" customWidth="1"/>
    <col min="4" max="4" width="19.42578125" style="76" customWidth="1"/>
    <col min="5" max="5" width="17.140625" style="80" customWidth="1"/>
    <col min="6" max="6" width="20.28515625" customWidth="1"/>
  </cols>
  <sheetData>
    <row r="1" spans="1:7">
      <c r="A1" s="2" t="s">
        <v>377</v>
      </c>
      <c r="B1" s="77" t="s">
        <v>321</v>
      </c>
      <c r="C1" s="75" t="s">
        <v>371</v>
      </c>
      <c r="D1" s="75" t="s">
        <v>372</v>
      </c>
      <c r="E1" s="79" t="s">
        <v>376</v>
      </c>
      <c r="F1" s="79" t="s">
        <v>393</v>
      </c>
      <c r="G1" s="80"/>
    </row>
    <row r="2" spans="1:7">
      <c r="A2" s="2">
        <v>0</v>
      </c>
      <c r="B2" s="77">
        <v>0.71</v>
      </c>
      <c r="C2" s="75">
        <v>0.67900000000000005</v>
      </c>
      <c r="D2" s="75">
        <v>0.35880000000000001</v>
      </c>
      <c r="E2" s="79">
        <v>13.99</v>
      </c>
      <c r="F2" s="79">
        <f>LN(D2)</f>
        <v>-1.0249901487974959</v>
      </c>
      <c r="G2" s="80"/>
    </row>
    <row r="3" spans="1:7">
      <c r="A3" s="2">
        <v>0</v>
      </c>
      <c r="B3" s="77">
        <v>0.71</v>
      </c>
      <c r="C3" s="75">
        <v>0.67900000000000005</v>
      </c>
      <c r="D3" s="75">
        <v>0.35880000000000001</v>
      </c>
      <c r="E3" s="79">
        <v>12.48</v>
      </c>
      <c r="F3" s="79">
        <f t="shared" ref="F3:F66" si="0">LN(D3)</f>
        <v>-1.0249901487974959</v>
      </c>
      <c r="G3" s="80"/>
    </row>
    <row r="4" spans="1:7">
      <c r="A4" s="2">
        <v>0</v>
      </c>
      <c r="B4" s="77">
        <v>0.71</v>
      </c>
      <c r="C4" s="75">
        <v>0.67900000000000005</v>
      </c>
      <c r="D4" s="75">
        <v>0.35880000000000001</v>
      </c>
      <c r="E4" s="79">
        <v>9.2200000000000006</v>
      </c>
      <c r="F4" s="79">
        <f t="shared" si="0"/>
        <v>-1.0249901487974959</v>
      </c>
      <c r="G4" s="80"/>
    </row>
    <row r="5" spans="1:7">
      <c r="A5" s="2">
        <v>0</v>
      </c>
      <c r="B5" s="77">
        <v>0.71</v>
      </c>
      <c r="C5" s="75">
        <v>0.67900000000000005</v>
      </c>
      <c r="D5" s="75">
        <v>0.35880000000000001</v>
      </c>
      <c r="E5" s="79">
        <v>8.61</v>
      </c>
      <c r="F5" s="79">
        <f t="shared" si="0"/>
        <v>-1.0249901487974959</v>
      </c>
      <c r="G5" s="80"/>
    </row>
    <row r="6" spans="1:7">
      <c r="A6" s="2">
        <v>0</v>
      </c>
      <c r="B6" s="77">
        <v>0.71</v>
      </c>
      <c r="C6" s="75">
        <v>0.67900000000000005</v>
      </c>
      <c r="D6" s="75">
        <v>0.35880000000000001</v>
      </c>
      <c r="E6" s="79">
        <v>8.68</v>
      </c>
      <c r="F6" s="79">
        <f t="shared" si="0"/>
        <v>-1.0249901487974959</v>
      </c>
      <c r="G6" s="80"/>
    </row>
    <row r="7" spans="1:7">
      <c r="A7" s="2">
        <v>0</v>
      </c>
      <c r="B7" s="77">
        <v>0.71</v>
      </c>
      <c r="C7" s="75">
        <v>0.67900000000000005</v>
      </c>
      <c r="D7" s="75">
        <v>0.35880000000000001</v>
      </c>
      <c r="E7" s="79">
        <v>10.49</v>
      </c>
      <c r="F7" s="79">
        <f t="shared" si="0"/>
        <v>-1.0249901487974959</v>
      </c>
      <c r="G7" s="80"/>
    </row>
    <row r="8" spans="1:7">
      <c r="A8" s="2">
        <v>0</v>
      </c>
      <c r="B8" s="77">
        <v>0.71</v>
      </c>
      <c r="C8" s="75">
        <v>0.67900000000000005</v>
      </c>
      <c r="D8" s="75">
        <v>0.35880000000000001</v>
      </c>
      <c r="E8" s="79">
        <v>6.09</v>
      </c>
      <c r="F8" s="79">
        <f t="shared" si="0"/>
        <v>-1.0249901487974959</v>
      </c>
      <c r="G8" s="80"/>
    </row>
    <row r="9" spans="1:7">
      <c r="A9" s="2">
        <v>0</v>
      </c>
      <c r="B9" s="77">
        <v>0.71</v>
      </c>
      <c r="C9" s="75">
        <v>0.67900000000000005</v>
      </c>
      <c r="D9" s="75">
        <v>0.35880000000000001</v>
      </c>
      <c r="E9" s="79">
        <v>7.8</v>
      </c>
      <c r="F9" s="79">
        <f t="shared" si="0"/>
        <v>-1.0249901487974959</v>
      </c>
      <c r="G9" s="80"/>
    </row>
    <row r="10" spans="1:7">
      <c r="A10" s="2">
        <v>0</v>
      </c>
      <c r="B10" s="77">
        <v>0.71</v>
      </c>
      <c r="C10" s="75">
        <v>0.67900000000000005</v>
      </c>
      <c r="D10" s="75">
        <v>0.35880000000000001</v>
      </c>
      <c r="E10" s="79">
        <v>4.4800000000000004</v>
      </c>
      <c r="F10" s="79">
        <f t="shared" si="0"/>
        <v>-1.0249901487974959</v>
      </c>
      <c r="G10" s="80"/>
    </row>
    <row r="11" spans="1:7">
      <c r="A11" s="2">
        <v>0</v>
      </c>
      <c r="B11" s="77">
        <v>0.71</v>
      </c>
      <c r="C11" s="75">
        <v>0.67900000000000005</v>
      </c>
      <c r="D11" s="75">
        <v>0.35880000000000001</v>
      </c>
      <c r="E11" s="79">
        <v>8.3000000000000007</v>
      </c>
      <c r="F11" s="79">
        <f t="shared" si="0"/>
        <v>-1.0249901487974959</v>
      </c>
      <c r="G11" s="80"/>
    </row>
    <row r="12" spans="1:7">
      <c r="A12" s="2">
        <v>0</v>
      </c>
      <c r="B12" s="77">
        <v>0.71</v>
      </c>
      <c r="C12" s="75">
        <v>0.67900000000000005</v>
      </c>
      <c r="D12" s="75">
        <v>0.35880000000000001</v>
      </c>
      <c r="E12" s="79">
        <v>7.37</v>
      </c>
      <c r="F12" s="79">
        <f t="shared" si="0"/>
        <v>-1.0249901487974959</v>
      </c>
      <c r="G12" s="80"/>
    </row>
    <row r="13" spans="1:7">
      <c r="A13" s="2">
        <v>0</v>
      </c>
      <c r="B13" s="77">
        <v>0.71</v>
      </c>
      <c r="C13" s="75">
        <v>0.67900000000000005</v>
      </c>
      <c r="D13" s="75">
        <v>0.35880000000000001</v>
      </c>
      <c r="E13" s="79">
        <v>6.93</v>
      </c>
      <c r="F13" s="79">
        <f t="shared" si="0"/>
        <v>-1.0249901487974959</v>
      </c>
      <c r="G13" s="80"/>
    </row>
    <row r="14" spans="1:7">
      <c r="A14" s="2">
        <v>1</v>
      </c>
      <c r="B14" s="77">
        <v>0.71</v>
      </c>
      <c r="C14" s="75">
        <v>0.56340000000000001</v>
      </c>
      <c r="D14" s="75">
        <v>0.24560000000000001</v>
      </c>
      <c r="E14" s="79">
        <v>9.1199999999999992</v>
      </c>
      <c r="F14" s="79">
        <f t="shared" si="0"/>
        <v>-1.4040510827091497</v>
      </c>
      <c r="G14" s="80"/>
    </row>
    <row r="15" spans="1:7">
      <c r="A15" s="2">
        <v>1</v>
      </c>
      <c r="B15" s="77">
        <v>0.71</v>
      </c>
      <c r="C15" s="75">
        <v>0.56340000000000001</v>
      </c>
      <c r="D15" s="75">
        <v>0.24560000000000001</v>
      </c>
      <c r="E15" s="79">
        <v>7.58</v>
      </c>
      <c r="F15" s="79">
        <f t="shared" si="0"/>
        <v>-1.4040510827091497</v>
      </c>
      <c r="G15" s="80"/>
    </row>
    <row r="16" spans="1:7">
      <c r="A16" s="2">
        <v>1</v>
      </c>
      <c r="B16" s="77">
        <v>0.71</v>
      </c>
      <c r="C16" s="75">
        <v>0.56340000000000001</v>
      </c>
      <c r="D16" s="75">
        <v>0.24560000000000001</v>
      </c>
      <c r="E16" s="79">
        <v>6.22</v>
      </c>
      <c r="F16" s="79">
        <f t="shared" si="0"/>
        <v>-1.4040510827091497</v>
      </c>
      <c r="G16" s="80"/>
    </row>
    <row r="17" spans="1:7">
      <c r="A17" s="2">
        <v>1</v>
      </c>
      <c r="B17" s="77">
        <v>0.71</v>
      </c>
      <c r="C17" s="75">
        <v>0.56340000000000001</v>
      </c>
      <c r="D17" s="75">
        <v>0.24560000000000001</v>
      </c>
      <c r="E17" s="79">
        <v>5.82</v>
      </c>
      <c r="F17" s="79">
        <f t="shared" si="0"/>
        <v>-1.4040510827091497</v>
      </c>
      <c r="G17" s="80"/>
    </row>
    <row r="18" spans="1:7">
      <c r="A18" s="2">
        <v>1</v>
      </c>
      <c r="B18" s="77">
        <v>0.71</v>
      </c>
      <c r="C18" s="75">
        <v>0.56340000000000001</v>
      </c>
      <c r="D18" s="75">
        <v>0.24560000000000001</v>
      </c>
      <c r="E18" s="79">
        <v>6.53</v>
      </c>
      <c r="F18" s="79">
        <f t="shared" si="0"/>
        <v>-1.4040510827091497</v>
      </c>
      <c r="G18" s="80"/>
    </row>
    <row r="19" spans="1:7">
      <c r="A19" s="2">
        <v>1</v>
      </c>
      <c r="B19" s="77">
        <v>0.71</v>
      </c>
      <c r="C19" s="75">
        <v>0.56340000000000001</v>
      </c>
      <c r="D19" s="75">
        <v>0.24560000000000001</v>
      </c>
      <c r="E19" s="79">
        <v>9.26</v>
      </c>
      <c r="F19" s="79">
        <f t="shared" si="0"/>
        <v>-1.4040510827091497</v>
      </c>
      <c r="G19" s="80"/>
    </row>
    <row r="20" spans="1:7">
      <c r="A20" s="2">
        <v>1</v>
      </c>
      <c r="B20" s="77">
        <v>0.71</v>
      </c>
      <c r="C20" s="75">
        <v>0.56340000000000001</v>
      </c>
      <c r="D20" s="75">
        <v>0.24560000000000001</v>
      </c>
      <c r="E20" s="79">
        <v>8.01</v>
      </c>
      <c r="F20" s="79">
        <f t="shared" si="0"/>
        <v>-1.4040510827091497</v>
      </c>
      <c r="G20" s="80"/>
    </row>
    <row r="21" spans="1:7">
      <c r="A21" s="2">
        <v>1</v>
      </c>
      <c r="B21" s="77">
        <v>0.71</v>
      </c>
      <c r="C21" s="75">
        <v>0.56340000000000001</v>
      </c>
      <c r="D21" s="75">
        <v>0.24560000000000001</v>
      </c>
      <c r="E21" s="79">
        <v>9.7200000000000006</v>
      </c>
      <c r="F21" s="79">
        <f t="shared" si="0"/>
        <v>-1.4040510827091497</v>
      </c>
      <c r="G21" s="80"/>
    </row>
    <row r="22" spans="1:7">
      <c r="A22" s="2">
        <v>1</v>
      </c>
      <c r="B22" s="77">
        <v>0.71</v>
      </c>
      <c r="C22" s="75">
        <v>0.56340000000000001</v>
      </c>
      <c r="D22" s="75">
        <v>0.24560000000000001</v>
      </c>
      <c r="E22" s="79">
        <v>6.63</v>
      </c>
      <c r="F22" s="79">
        <f t="shared" si="0"/>
        <v>-1.4040510827091497</v>
      </c>
      <c r="G22" s="80"/>
    </row>
    <row r="23" spans="1:7">
      <c r="A23" s="2">
        <v>1</v>
      </c>
      <c r="B23" s="77">
        <v>0.71</v>
      </c>
      <c r="C23" s="75">
        <v>0.56340000000000001</v>
      </c>
      <c r="D23" s="75">
        <v>0.24560000000000001</v>
      </c>
      <c r="E23" s="79">
        <v>7.12</v>
      </c>
      <c r="F23" s="79">
        <f t="shared" si="0"/>
        <v>-1.4040510827091497</v>
      </c>
      <c r="G23" s="80"/>
    </row>
    <row r="24" spans="1:7">
      <c r="A24" s="2">
        <v>1</v>
      </c>
      <c r="B24" s="77">
        <v>0.71</v>
      </c>
      <c r="C24" s="75">
        <v>0.56340000000000001</v>
      </c>
      <c r="D24" s="75">
        <v>0.24560000000000001</v>
      </c>
      <c r="E24" s="79">
        <v>8.4600000000000009</v>
      </c>
      <c r="F24" s="79">
        <f t="shared" si="0"/>
        <v>-1.4040510827091497</v>
      </c>
      <c r="G24" s="80"/>
    </row>
    <row r="25" spans="1:7">
      <c r="A25" s="2">
        <v>1</v>
      </c>
      <c r="B25" s="77">
        <v>0.71</v>
      </c>
      <c r="C25" s="75">
        <v>0.56340000000000001</v>
      </c>
      <c r="D25" s="75">
        <v>0.24560000000000001</v>
      </c>
      <c r="E25" s="79">
        <v>8.1999999999999993</v>
      </c>
      <c r="F25" s="79">
        <f t="shared" si="0"/>
        <v>-1.4040510827091497</v>
      </c>
      <c r="G25" s="80"/>
    </row>
    <row r="26" spans="1:7">
      <c r="A26" s="2">
        <v>2</v>
      </c>
      <c r="B26" s="77">
        <v>0.71</v>
      </c>
      <c r="C26" s="75">
        <v>0.67520000000000002</v>
      </c>
      <c r="D26" s="75">
        <v>0.48359999999999997</v>
      </c>
      <c r="E26" s="79">
        <v>14.55</v>
      </c>
      <c r="F26" s="79">
        <f t="shared" si="0"/>
        <v>-0.72649716024149946</v>
      </c>
      <c r="G26" s="80"/>
    </row>
    <row r="27" spans="1:7">
      <c r="A27" s="2">
        <v>2</v>
      </c>
      <c r="B27" s="77">
        <v>0.71</v>
      </c>
      <c r="C27" s="75">
        <v>0.67520000000000002</v>
      </c>
      <c r="D27" s="75">
        <v>0.48359999999999997</v>
      </c>
      <c r="E27" s="79">
        <v>11.58</v>
      </c>
      <c r="F27" s="79">
        <f t="shared" si="0"/>
        <v>-0.72649716024149946</v>
      </c>
      <c r="G27" s="80"/>
    </row>
    <row r="28" spans="1:7">
      <c r="A28" s="2">
        <v>2</v>
      </c>
      <c r="B28" s="77">
        <v>0.71</v>
      </c>
      <c r="C28" s="75">
        <v>0.67520000000000002</v>
      </c>
      <c r="D28" s="75">
        <v>0.48359999999999997</v>
      </c>
      <c r="E28" s="79">
        <v>12.05</v>
      </c>
      <c r="F28" s="79">
        <f t="shared" si="0"/>
        <v>-0.72649716024149946</v>
      </c>
      <c r="G28" s="80"/>
    </row>
    <row r="29" spans="1:7">
      <c r="A29" s="2">
        <v>2</v>
      </c>
      <c r="B29" s="77">
        <v>0.71</v>
      </c>
      <c r="C29" s="75">
        <v>0.67520000000000002</v>
      </c>
      <c r="D29" s="75">
        <v>0.48359999999999997</v>
      </c>
      <c r="E29" s="79">
        <v>11.94</v>
      </c>
      <c r="F29" s="79">
        <f t="shared" si="0"/>
        <v>-0.72649716024149946</v>
      </c>
      <c r="G29" s="80"/>
    </row>
    <row r="30" spans="1:7">
      <c r="A30" s="2">
        <v>2</v>
      </c>
      <c r="B30" s="77">
        <v>0.71</v>
      </c>
      <c r="C30" s="75">
        <v>0.67520000000000002</v>
      </c>
      <c r="D30" s="75">
        <v>0.48359999999999997</v>
      </c>
      <c r="E30" s="79">
        <v>5.83</v>
      </c>
      <c r="F30" s="79">
        <f t="shared" si="0"/>
        <v>-0.72649716024149946</v>
      </c>
      <c r="G30" s="80"/>
    </row>
    <row r="31" spans="1:7">
      <c r="A31" s="2">
        <v>2</v>
      </c>
      <c r="B31" s="77">
        <v>0.71</v>
      </c>
      <c r="C31" s="75">
        <v>0.67520000000000002</v>
      </c>
      <c r="D31" s="75">
        <v>0.48359999999999997</v>
      </c>
      <c r="E31" s="79">
        <v>5.63</v>
      </c>
      <c r="F31" s="79">
        <f t="shared" si="0"/>
        <v>-0.72649716024149946</v>
      </c>
      <c r="G31" s="80"/>
    </row>
    <row r="32" spans="1:7">
      <c r="A32" s="2">
        <v>2</v>
      </c>
      <c r="B32" s="77">
        <v>0.71</v>
      </c>
      <c r="C32" s="75">
        <v>0.67520000000000002</v>
      </c>
      <c r="D32" s="75">
        <v>0.48359999999999997</v>
      </c>
      <c r="E32" s="79">
        <v>8.0500000000000007</v>
      </c>
      <c r="F32" s="79">
        <f t="shared" si="0"/>
        <v>-0.72649716024149946</v>
      </c>
      <c r="G32" s="80"/>
    </row>
    <row r="33" spans="1:7">
      <c r="A33" s="2">
        <v>2</v>
      </c>
      <c r="B33" s="77">
        <v>0.71</v>
      </c>
      <c r="C33" s="75">
        <v>0.67520000000000002</v>
      </c>
      <c r="D33" s="75">
        <v>0.48359999999999997</v>
      </c>
      <c r="E33" s="79">
        <v>10.37</v>
      </c>
      <c r="F33" s="79">
        <f t="shared" si="0"/>
        <v>-0.72649716024149946</v>
      </c>
      <c r="G33" s="80"/>
    </row>
    <row r="34" spans="1:7">
      <c r="A34" s="2">
        <v>2</v>
      </c>
      <c r="B34" s="77">
        <v>0.71</v>
      </c>
      <c r="C34" s="75">
        <v>0.67520000000000002</v>
      </c>
      <c r="D34" s="75">
        <v>0.48359999999999997</v>
      </c>
      <c r="E34" s="79">
        <v>11.44</v>
      </c>
      <c r="F34" s="79">
        <f t="shared" si="0"/>
        <v>-0.72649716024149946</v>
      </c>
      <c r="G34" s="80"/>
    </row>
    <row r="35" spans="1:7">
      <c r="A35" s="2">
        <v>2</v>
      </c>
      <c r="B35" s="77">
        <v>0.71</v>
      </c>
      <c r="C35" s="75">
        <v>0.67520000000000002</v>
      </c>
      <c r="D35" s="75">
        <v>0.48359999999999997</v>
      </c>
      <c r="E35" s="79">
        <v>11.76</v>
      </c>
      <c r="F35" s="79">
        <f t="shared" si="0"/>
        <v>-0.72649716024149946</v>
      </c>
      <c r="G35" s="80"/>
    </row>
    <row r="36" spans="1:7">
      <c r="A36" s="2">
        <v>2</v>
      </c>
      <c r="B36" s="77">
        <v>0.71</v>
      </c>
      <c r="C36" s="75">
        <v>0.67520000000000002</v>
      </c>
      <c r="D36" s="75">
        <v>0.48359999999999997</v>
      </c>
      <c r="E36" s="79">
        <v>10.95</v>
      </c>
      <c r="F36" s="79">
        <f t="shared" si="0"/>
        <v>-0.72649716024149946</v>
      </c>
      <c r="G36" s="80"/>
    </row>
    <row r="37" spans="1:7">
      <c r="A37" s="2">
        <v>2</v>
      </c>
      <c r="B37" s="77">
        <v>0.71</v>
      </c>
      <c r="C37" s="75">
        <v>0.67520000000000002</v>
      </c>
      <c r="D37" s="75">
        <v>0.48359999999999997</v>
      </c>
      <c r="E37" s="79">
        <v>11.56</v>
      </c>
      <c r="F37" s="79">
        <f t="shared" si="0"/>
        <v>-0.72649716024149946</v>
      </c>
      <c r="G37" s="80"/>
    </row>
    <row r="38" spans="1:7">
      <c r="A38" s="2">
        <v>3</v>
      </c>
      <c r="B38" s="77">
        <v>0.71</v>
      </c>
      <c r="C38" s="75">
        <v>0.64559999999999995</v>
      </c>
      <c r="D38" s="75">
        <v>0.62629999999999997</v>
      </c>
      <c r="E38" s="79">
        <v>13.12</v>
      </c>
      <c r="F38" s="79">
        <f t="shared" si="0"/>
        <v>-0.46792578945076996</v>
      </c>
      <c r="G38" s="80"/>
    </row>
    <row r="39" spans="1:7">
      <c r="A39" s="2">
        <v>3</v>
      </c>
      <c r="B39" s="77">
        <v>0.71</v>
      </c>
      <c r="C39" s="75">
        <v>0.64559999999999995</v>
      </c>
      <c r="D39" s="75">
        <v>0.62629999999999997</v>
      </c>
      <c r="E39" s="79">
        <v>12.08</v>
      </c>
      <c r="F39" s="79">
        <f t="shared" si="0"/>
        <v>-0.46792578945076996</v>
      </c>
      <c r="G39" s="80"/>
    </row>
    <row r="40" spans="1:7">
      <c r="A40" s="2">
        <v>3</v>
      </c>
      <c r="B40" s="77">
        <v>0.71</v>
      </c>
      <c r="C40" s="75">
        <v>0.64559999999999995</v>
      </c>
      <c r="D40" s="75">
        <v>0.62629999999999997</v>
      </c>
      <c r="E40" s="79">
        <v>11.89</v>
      </c>
      <c r="F40" s="79">
        <f t="shared" si="0"/>
        <v>-0.46792578945076996</v>
      </c>
      <c r="G40" s="80"/>
    </row>
    <row r="41" spans="1:7">
      <c r="A41" s="2">
        <v>3</v>
      </c>
      <c r="B41" s="77">
        <v>0.71</v>
      </c>
      <c r="C41" s="75">
        <v>0.64559999999999995</v>
      </c>
      <c r="D41" s="75">
        <v>0.62629999999999997</v>
      </c>
      <c r="E41" s="79">
        <v>12.47</v>
      </c>
      <c r="F41" s="79">
        <f t="shared" si="0"/>
        <v>-0.46792578945076996</v>
      </c>
      <c r="G41" s="80"/>
    </row>
    <row r="42" spans="1:7">
      <c r="A42" s="2">
        <v>3</v>
      </c>
      <c r="B42" s="77">
        <v>0.71</v>
      </c>
      <c r="C42" s="75">
        <v>0.64559999999999995</v>
      </c>
      <c r="D42" s="75">
        <v>0.62629999999999997</v>
      </c>
      <c r="E42" s="79">
        <v>10.89</v>
      </c>
      <c r="F42" s="79">
        <f t="shared" si="0"/>
        <v>-0.46792578945076996</v>
      </c>
      <c r="G42" s="80"/>
    </row>
    <row r="43" spans="1:7">
      <c r="A43" s="2">
        <v>3</v>
      </c>
      <c r="B43" s="77">
        <v>0.71</v>
      </c>
      <c r="C43" s="75">
        <v>0.64559999999999995</v>
      </c>
      <c r="D43" s="75">
        <v>0.62629999999999997</v>
      </c>
      <c r="E43" s="79">
        <v>11.69</v>
      </c>
      <c r="F43" s="79">
        <f t="shared" si="0"/>
        <v>-0.46792578945076996</v>
      </c>
      <c r="G43" s="80"/>
    </row>
    <row r="44" spans="1:7">
      <c r="A44" s="2">
        <v>3</v>
      </c>
      <c r="B44" s="77">
        <v>0.71</v>
      </c>
      <c r="C44" s="75">
        <v>0.64559999999999995</v>
      </c>
      <c r="D44" s="75">
        <v>0.62629999999999997</v>
      </c>
      <c r="E44" s="79">
        <v>12.12</v>
      </c>
      <c r="F44" s="79">
        <f t="shared" si="0"/>
        <v>-0.46792578945076996</v>
      </c>
      <c r="G44" s="80"/>
    </row>
    <row r="45" spans="1:7">
      <c r="A45" s="2">
        <v>3</v>
      </c>
      <c r="B45" s="77">
        <v>0.71</v>
      </c>
      <c r="C45" s="75">
        <v>0.64559999999999995</v>
      </c>
      <c r="D45" s="75">
        <v>0.62629999999999997</v>
      </c>
      <c r="E45" s="79">
        <v>12.23</v>
      </c>
      <c r="F45" s="79">
        <f t="shared" si="0"/>
        <v>-0.46792578945076996</v>
      </c>
      <c r="G45" s="80"/>
    </row>
    <row r="46" spans="1:7">
      <c r="A46" s="2">
        <v>3</v>
      </c>
      <c r="B46" s="77">
        <v>0.71</v>
      </c>
      <c r="C46" s="75">
        <v>0.64559999999999995</v>
      </c>
      <c r="D46" s="75">
        <v>0.62629999999999997</v>
      </c>
      <c r="E46" s="79">
        <v>10.39</v>
      </c>
      <c r="F46" s="79">
        <f t="shared" si="0"/>
        <v>-0.46792578945076996</v>
      </c>
      <c r="G46" s="80"/>
    </row>
    <row r="47" spans="1:7">
      <c r="A47" s="2">
        <v>3</v>
      </c>
      <c r="B47" s="77">
        <v>0.71</v>
      </c>
      <c r="C47" s="75">
        <v>0.64559999999999995</v>
      </c>
      <c r="D47" s="75">
        <v>0.62629999999999997</v>
      </c>
      <c r="E47" s="79">
        <v>10.25</v>
      </c>
      <c r="F47" s="79">
        <f t="shared" si="0"/>
        <v>-0.46792578945076996</v>
      </c>
      <c r="G47" s="80"/>
    </row>
    <row r="48" spans="1:7">
      <c r="A48" s="2">
        <v>3</v>
      </c>
      <c r="B48" s="77">
        <v>0.71</v>
      </c>
      <c r="C48" s="75">
        <v>0.64559999999999995</v>
      </c>
      <c r="D48" s="75">
        <v>0.62629999999999997</v>
      </c>
      <c r="E48" s="79">
        <v>9.8800000000000008</v>
      </c>
      <c r="F48" s="79">
        <f t="shared" si="0"/>
        <v>-0.46792578945076996</v>
      </c>
      <c r="G48" s="80"/>
    </row>
    <row r="49" spans="1:7">
      <c r="A49" s="2">
        <v>3</v>
      </c>
      <c r="B49" s="77">
        <v>0.71</v>
      </c>
      <c r="C49" s="75">
        <v>0.64559999999999995</v>
      </c>
      <c r="D49" s="75">
        <v>0.62629999999999997</v>
      </c>
      <c r="E49" s="79">
        <v>10.16</v>
      </c>
      <c r="F49" s="79">
        <f t="shared" si="0"/>
        <v>-0.46792578945076996</v>
      </c>
      <c r="G49" s="80"/>
    </row>
    <row r="50" spans="1:7">
      <c r="A50" s="2">
        <v>4</v>
      </c>
      <c r="B50" s="77">
        <v>0.71</v>
      </c>
      <c r="C50" s="75">
        <v>0.66679999999999995</v>
      </c>
      <c r="D50" s="75">
        <v>0.59799999999999998</v>
      </c>
      <c r="E50" s="79">
        <v>11.87</v>
      </c>
      <c r="F50" s="79">
        <f t="shared" si="0"/>
        <v>-0.51416452503150534</v>
      </c>
      <c r="G50" s="80"/>
    </row>
    <row r="51" spans="1:7">
      <c r="A51" s="2">
        <v>4</v>
      </c>
      <c r="B51" s="77">
        <v>0.71</v>
      </c>
      <c r="C51" s="75">
        <v>0.66679999999999995</v>
      </c>
      <c r="D51" s="75">
        <v>0.59799999999999998</v>
      </c>
      <c r="E51" s="79">
        <v>11.37</v>
      </c>
      <c r="F51" s="79">
        <f t="shared" si="0"/>
        <v>-0.51416452503150534</v>
      </c>
      <c r="G51" s="80"/>
    </row>
    <row r="52" spans="1:7">
      <c r="A52" s="2">
        <v>4</v>
      </c>
      <c r="B52" s="77">
        <v>0.71</v>
      </c>
      <c r="C52" s="75">
        <v>0.66679999999999995</v>
      </c>
      <c r="D52" s="75">
        <v>0.59799999999999998</v>
      </c>
      <c r="E52" s="79">
        <v>11.76</v>
      </c>
      <c r="F52" s="79">
        <f t="shared" si="0"/>
        <v>-0.51416452503150534</v>
      </c>
      <c r="G52" s="80"/>
    </row>
    <row r="53" spans="1:7">
      <c r="A53" s="2">
        <v>4</v>
      </c>
      <c r="B53" s="77">
        <v>0.71</v>
      </c>
      <c r="C53" s="75">
        <v>0.66679999999999995</v>
      </c>
      <c r="D53" s="75">
        <v>0.59799999999999998</v>
      </c>
      <c r="E53" s="79">
        <v>23</v>
      </c>
      <c r="F53" s="79">
        <f t="shared" si="0"/>
        <v>-0.51416452503150534</v>
      </c>
      <c r="G53" s="80"/>
    </row>
    <row r="54" spans="1:7">
      <c r="A54" s="2">
        <v>4</v>
      </c>
      <c r="B54" s="77">
        <v>0.71</v>
      </c>
      <c r="C54" s="75">
        <v>0.66679999999999995</v>
      </c>
      <c r="D54" s="75">
        <v>0.59799999999999998</v>
      </c>
      <c r="E54" s="79">
        <v>21.16</v>
      </c>
      <c r="F54" s="79">
        <f t="shared" si="0"/>
        <v>-0.51416452503150534</v>
      </c>
      <c r="G54" s="80"/>
    </row>
    <row r="55" spans="1:7">
      <c r="A55" s="2">
        <v>4</v>
      </c>
      <c r="B55" s="77">
        <v>0.71</v>
      </c>
      <c r="C55" s="75">
        <v>0.66679999999999995</v>
      </c>
      <c r="D55" s="75">
        <v>0.59799999999999998</v>
      </c>
      <c r="E55" s="79">
        <v>15.28</v>
      </c>
      <c r="F55" s="79">
        <f t="shared" si="0"/>
        <v>-0.51416452503150534</v>
      </c>
      <c r="G55" s="80"/>
    </row>
    <row r="56" spans="1:7">
      <c r="A56" s="2">
        <v>4</v>
      </c>
      <c r="B56" s="77">
        <v>0.71</v>
      </c>
      <c r="C56" s="75">
        <v>0.66679999999999995</v>
      </c>
      <c r="D56" s="75">
        <v>0.59799999999999998</v>
      </c>
      <c r="E56" s="79">
        <v>12.79</v>
      </c>
      <c r="F56" s="79">
        <f t="shared" si="0"/>
        <v>-0.51416452503150534</v>
      </c>
      <c r="G56" s="80"/>
    </row>
    <row r="57" spans="1:7">
      <c r="A57" s="2">
        <v>4</v>
      </c>
      <c r="B57" s="77">
        <v>0.71</v>
      </c>
      <c r="C57" s="75">
        <v>0.66679999999999995</v>
      </c>
      <c r="D57" s="75">
        <v>0.59799999999999998</v>
      </c>
      <c r="E57" s="79">
        <v>12.49</v>
      </c>
      <c r="F57" s="79">
        <f t="shared" si="0"/>
        <v>-0.51416452503150534</v>
      </c>
      <c r="G57" s="80"/>
    </row>
    <row r="58" spans="1:7">
      <c r="A58" s="2">
        <v>4</v>
      </c>
      <c r="B58" s="77">
        <v>0.71</v>
      </c>
      <c r="C58" s="75">
        <v>0.66679999999999995</v>
      </c>
      <c r="D58" s="75">
        <v>0.59799999999999998</v>
      </c>
      <c r="E58" s="79">
        <v>12.79</v>
      </c>
      <c r="F58" s="79">
        <f t="shared" si="0"/>
        <v>-0.51416452503150534</v>
      </c>
      <c r="G58" s="80"/>
    </row>
    <row r="59" spans="1:7">
      <c r="A59" s="2">
        <v>4</v>
      </c>
      <c r="B59" s="77">
        <v>0.71</v>
      </c>
      <c r="C59" s="75">
        <v>0.66679999999999995</v>
      </c>
      <c r="D59" s="75">
        <v>0.59799999999999998</v>
      </c>
      <c r="E59" s="79">
        <v>11.73</v>
      </c>
      <c r="F59" s="79">
        <f t="shared" si="0"/>
        <v>-0.51416452503150534</v>
      </c>
      <c r="G59" s="80"/>
    </row>
    <row r="60" spans="1:7">
      <c r="A60" s="2">
        <v>4</v>
      </c>
      <c r="B60" s="77">
        <v>0.71</v>
      </c>
      <c r="C60" s="75">
        <v>0.66679999999999995</v>
      </c>
      <c r="D60" s="75">
        <v>0.59799999999999998</v>
      </c>
      <c r="E60" s="79">
        <v>12.55</v>
      </c>
      <c r="F60" s="79">
        <f t="shared" si="0"/>
        <v>-0.51416452503150534</v>
      </c>
      <c r="G60" s="80"/>
    </row>
    <row r="61" spans="1:7">
      <c r="A61" s="2">
        <v>4</v>
      </c>
      <c r="B61" s="77">
        <v>0.71</v>
      </c>
      <c r="C61" s="75">
        <v>0.66679999999999995</v>
      </c>
      <c r="D61" s="75">
        <v>0.59799999999999998</v>
      </c>
      <c r="E61" s="79">
        <v>12.66</v>
      </c>
      <c r="F61" s="79">
        <f t="shared" si="0"/>
        <v>-0.51416452503150534</v>
      </c>
      <c r="G61" s="80"/>
    </row>
    <row r="62" spans="1:7">
      <c r="A62" s="2">
        <v>5</v>
      </c>
      <c r="B62" s="77">
        <v>0.71</v>
      </c>
      <c r="C62" s="75">
        <v>0.65859999999999996</v>
      </c>
      <c r="D62" s="75">
        <v>0.64380000000000004</v>
      </c>
      <c r="E62" s="79">
        <v>14.98</v>
      </c>
      <c r="F62" s="79">
        <f t="shared" si="0"/>
        <v>-0.44036716011742921</v>
      </c>
      <c r="G62" s="80"/>
    </row>
    <row r="63" spans="1:7">
      <c r="A63" s="2">
        <v>5</v>
      </c>
      <c r="B63" s="77">
        <v>0.71</v>
      </c>
      <c r="C63" s="75">
        <v>0.65859999999999996</v>
      </c>
      <c r="D63" s="75">
        <v>0.64380000000000004</v>
      </c>
      <c r="E63" s="79">
        <v>13.16</v>
      </c>
      <c r="F63" s="79">
        <f t="shared" si="0"/>
        <v>-0.44036716011742921</v>
      </c>
      <c r="G63" s="80"/>
    </row>
    <row r="64" spans="1:7">
      <c r="A64" s="2">
        <v>5</v>
      </c>
      <c r="B64" s="77">
        <v>0.71</v>
      </c>
      <c r="C64" s="75">
        <v>0.65859999999999996</v>
      </c>
      <c r="D64" s="75">
        <v>0.64380000000000004</v>
      </c>
      <c r="E64" s="79">
        <v>13.12</v>
      </c>
      <c r="F64" s="79">
        <f t="shared" si="0"/>
        <v>-0.44036716011742921</v>
      </c>
      <c r="G64" s="80"/>
    </row>
    <row r="65" spans="1:7">
      <c r="A65" s="2">
        <v>5</v>
      </c>
      <c r="B65" s="77">
        <v>0.71</v>
      </c>
      <c r="C65" s="75">
        <v>0.65859999999999996</v>
      </c>
      <c r="D65" s="75">
        <v>0.64380000000000004</v>
      </c>
      <c r="E65" s="79">
        <v>12.12</v>
      </c>
      <c r="F65" s="79">
        <f t="shared" si="0"/>
        <v>-0.44036716011742921</v>
      </c>
      <c r="G65" s="80"/>
    </row>
    <row r="66" spans="1:7">
      <c r="A66" s="2">
        <v>5</v>
      </c>
      <c r="B66" s="77">
        <v>0.71</v>
      </c>
      <c r="C66" s="75">
        <v>0.65859999999999996</v>
      </c>
      <c r="D66" s="75">
        <v>0.64380000000000004</v>
      </c>
      <c r="E66" s="79">
        <v>11</v>
      </c>
      <c r="F66" s="79">
        <f t="shared" si="0"/>
        <v>-0.44036716011742921</v>
      </c>
      <c r="G66" s="80"/>
    </row>
    <row r="67" spans="1:7">
      <c r="A67" s="2">
        <v>5</v>
      </c>
      <c r="B67" s="77">
        <v>0.71</v>
      </c>
      <c r="C67" s="75">
        <v>0.65859999999999996</v>
      </c>
      <c r="D67" s="75">
        <v>0.64380000000000004</v>
      </c>
      <c r="E67" s="79">
        <v>15.16</v>
      </c>
      <c r="F67" s="79">
        <f t="shared" ref="F67:F130" si="1">LN(D67)</f>
        <v>-0.44036716011742921</v>
      </c>
      <c r="G67" s="80"/>
    </row>
    <row r="68" spans="1:7">
      <c r="A68" s="2">
        <v>5</v>
      </c>
      <c r="B68" s="77">
        <v>0.71</v>
      </c>
      <c r="C68" s="75">
        <v>0.65859999999999996</v>
      </c>
      <c r="D68" s="75">
        <v>0.64380000000000004</v>
      </c>
      <c r="E68" s="79">
        <v>12.56</v>
      </c>
      <c r="F68" s="79">
        <f t="shared" si="1"/>
        <v>-0.44036716011742921</v>
      </c>
      <c r="G68" s="80"/>
    </row>
    <row r="69" spans="1:7">
      <c r="A69" s="2">
        <v>5</v>
      </c>
      <c r="B69" s="77">
        <v>0.71</v>
      </c>
      <c r="C69" s="75">
        <v>0.65859999999999996</v>
      </c>
      <c r="D69" s="75">
        <v>0.64380000000000004</v>
      </c>
      <c r="E69" s="79">
        <v>12.55</v>
      </c>
      <c r="F69" s="79">
        <f t="shared" si="1"/>
        <v>-0.44036716011742921</v>
      </c>
      <c r="G69" s="80"/>
    </row>
    <row r="70" spans="1:7">
      <c r="A70" s="2">
        <v>5</v>
      </c>
      <c r="B70" s="77">
        <v>0.71</v>
      </c>
      <c r="C70" s="75">
        <v>0.65859999999999996</v>
      </c>
      <c r="D70" s="75">
        <v>0.64380000000000004</v>
      </c>
      <c r="E70" s="79">
        <v>11.8</v>
      </c>
      <c r="F70" s="79">
        <f t="shared" si="1"/>
        <v>-0.44036716011742921</v>
      </c>
      <c r="G70" s="80"/>
    </row>
    <row r="71" spans="1:7">
      <c r="A71" s="2">
        <v>5</v>
      </c>
      <c r="B71" s="77">
        <v>0.71</v>
      </c>
      <c r="C71" s="75">
        <v>0.65859999999999996</v>
      </c>
      <c r="D71" s="75">
        <v>0.64380000000000004</v>
      </c>
      <c r="E71" s="79">
        <v>12.15</v>
      </c>
      <c r="F71" s="79">
        <f t="shared" si="1"/>
        <v>-0.44036716011742921</v>
      </c>
      <c r="G71" s="80"/>
    </row>
    <row r="72" spans="1:7">
      <c r="A72" s="2">
        <v>5</v>
      </c>
      <c r="B72" s="77">
        <v>0.71</v>
      </c>
      <c r="C72" s="75">
        <v>0.65859999999999996</v>
      </c>
      <c r="D72" s="75">
        <v>0.64380000000000004</v>
      </c>
      <c r="E72" s="79">
        <v>12.13</v>
      </c>
      <c r="F72" s="79">
        <f t="shared" si="1"/>
        <v>-0.44036716011742921</v>
      </c>
      <c r="G72" s="80"/>
    </row>
    <row r="73" spans="1:7">
      <c r="A73" s="2">
        <v>5</v>
      </c>
      <c r="B73" s="77">
        <v>0.71</v>
      </c>
      <c r="C73" s="75">
        <v>0.65859999999999996</v>
      </c>
      <c r="D73" s="75">
        <v>0.64380000000000004</v>
      </c>
      <c r="E73" s="79">
        <v>13.08</v>
      </c>
      <c r="F73" s="79">
        <f t="shared" si="1"/>
        <v>-0.44036716011742921</v>
      </c>
      <c r="G73" s="80"/>
    </row>
    <row r="74" spans="1:7">
      <c r="A74" s="2">
        <v>6</v>
      </c>
      <c r="B74" s="77">
        <v>0.71</v>
      </c>
      <c r="C74" s="75">
        <v>0.6593</v>
      </c>
      <c r="D74" s="75">
        <v>0.64580000000000004</v>
      </c>
      <c r="E74" s="79">
        <v>14.29</v>
      </c>
      <c r="F74" s="79">
        <f t="shared" si="1"/>
        <v>-0.43726542065796214</v>
      </c>
      <c r="G74" s="80"/>
    </row>
    <row r="75" spans="1:7">
      <c r="A75" s="2">
        <v>6</v>
      </c>
      <c r="B75" s="77">
        <v>0.71</v>
      </c>
      <c r="C75" s="75">
        <v>0.6593</v>
      </c>
      <c r="D75" s="75">
        <v>0.64580000000000004</v>
      </c>
      <c r="E75" s="79">
        <v>12.54</v>
      </c>
      <c r="F75" s="79">
        <f t="shared" si="1"/>
        <v>-0.43726542065796214</v>
      </c>
      <c r="G75" s="80"/>
    </row>
    <row r="76" spans="1:7">
      <c r="A76" s="2">
        <v>6</v>
      </c>
      <c r="B76" s="77">
        <v>0.71</v>
      </c>
      <c r="C76" s="75">
        <v>0.6593</v>
      </c>
      <c r="D76" s="75">
        <v>0.64580000000000004</v>
      </c>
      <c r="E76" s="79">
        <v>12.7</v>
      </c>
      <c r="F76" s="79">
        <f t="shared" si="1"/>
        <v>-0.43726542065796214</v>
      </c>
      <c r="G76" s="80"/>
    </row>
    <row r="77" spans="1:7">
      <c r="A77" s="2">
        <v>6</v>
      </c>
      <c r="B77" s="77">
        <v>0.71</v>
      </c>
      <c r="C77" s="75">
        <v>0.6593</v>
      </c>
      <c r="D77" s="75">
        <v>0.64580000000000004</v>
      </c>
      <c r="E77" s="79">
        <v>13.29</v>
      </c>
      <c r="F77" s="79">
        <f t="shared" si="1"/>
        <v>-0.43726542065796214</v>
      </c>
      <c r="G77" s="80"/>
    </row>
    <row r="78" spans="1:7">
      <c r="A78" s="2">
        <v>6</v>
      </c>
      <c r="B78" s="77">
        <v>0.71</v>
      </c>
      <c r="C78" s="75">
        <v>0.6593</v>
      </c>
      <c r="D78" s="75">
        <v>0.64580000000000004</v>
      </c>
      <c r="E78" s="79">
        <v>11.77</v>
      </c>
      <c r="F78" s="79">
        <f t="shared" si="1"/>
        <v>-0.43726542065796214</v>
      </c>
      <c r="G78" s="80"/>
    </row>
    <row r="79" spans="1:7">
      <c r="A79" s="2">
        <v>6</v>
      </c>
      <c r="B79" s="77">
        <v>0.71</v>
      </c>
      <c r="C79" s="75">
        <v>0.6593</v>
      </c>
      <c r="D79" s="75">
        <v>0.64580000000000004</v>
      </c>
      <c r="E79" s="79">
        <v>12.95</v>
      </c>
      <c r="F79" s="79">
        <f t="shared" si="1"/>
        <v>-0.43726542065796214</v>
      </c>
      <c r="G79" s="80"/>
    </row>
    <row r="80" spans="1:7">
      <c r="A80" s="2">
        <v>6</v>
      </c>
      <c r="B80" s="77">
        <v>0.71</v>
      </c>
      <c r="C80" s="75">
        <v>0.6593</v>
      </c>
      <c r="D80" s="75">
        <v>0.64580000000000004</v>
      </c>
      <c r="E80" s="79">
        <v>13.3</v>
      </c>
      <c r="F80" s="79">
        <f t="shared" si="1"/>
        <v>-0.43726542065796214</v>
      </c>
      <c r="G80" s="80"/>
    </row>
    <row r="81" spans="1:7">
      <c r="A81" s="2">
        <v>6</v>
      </c>
      <c r="B81" s="77">
        <v>0.71</v>
      </c>
      <c r="C81" s="75">
        <v>0.6593</v>
      </c>
      <c r="D81" s="75">
        <v>0.64580000000000004</v>
      </c>
      <c r="E81" s="79">
        <v>13.33</v>
      </c>
      <c r="F81" s="79">
        <f t="shared" si="1"/>
        <v>-0.43726542065796214</v>
      </c>
      <c r="G81" s="80"/>
    </row>
    <row r="82" spans="1:7">
      <c r="A82" s="2">
        <v>6</v>
      </c>
      <c r="B82" s="77">
        <v>0.71</v>
      </c>
      <c r="C82" s="75">
        <v>0.6593</v>
      </c>
      <c r="D82" s="75">
        <v>0.64580000000000004</v>
      </c>
      <c r="E82" s="79">
        <v>11.94</v>
      </c>
      <c r="F82" s="79">
        <f t="shared" si="1"/>
        <v>-0.43726542065796214</v>
      </c>
      <c r="G82" s="80"/>
    </row>
    <row r="83" spans="1:7">
      <c r="A83" s="2">
        <v>6</v>
      </c>
      <c r="B83" s="77">
        <v>0.71</v>
      </c>
      <c r="C83" s="75">
        <v>0.6593</v>
      </c>
      <c r="D83" s="75">
        <v>0.64580000000000004</v>
      </c>
      <c r="E83" s="79">
        <v>12.54</v>
      </c>
      <c r="F83" s="79">
        <f t="shared" si="1"/>
        <v>-0.43726542065796214</v>
      </c>
      <c r="G83" s="80"/>
    </row>
    <row r="84" spans="1:7">
      <c r="A84" s="2">
        <v>6</v>
      </c>
      <c r="B84" s="77">
        <v>0.71</v>
      </c>
      <c r="C84" s="75">
        <v>0.6593</v>
      </c>
      <c r="D84" s="75">
        <v>0.64580000000000004</v>
      </c>
      <c r="E84" s="79">
        <v>11.94</v>
      </c>
      <c r="F84" s="79">
        <f t="shared" si="1"/>
        <v>-0.43726542065796214</v>
      </c>
      <c r="G84" s="80"/>
    </row>
    <row r="85" spans="1:7">
      <c r="A85" s="2">
        <v>6</v>
      </c>
      <c r="B85" s="77">
        <v>0.71</v>
      </c>
      <c r="C85" s="75">
        <v>0.6593</v>
      </c>
      <c r="D85" s="75">
        <v>0.64580000000000004</v>
      </c>
      <c r="E85" s="79">
        <v>12.9</v>
      </c>
      <c r="F85" s="79">
        <f t="shared" si="1"/>
        <v>-0.43726542065796214</v>
      </c>
      <c r="G85" s="80"/>
    </row>
    <row r="86" spans="1:7">
      <c r="A86" s="2">
        <v>7</v>
      </c>
      <c r="B86" s="77">
        <v>0.71</v>
      </c>
      <c r="C86" s="75">
        <v>0.66579999999999995</v>
      </c>
      <c r="D86" s="75">
        <v>0.65059999999999996</v>
      </c>
      <c r="E86" s="79">
        <v>15.02</v>
      </c>
      <c r="F86" s="79">
        <f t="shared" si="1"/>
        <v>-0.42986026494288604</v>
      </c>
      <c r="G86" s="80"/>
    </row>
    <row r="87" spans="1:7">
      <c r="A87" s="2">
        <v>7</v>
      </c>
      <c r="B87" s="77">
        <v>0.71</v>
      </c>
      <c r="C87" s="75">
        <v>0.66579999999999995</v>
      </c>
      <c r="D87" s="75">
        <v>0.65059999999999996</v>
      </c>
      <c r="E87" s="79">
        <v>13.67</v>
      </c>
      <c r="F87" s="79">
        <f t="shared" si="1"/>
        <v>-0.42986026494288604</v>
      </c>
      <c r="G87" s="80"/>
    </row>
    <row r="88" spans="1:7">
      <c r="A88" s="2">
        <v>7</v>
      </c>
      <c r="B88" s="77">
        <v>0.71</v>
      </c>
      <c r="C88" s="75">
        <v>0.66579999999999995</v>
      </c>
      <c r="D88" s="75">
        <v>0.65059999999999996</v>
      </c>
      <c r="E88" s="79">
        <v>12.91</v>
      </c>
      <c r="F88" s="79">
        <f t="shared" si="1"/>
        <v>-0.42986026494288604</v>
      </c>
      <c r="G88" s="80"/>
    </row>
    <row r="89" spans="1:7">
      <c r="A89" s="2">
        <v>7</v>
      </c>
      <c r="B89" s="77">
        <v>0.71</v>
      </c>
      <c r="C89" s="75">
        <v>0.66579999999999995</v>
      </c>
      <c r="D89" s="75">
        <v>0.65059999999999996</v>
      </c>
      <c r="E89" s="79">
        <v>12.83</v>
      </c>
      <c r="F89" s="79">
        <f t="shared" si="1"/>
        <v>-0.42986026494288604</v>
      </c>
      <c r="G89" s="80"/>
    </row>
    <row r="90" spans="1:7">
      <c r="A90" s="2">
        <v>7</v>
      </c>
      <c r="B90" s="77">
        <v>0.71</v>
      </c>
      <c r="C90" s="75">
        <v>0.66579999999999995</v>
      </c>
      <c r="D90" s="75">
        <v>0.65059999999999996</v>
      </c>
      <c r="E90" s="79">
        <v>12.94</v>
      </c>
      <c r="F90" s="79">
        <f t="shared" si="1"/>
        <v>-0.42986026494288604</v>
      </c>
      <c r="G90" s="80"/>
    </row>
    <row r="91" spans="1:7">
      <c r="A91" s="2">
        <v>7</v>
      </c>
      <c r="B91" s="77">
        <v>0.71</v>
      </c>
      <c r="C91" s="75">
        <v>0.66579999999999995</v>
      </c>
      <c r="D91" s="75">
        <v>0.65059999999999996</v>
      </c>
      <c r="E91" s="79">
        <v>13.61</v>
      </c>
      <c r="F91" s="79">
        <f t="shared" si="1"/>
        <v>-0.42986026494288604</v>
      </c>
      <c r="G91" s="80"/>
    </row>
    <row r="92" spans="1:7">
      <c r="A92" s="2">
        <v>7</v>
      </c>
      <c r="B92" s="77">
        <v>0.71</v>
      </c>
      <c r="C92" s="75">
        <v>0.66579999999999995</v>
      </c>
      <c r="D92" s="75">
        <v>0.65059999999999996</v>
      </c>
      <c r="E92" s="79">
        <v>13.96</v>
      </c>
      <c r="F92" s="79">
        <f t="shared" si="1"/>
        <v>-0.42986026494288604</v>
      </c>
      <c r="G92" s="80"/>
    </row>
    <row r="93" spans="1:7">
      <c r="A93" s="2">
        <v>7</v>
      </c>
      <c r="B93" s="77">
        <v>0.71</v>
      </c>
      <c r="C93" s="75">
        <v>0.66579999999999995</v>
      </c>
      <c r="D93" s="75">
        <v>0.65059999999999996</v>
      </c>
      <c r="E93" s="79">
        <v>14.02</v>
      </c>
      <c r="F93" s="79">
        <f t="shared" si="1"/>
        <v>-0.42986026494288604</v>
      </c>
      <c r="G93" s="80"/>
    </row>
    <row r="94" spans="1:7">
      <c r="A94" s="2">
        <v>7</v>
      </c>
      <c r="B94" s="77">
        <v>0.71</v>
      </c>
      <c r="C94" s="75">
        <v>0.66579999999999995</v>
      </c>
      <c r="D94" s="75">
        <v>0.65059999999999996</v>
      </c>
      <c r="E94" s="79">
        <v>13.63</v>
      </c>
      <c r="F94" s="79">
        <f t="shared" si="1"/>
        <v>-0.42986026494288604</v>
      </c>
      <c r="G94" s="80"/>
    </row>
    <row r="95" spans="1:7">
      <c r="A95" s="2">
        <v>7</v>
      </c>
      <c r="B95" s="77">
        <v>0.71</v>
      </c>
      <c r="C95" s="75">
        <v>0.66579999999999995</v>
      </c>
      <c r="D95" s="75">
        <v>0.65059999999999996</v>
      </c>
      <c r="E95" s="79">
        <v>13.57</v>
      </c>
      <c r="F95" s="79">
        <f t="shared" si="1"/>
        <v>-0.42986026494288604</v>
      </c>
      <c r="G95" s="80"/>
    </row>
    <row r="96" spans="1:7">
      <c r="A96" s="2">
        <v>7</v>
      </c>
      <c r="B96" s="77">
        <v>0.71</v>
      </c>
      <c r="C96" s="75">
        <v>0.66579999999999995</v>
      </c>
      <c r="D96" s="75">
        <v>0.65059999999999996</v>
      </c>
      <c r="E96" s="79">
        <v>11.98</v>
      </c>
      <c r="F96" s="79">
        <f t="shared" si="1"/>
        <v>-0.42986026494288604</v>
      </c>
      <c r="G96" s="80"/>
    </row>
    <row r="97" spans="1:7">
      <c r="A97" s="2">
        <v>7</v>
      </c>
      <c r="B97" s="77">
        <v>0.71</v>
      </c>
      <c r="C97" s="75">
        <v>0.66579999999999995</v>
      </c>
      <c r="D97" s="75">
        <v>0.65059999999999996</v>
      </c>
      <c r="E97" s="79">
        <v>13.8</v>
      </c>
      <c r="F97" s="79">
        <f t="shared" si="1"/>
        <v>-0.42986026494288604</v>
      </c>
      <c r="G97" s="80"/>
    </row>
    <row r="98" spans="1:7">
      <c r="A98" s="2">
        <v>8</v>
      </c>
      <c r="B98" s="77">
        <v>0.71</v>
      </c>
      <c r="C98" s="75">
        <v>0.67159999999999997</v>
      </c>
      <c r="D98" s="75">
        <v>0.65029999999999999</v>
      </c>
      <c r="E98" s="79">
        <v>14.87</v>
      </c>
      <c r="F98" s="79">
        <f t="shared" si="1"/>
        <v>-0.43032148410703092</v>
      </c>
      <c r="G98" s="80"/>
    </row>
    <row r="99" spans="1:7">
      <c r="A99" s="2">
        <v>8</v>
      </c>
      <c r="B99" s="77">
        <v>0.71</v>
      </c>
      <c r="C99" s="75">
        <v>0.67159999999999997</v>
      </c>
      <c r="D99" s="75">
        <v>0.65029999999999999</v>
      </c>
      <c r="E99" s="79">
        <v>13.73</v>
      </c>
      <c r="F99" s="79">
        <f t="shared" si="1"/>
        <v>-0.43032148410703092</v>
      </c>
      <c r="G99" s="80"/>
    </row>
    <row r="100" spans="1:7">
      <c r="A100" s="2">
        <v>8</v>
      </c>
      <c r="B100" s="77">
        <v>0.71</v>
      </c>
      <c r="C100" s="75">
        <v>0.67159999999999997</v>
      </c>
      <c r="D100" s="75">
        <v>0.65029999999999999</v>
      </c>
      <c r="E100" s="79">
        <v>12.58</v>
      </c>
      <c r="F100" s="79">
        <f t="shared" si="1"/>
        <v>-0.43032148410703092</v>
      </c>
      <c r="G100" s="80"/>
    </row>
    <row r="101" spans="1:7">
      <c r="A101" s="2">
        <v>8</v>
      </c>
      <c r="B101" s="77">
        <v>0.71</v>
      </c>
      <c r="C101" s="75">
        <v>0.67159999999999997</v>
      </c>
      <c r="D101" s="75">
        <v>0.65029999999999999</v>
      </c>
      <c r="E101" s="79">
        <v>13.44</v>
      </c>
      <c r="F101" s="79">
        <f t="shared" si="1"/>
        <v>-0.43032148410703092</v>
      </c>
      <c r="G101" s="80"/>
    </row>
    <row r="102" spans="1:7">
      <c r="A102" s="2">
        <v>8</v>
      </c>
      <c r="B102" s="77">
        <v>0.71</v>
      </c>
      <c r="C102" s="75">
        <v>0.67159999999999997</v>
      </c>
      <c r="D102" s="75">
        <v>0.65029999999999999</v>
      </c>
      <c r="E102" s="79">
        <v>12.35</v>
      </c>
      <c r="F102" s="79">
        <f t="shared" si="1"/>
        <v>-0.43032148410703092</v>
      </c>
      <c r="G102" s="80"/>
    </row>
    <row r="103" spans="1:7">
      <c r="A103" s="2">
        <v>8</v>
      </c>
      <c r="B103" s="77">
        <v>0.71</v>
      </c>
      <c r="C103" s="75">
        <v>0.67159999999999997</v>
      </c>
      <c r="D103" s="75">
        <v>0.65029999999999999</v>
      </c>
      <c r="E103" s="79">
        <v>13.02</v>
      </c>
      <c r="F103" s="79">
        <f t="shared" si="1"/>
        <v>-0.43032148410703092</v>
      </c>
      <c r="G103" s="80"/>
    </row>
    <row r="104" spans="1:7">
      <c r="A104" s="2">
        <v>8</v>
      </c>
      <c r="B104" s="77">
        <v>0.71</v>
      </c>
      <c r="C104" s="75">
        <v>0.67159999999999997</v>
      </c>
      <c r="D104" s="75">
        <v>0.65029999999999999</v>
      </c>
      <c r="E104" s="79">
        <v>13.48</v>
      </c>
      <c r="F104" s="79">
        <f t="shared" si="1"/>
        <v>-0.43032148410703092</v>
      </c>
      <c r="G104" s="80"/>
    </row>
    <row r="105" spans="1:7">
      <c r="A105" s="2">
        <v>8</v>
      </c>
      <c r="B105" s="77">
        <v>0.71</v>
      </c>
      <c r="C105" s="75">
        <v>0.67159999999999997</v>
      </c>
      <c r="D105" s="75">
        <v>0.65029999999999999</v>
      </c>
      <c r="E105" s="79">
        <v>13.44</v>
      </c>
      <c r="F105" s="79">
        <f t="shared" si="1"/>
        <v>-0.43032148410703092</v>
      </c>
      <c r="G105" s="80"/>
    </row>
    <row r="106" spans="1:7">
      <c r="A106" s="2">
        <v>8</v>
      </c>
      <c r="B106" s="77">
        <v>0.71</v>
      </c>
      <c r="C106" s="75">
        <v>0.67159999999999997</v>
      </c>
      <c r="D106" s="75">
        <v>0.65029999999999999</v>
      </c>
      <c r="E106" s="79">
        <v>13.29</v>
      </c>
      <c r="F106" s="79">
        <f t="shared" si="1"/>
        <v>-0.43032148410703092</v>
      </c>
      <c r="G106" s="80"/>
    </row>
    <row r="107" spans="1:7">
      <c r="A107" s="2">
        <v>8</v>
      </c>
      <c r="B107" s="77">
        <v>0.71</v>
      </c>
      <c r="C107" s="75">
        <v>0.67159999999999997</v>
      </c>
      <c r="D107" s="75">
        <v>0.65029999999999999</v>
      </c>
      <c r="E107" s="79">
        <v>13.44</v>
      </c>
      <c r="F107" s="79">
        <f t="shared" si="1"/>
        <v>-0.43032148410703092</v>
      </c>
      <c r="G107" s="80"/>
    </row>
    <row r="108" spans="1:7">
      <c r="A108" s="2">
        <v>8</v>
      </c>
      <c r="B108" s="77">
        <v>0.71</v>
      </c>
      <c r="C108" s="75">
        <v>0.67159999999999997</v>
      </c>
      <c r="D108" s="75">
        <v>0.65029999999999999</v>
      </c>
      <c r="E108" s="79">
        <v>12.01</v>
      </c>
      <c r="F108" s="79">
        <f t="shared" si="1"/>
        <v>-0.43032148410703092</v>
      </c>
      <c r="G108" s="80"/>
    </row>
    <row r="109" spans="1:7">
      <c r="A109" s="2">
        <v>8</v>
      </c>
      <c r="B109" s="77">
        <v>0.71</v>
      </c>
      <c r="C109" s="75">
        <v>0.67159999999999997</v>
      </c>
      <c r="D109" s="75">
        <v>0.65029999999999999</v>
      </c>
      <c r="E109" s="79">
        <v>13.01</v>
      </c>
      <c r="F109" s="79">
        <f t="shared" si="1"/>
        <v>-0.43032148410703092</v>
      </c>
      <c r="G109" s="80"/>
    </row>
    <row r="110" spans="1:7">
      <c r="A110" s="2">
        <v>9</v>
      </c>
      <c r="B110" s="77">
        <v>0.71</v>
      </c>
      <c r="C110" s="75">
        <v>0.66180000000000005</v>
      </c>
      <c r="D110" s="75">
        <v>0.64549999999999996</v>
      </c>
      <c r="E110" s="79">
        <v>14.91</v>
      </c>
      <c r="F110" s="79">
        <f t="shared" si="1"/>
        <v>-0.4377300686954399</v>
      </c>
      <c r="G110" s="80"/>
    </row>
    <row r="111" spans="1:7">
      <c r="A111" s="2">
        <v>9</v>
      </c>
      <c r="B111" s="77">
        <v>0.71</v>
      </c>
      <c r="C111" s="75">
        <v>0.66180000000000005</v>
      </c>
      <c r="D111" s="75">
        <v>0.64549999999999996</v>
      </c>
      <c r="E111" s="79">
        <v>13.68</v>
      </c>
      <c r="F111" s="79">
        <f t="shared" si="1"/>
        <v>-0.4377300686954399</v>
      </c>
      <c r="G111" s="80"/>
    </row>
    <row r="112" spans="1:7">
      <c r="A112" s="2">
        <v>9</v>
      </c>
      <c r="B112" s="77">
        <v>0.71</v>
      </c>
      <c r="C112" s="75">
        <v>0.66180000000000005</v>
      </c>
      <c r="D112" s="75">
        <v>0.64549999999999996</v>
      </c>
      <c r="E112" s="79">
        <v>13.16</v>
      </c>
      <c r="F112" s="79">
        <f t="shared" si="1"/>
        <v>-0.4377300686954399</v>
      </c>
      <c r="G112" s="80"/>
    </row>
    <row r="113" spans="1:7">
      <c r="A113" s="2">
        <v>9</v>
      </c>
      <c r="B113" s="77">
        <v>0.71</v>
      </c>
      <c r="C113" s="75">
        <v>0.66180000000000005</v>
      </c>
      <c r="D113" s="75">
        <v>0.64549999999999996</v>
      </c>
      <c r="E113" s="79">
        <v>13.58</v>
      </c>
      <c r="F113" s="79">
        <f t="shared" si="1"/>
        <v>-0.4377300686954399</v>
      </c>
      <c r="G113" s="80"/>
    </row>
    <row r="114" spans="1:7">
      <c r="A114" s="2">
        <v>9</v>
      </c>
      <c r="B114" s="77">
        <v>0.71</v>
      </c>
      <c r="C114" s="75">
        <v>0.66180000000000005</v>
      </c>
      <c r="D114" s="75">
        <v>0.64549999999999996</v>
      </c>
      <c r="E114" s="79">
        <v>12.62</v>
      </c>
      <c r="F114" s="79">
        <f t="shared" si="1"/>
        <v>-0.4377300686954399</v>
      </c>
      <c r="G114" s="80"/>
    </row>
    <row r="115" spans="1:7">
      <c r="A115" s="2">
        <v>9</v>
      </c>
      <c r="B115" s="77">
        <v>0.71</v>
      </c>
      <c r="C115" s="75">
        <v>0.66180000000000005</v>
      </c>
      <c r="D115" s="75">
        <v>0.64549999999999996</v>
      </c>
      <c r="E115" s="79">
        <v>12.82</v>
      </c>
      <c r="F115" s="79">
        <f t="shared" si="1"/>
        <v>-0.4377300686954399</v>
      </c>
      <c r="G115" s="80"/>
    </row>
    <row r="116" spans="1:7">
      <c r="A116" s="2">
        <v>9</v>
      </c>
      <c r="B116" s="77">
        <v>0.71</v>
      </c>
      <c r="C116" s="75">
        <v>0.66180000000000005</v>
      </c>
      <c r="D116" s="75">
        <v>0.64549999999999996</v>
      </c>
      <c r="E116" s="79">
        <v>14.32</v>
      </c>
      <c r="F116" s="79">
        <f t="shared" si="1"/>
        <v>-0.4377300686954399</v>
      </c>
      <c r="G116" s="80"/>
    </row>
    <row r="117" spans="1:7">
      <c r="A117" s="2">
        <v>9</v>
      </c>
      <c r="B117" s="77">
        <v>0.71</v>
      </c>
      <c r="C117" s="75">
        <v>0.66180000000000005</v>
      </c>
      <c r="D117" s="75">
        <v>0.64549999999999996</v>
      </c>
      <c r="E117" s="79">
        <v>14.17</v>
      </c>
      <c r="F117" s="79">
        <f t="shared" si="1"/>
        <v>-0.4377300686954399</v>
      </c>
      <c r="G117" s="80"/>
    </row>
    <row r="118" spans="1:7">
      <c r="A118" s="2">
        <v>9</v>
      </c>
      <c r="B118" s="77">
        <v>0.71</v>
      </c>
      <c r="C118" s="75">
        <v>0.66180000000000005</v>
      </c>
      <c r="D118" s="75">
        <v>0.64549999999999996</v>
      </c>
      <c r="E118" s="79">
        <v>13.26</v>
      </c>
      <c r="F118" s="79">
        <f t="shared" si="1"/>
        <v>-0.4377300686954399</v>
      </c>
      <c r="G118" s="80"/>
    </row>
    <row r="119" spans="1:7">
      <c r="A119" s="2">
        <v>9</v>
      </c>
      <c r="B119" s="77">
        <v>0.71</v>
      </c>
      <c r="C119" s="75">
        <v>0.66180000000000005</v>
      </c>
      <c r="D119" s="75">
        <v>0.64549999999999996</v>
      </c>
      <c r="E119" s="79">
        <v>12.98</v>
      </c>
      <c r="F119" s="79">
        <f t="shared" si="1"/>
        <v>-0.4377300686954399</v>
      </c>
      <c r="G119" s="80"/>
    </row>
    <row r="120" spans="1:7">
      <c r="A120" s="2">
        <v>9</v>
      </c>
      <c r="B120" s="77">
        <v>0.71</v>
      </c>
      <c r="C120" s="75">
        <v>0.66180000000000005</v>
      </c>
      <c r="D120" s="75">
        <v>0.64549999999999996</v>
      </c>
      <c r="E120" s="79">
        <v>11.94</v>
      </c>
      <c r="F120" s="79">
        <f t="shared" si="1"/>
        <v>-0.4377300686954399</v>
      </c>
      <c r="G120" s="80"/>
    </row>
    <row r="121" spans="1:7">
      <c r="A121" s="2">
        <v>9</v>
      </c>
      <c r="B121" s="77">
        <v>0.71</v>
      </c>
      <c r="C121" s="75">
        <v>0.66180000000000005</v>
      </c>
      <c r="D121" s="75">
        <v>0.64549999999999996</v>
      </c>
      <c r="E121" s="79">
        <v>12.92</v>
      </c>
      <c r="F121" s="79">
        <f t="shared" si="1"/>
        <v>-0.4377300686954399</v>
      </c>
      <c r="G121" s="80"/>
    </row>
    <row r="122" spans="1:7">
      <c r="A122" s="2">
        <v>10</v>
      </c>
      <c r="B122" s="77">
        <v>0.71</v>
      </c>
      <c r="C122" s="75">
        <v>0.66149999999999998</v>
      </c>
      <c r="D122" s="75">
        <v>0.64500000000000002</v>
      </c>
      <c r="E122" s="79">
        <v>15.28</v>
      </c>
      <c r="F122" s="79">
        <f t="shared" si="1"/>
        <v>-0.43850496218636453</v>
      </c>
      <c r="G122" s="80"/>
    </row>
    <row r="123" spans="1:7">
      <c r="A123" s="2">
        <v>10</v>
      </c>
      <c r="B123" s="77">
        <v>0.71</v>
      </c>
      <c r="C123" s="75">
        <v>0.66149999999999998</v>
      </c>
      <c r="D123" s="75">
        <v>0.64500000000000002</v>
      </c>
      <c r="E123" s="79">
        <v>13.55</v>
      </c>
      <c r="F123" s="79">
        <f t="shared" si="1"/>
        <v>-0.43850496218636453</v>
      </c>
      <c r="G123" s="80"/>
    </row>
    <row r="124" spans="1:7">
      <c r="A124" s="2">
        <v>10</v>
      </c>
      <c r="B124" s="77">
        <v>0.71</v>
      </c>
      <c r="C124" s="75">
        <v>0.66149999999999998</v>
      </c>
      <c r="D124" s="75">
        <v>0.64500000000000002</v>
      </c>
      <c r="E124" s="79">
        <v>12.73</v>
      </c>
      <c r="F124" s="79">
        <f t="shared" si="1"/>
        <v>-0.43850496218636453</v>
      </c>
      <c r="G124" s="80"/>
    </row>
    <row r="125" spans="1:7">
      <c r="A125" s="2">
        <v>10</v>
      </c>
      <c r="B125" s="77">
        <v>0.71</v>
      </c>
      <c r="C125" s="75">
        <v>0.66149999999999998</v>
      </c>
      <c r="D125" s="75">
        <v>0.64500000000000002</v>
      </c>
      <c r="E125" s="79">
        <v>12.9</v>
      </c>
      <c r="F125" s="79">
        <f t="shared" si="1"/>
        <v>-0.43850496218636453</v>
      </c>
      <c r="G125" s="80"/>
    </row>
    <row r="126" spans="1:7">
      <c r="A126" s="2">
        <v>10</v>
      </c>
      <c r="B126" s="77">
        <v>0.71</v>
      </c>
      <c r="C126" s="75">
        <v>0.66149999999999998</v>
      </c>
      <c r="D126" s="75">
        <v>0.64500000000000002</v>
      </c>
      <c r="E126" s="79">
        <v>12.14</v>
      </c>
      <c r="F126" s="79">
        <f t="shared" si="1"/>
        <v>-0.43850496218636453</v>
      </c>
      <c r="G126" s="80"/>
    </row>
    <row r="127" spans="1:7">
      <c r="A127" s="2">
        <v>10</v>
      </c>
      <c r="B127" s="77">
        <v>0.71</v>
      </c>
      <c r="C127" s="75">
        <v>0.66149999999999998</v>
      </c>
      <c r="D127" s="75">
        <v>0.64500000000000002</v>
      </c>
      <c r="E127" s="79">
        <v>16.579999999999998</v>
      </c>
      <c r="F127" s="79">
        <f t="shared" si="1"/>
        <v>-0.43850496218636453</v>
      </c>
      <c r="G127" s="80"/>
    </row>
    <row r="128" spans="1:7">
      <c r="A128" s="2">
        <v>10</v>
      </c>
      <c r="B128" s="77">
        <v>0.71</v>
      </c>
      <c r="C128" s="75">
        <v>0.66149999999999998</v>
      </c>
      <c r="D128" s="75">
        <v>0.64500000000000002</v>
      </c>
      <c r="E128" s="79">
        <v>13.32</v>
      </c>
      <c r="F128" s="79">
        <f t="shared" si="1"/>
        <v>-0.43850496218636453</v>
      </c>
      <c r="G128" s="80"/>
    </row>
    <row r="129" spans="1:7">
      <c r="A129" s="2">
        <v>10</v>
      </c>
      <c r="B129" s="77">
        <v>0.71</v>
      </c>
      <c r="C129" s="75">
        <v>0.66149999999999998</v>
      </c>
      <c r="D129" s="75">
        <v>0.64500000000000002</v>
      </c>
      <c r="E129" s="79">
        <v>14.47</v>
      </c>
      <c r="F129" s="79">
        <f t="shared" si="1"/>
        <v>-0.43850496218636453</v>
      </c>
      <c r="G129" s="80"/>
    </row>
    <row r="130" spans="1:7">
      <c r="A130" s="2">
        <v>10</v>
      </c>
      <c r="B130" s="77">
        <v>0.71</v>
      </c>
      <c r="C130" s="75">
        <v>0.66149999999999998</v>
      </c>
      <c r="D130" s="75">
        <v>0.64500000000000002</v>
      </c>
      <c r="E130" s="79">
        <v>13.03</v>
      </c>
      <c r="F130" s="79">
        <f t="shared" si="1"/>
        <v>-0.43850496218636453</v>
      </c>
      <c r="G130" s="80"/>
    </row>
    <row r="131" spans="1:7">
      <c r="A131" s="2">
        <v>10</v>
      </c>
      <c r="B131" s="77">
        <v>0.71</v>
      </c>
      <c r="C131" s="75">
        <v>0.66149999999999998</v>
      </c>
      <c r="D131" s="75">
        <v>0.64500000000000002</v>
      </c>
      <c r="E131" s="79">
        <v>13.26</v>
      </c>
      <c r="F131" s="79">
        <f t="shared" ref="F131:F194" si="2">LN(D131)</f>
        <v>-0.43850496218636453</v>
      </c>
      <c r="G131" s="80"/>
    </row>
    <row r="132" spans="1:7">
      <c r="A132" s="2">
        <v>10</v>
      </c>
      <c r="B132" s="77">
        <v>0.71</v>
      </c>
      <c r="C132" s="75">
        <v>0.66149999999999998</v>
      </c>
      <c r="D132" s="75">
        <v>0.64500000000000002</v>
      </c>
      <c r="E132" s="79">
        <v>12.49</v>
      </c>
      <c r="F132" s="79">
        <f t="shared" si="2"/>
        <v>-0.43850496218636453</v>
      </c>
      <c r="G132" s="80"/>
    </row>
    <row r="133" spans="1:7">
      <c r="A133" s="2">
        <v>10</v>
      </c>
      <c r="B133" s="77">
        <v>0.71</v>
      </c>
      <c r="C133" s="75">
        <v>0.66149999999999998</v>
      </c>
      <c r="D133" s="75">
        <v>0.64500000000000002</v>
      </c>
      <c r="E133" s="79">
        <v>12.83</v>
      </c>
      <c r="F133" s="79">
        <f t="shared" si="2"/>
        <v>-0.43850496218636453</v>
      </c>
      <c r="G133" s="80"/>
    </row>
    <row r="134" spans="1:7">
      <c r="A134" s="2">
        <v>11</v>
      </c>
      <c r="B134" s="77">
        <v>0.71</v>
      </c>
      <c r="C134" s="75">
        <v>0.69269999999999998</v>
      </c>
      <c r="D134" s="75">
        <v>0.65280000000000005</v>
      </c>
      <c r="E134" s="79">
        <v>15.95</v>
      </c>
      <c r="F134" s="79">
        <f t="shared" si="2"/>
        <v>-0.42648447533223971</v>
      </c>
      <c r="G134" s="80"/>
    </row>
    <row r="135" spans="1:7">
      <c r="A135" s="2">
        <v>11</v>
      </c>
      <c r="B135" s="77">
        <v>0.71</v>
      </c>
      <c r="C135" s="75">
        <v>0.69269999999999998</v>
      </c>
      <c r="D135" s="75">
        <v>0.65280000000000005</v>
      </c>
      <c r="E135" s="79">
        <v>14.73</v>
      </c>
      <c r="F135" s="79">
        <f t="shared" si="2"/>
        <v>-0.42648447533223971</v>
      </c>
      <c r="G135" s="80"/>
    </row>
    <row r="136" spans="1:7">
      <c r="A136" s="2">
        <v>11</v>
      </c>
      <c r="B136" s="77">
        <v>0.71</v>
      </c>
      <c r="C136" s="75">
        <v>0.69269999999999998</v>
      </c>
      <c r="D136" s="75">
        <v>0.65280000000000005</v>
      </c>
      <c r="E136" s="79">
        <v>13.41</v>
      </c>
      <c r="F136" s="79">
        <f t="shared" si="2"/>
        <v>-0.42648447533223971</v>
      </c>
      <c r="G136" s="80"/>
    </row>
    <row r="137" spans="1:7">
      <c r="A137" s="2">
        <v>11</v>
      </c>
      <c r="B137" s="77">
        <v>0.71</v>
      </c>
      <c r="C137" s="75">
        <v>0.69269999999999998</v>
      </c>
      <c r="D137" s="75">
        <v>0.65280000000000005</v>
      </c>
      <c r="E137" s="79">
        <v>14.76</v>
      </c>
      <c r="F137" s="79">
        <f t="shared" si="2"/>
        <v>-0.42648447533223971</v>
      </c>
      <c r="G137" s="80"/>
    </row>
    <row r="138" spans="1:7">
      <c r="A138" s="2">
        <v>11</v>
      </c>
      <c r="B138" s="77">
        <v>0.71</v>
      </c>
      <c r="C138" s="75">
        <v>0.69269999999999998</v>
      </c>
      <c r="D138" s="75">
        <v>0.65280000000000005</v>
      </c>
      <c r="E138" s="79">
        <v>12.62</v>
      </c>
      <c r="F138" s="79">
        <f t="shared" si="2"/>
        <v>-0.42648447533223971</v>
      </c>
      <c r="G138" s="80"/>
    </row>
    <row r="139" spans="1:7">
      <c r="A139" s="2">
        <v>11</v>
      </c>
      <c r="B139" s="77">
        <v>0.71</v>
      </c>
      <c r="C139" s="75">
        <v>0.69269999999999998</v>
      </c>
      <c r="D139" s="75">
        <v>0.65280000000000005</v>
      </c>
      <c r="E139" s="79">
        <v>13.23</v>
      </c>
      <c r="F139" s="79">
        <f t="shared" si="2"/>
        <v>-0.42648447533223971</v>
      </c>
      <c r="G139" s="80"/>
    </row>
    <row r="140" spans="1:7">
      <c r="A140" s="2">
        <v>11</v>
      </c>
      <c r="B140" s="77">
        <v>0.71</v>
      </c>
      <c r="C140" s="75">
        <v>0.69269999999999998</v>
      </c>
      <c r="D140" s="75">
        <v>0.65280000000000005</v>
      </c>
      <c r="E140" s="79">
        <v>13.73</v>
      </c>
      <c r="F140" s="79">
        <f t="shared" si="2"/>
        <v>-0.42648447533223971</v>
      </c>
      <c r="G140" s="80"/>
    </row>
    <row r="141" spans="1:7">
      <c r="A141" s="2">
        <v>11</v>
      </c>
      <c r="B141" s="77">
        <v>0.71</v>
      </c>
      <c r="C141" s="75">
        <v>0.69269999999999998</v>
      </c>
      <c r="D141" s="75">
        <v>0.65280000000000005</v>
      </c>
      <c r="E141" s="79">
        <v>14.71</v>
      </c>
      <c r="F141" s="79">
        <f t="shared" si="2"/>
        <v>-0.42648447533223971</v>
      </c>
      <c r="G141" s="80"/>
    </row>
    <row r="142" spans="1:7">
      <c r="A142" s="2">
        <v>11</v>
      </c>
      <c r="B142" s="77">
        <v>0.71</v>
      </c>
      <c r="C142" s="75">
        <v>0.69269999999999998</v>
      </c>
      <c r="D142" s="75">
        <v>0.65280000000000005</v>
      </c>
      <c r="E142" s="79">
        <v>13.94</v>
      </c>
      <c r="F142" s="79">
        <f t="shared" si="2"/>
        <v>-0.42648447533223971</v>
      </c>
      <c r="G142" s="80"/>
    </row>
    <row r="143" spans="1:7">
      <c r="A143" s="2">
        <v>11</v>
      </c>
      <c r="B143" s="77">
        <v>0.71</v>
      </c>
      <c r="C143" s="75">
        <v>0.69269999999999998</v>
      </c>
      <c r="D143" s="75">
        <v>0.65280000000000005</v>
      </c>
      <c r="E143" s="79">
        <v>13.27</v>
      </c>
      <c r="F143" s="79">
        <f t="shared" si="2"/>
        <v>-0.42648447533223971</v>
      </c>
      <c r="G143" s="80"/>
    </row>
    <row r="144" spans="1:7">
      <c r="A144" s="2">
        <v>11</v>
      </c>
      <c r="B144" s="77">
        <v>0.71</v>
      </c>
      <c r="C144" s="75">
        <v>0.69269999999999998</v>
      </c>
      <c r="D144" s="75">
        <v>0.65280000000000005</v>
      </c>
      <c r="E144" s="79">
        <v>12.6</v>
      </c>
      <c r="F144" s="79">
        <f t="shared" si="2"/>
        <v>-0.42648447533223971</v>
      </c>
      <c r="G144" s="80"/>
    </row>
    <row r="145" spans="1:7">
      <c r="A145" s="2">
        <v>11</v>
      </c>
      <c r="B145" s="77">
        <v>0.71</v>
      </c>
      <c r="C145" s="75">
        <v>0.69269999999999998</v>
      </c>
      <c r="D145" s="75">
        <v>0.65280000000000005</v>
      </c>
      <c r="E145" s="79">
        <v>13.87</v>
      </c>
      <c r="F145" s="79">
        <f t="shared" si="2"/>
        <v>-0.42648447533223971</v>
      </c>
      <c r="G145" s="80"/>
    </row>
    <row r="146" spans="1:7">
      <c r="A146" s="2">
        <v>12</v>
      </c>
      <c r="B146" s="77">
        <v>0.71</v>
      </c>
      <c r="C146" s="75">
        <v>0.66220000000000001</v>
      </c>
      <c r="D146" s="75">
        <v>0.63470000000000004</v>
      </c>
      <c r="E146" s="79">
        <v>14.93</v>
      </c>
      <c r="F146" s="79">
        <f t="shared" si="2"/>
        <v>-0.45460283266971258</v>
      </c>
      <c r="G146" s="80"/>
    </row>
    <row r="147" spans="1:7">
      <c r="A147" s="2">
        <v>12</v>
      </c>
      <c r="B147" s="77">
        <v>0.71</v>
      </c>
      <c r="C147" s="75">
        <v>0.66220000000000001</v>
      </c>
      <c r="D147" s="75">
        <v>0.63470000000000004</v>
      </c>
      <c r="E147" s="79">
        <v>14.05</v>
      </c>
      <c r="F147" s="79">
        <f t="shared" si="2"/>
        <v>-0.45460283266971258</v>
      </c>
      <c r="G147" s="80"/>
    </row>
    <row r="148" spans="1:7">
      <c r="A148" s="2">
        <v>12</v>
      </c>
      <c r="B148" s="77">
        <v>0.71</v>
      </c>
      <c r="C148" s="75">
        <v>0.66220000000000001</v>
      </c>
      <c r="D148" s="75">
        <v>0.63470000000000004</v>
      </c>
      <c r="E148" s="79">
        <v>13.58</v>
      </c>
      <c r="F148" s="79">
        <f t="shared" si="2"/>
        <v>-0.45460283266971258</v>
      </c>
      <c r="G148" s="80"/>
    </row>
    <row r="149" spans="1:7">
      <c r="A149" s="2">
        <v>12</v>
      </c>
      <c r="B149" s="77">
        <v>0.71</v>
      </c>
      <c r="C149" s="75">
        <v>0.66220000000000001</v>
      </c>
      <c r="D149" s="75">
        <v>0.63470000000000004</v>
      </c>
      <c r="E149" s="79">
        <v>13.19</v>
      </c>
      <c r="F149" s="79">
        <f t="shared" si="2"/>
        <v>-0.45460283266971258</v>
      </c>
      <c r="G149" s="80"/>
    </row>
    <row r="150" spans="1:7">
      <c r="A150" s="2">
        <v>12</v>
      </c>
      <c r="B150" s="77">
        <v>0.71</v>
      </c>
      <c r="C150" s="75">
        <v>0.66220000000000001</v>
      </c>
      <c r="D150" s="75">
        <v>0.63470000000000004</v>
      </c>
      <c r="E150" s="79">
        <v>12.56</v>
      </c>
      <c r="F150" s="79">
        <f t="shared" si="2"/>
        <v>-0.45460283266971258</v>
      </c>
      <c r="G150" s="80"/>
    </row>
    <row r="151" spans="1:7">
      <c r="A151" s="2">
        <v>12</v>
      </c>
      <c r="B151" s="77">
        <v>0.71</v>
      </c>
      <c r="C151" s="75">
        <v>0.66220000000000001</v>
      </c>
      <c r="D151" s="75">
        <v>0.63470000000000004</v>
      </c>
      <c r="E151" s="79">
        <v>14.25</v>
      </c>
      <c r="F151" s="79">
        <f t="shared" si="2"/>
        <v>-0.45460283266971258</v>
      </c>
      <c r="G151" s="80"/>
    </row>
    <row r="152" spans="1:7">
      <c r="A152" s="2">
        <v>12</v>
      </c>
      <c r="B152" s="77">
        <v>0.71</v>
      </c>
      <c r="C152" s="75">
        <v>0.66220000000000001</v>
      </c>
      <c r="D152" s="75">
        <v>0.63470000000000004</v>
      </c>
      <c r="E152" s="79">
        <v>13.97</v>
      </c>
      <c r="F152" s="79">
        <f t="shared" si="2"/>
        <v>-0.45460283266971258</v>
      </c>
      <c r="G152" s="80"/>
    </row>
    <row r="153" spans="1:7">
      <c r="A153" s="2">
        <v>12</v>
      </c>
      <c r="B153" s="77">
        <v>0.71</v>
      </c>
      <c r="C153" s="75">
        <v>0.66220000000000001</v>
      </c>
      <c r="D153" s="75">
        <v>0.63470000000000004</v>
      </c>
      <c r="E153" s="79">
        <v>13.11</v>
      </c>
      <c r="F153" s="79">
        <f t="shared" si="2"/>
        <v>-0.45460283266971258</v>
      </c>
      <c r="G153" s="80"/>
    </row>
    <row r="154" spans="1:7">
      <c r="A154" s="2">
        <v>12</v>
      </c>
      <c r="B154" s="77">
        <v>0.71</v>
      </c>
      <c r="C154" s="75">
        <v>0.66220000000000001</v>
      </c>
      <c r="D154" s="75">
        <v>0.63470000000000004</v>
      </c>
      <c r="E154" s="79">
        <v>11.23</v>
      </c>
      <c r="F154" s="79">
        <f t="shared" si="2"/>
        <v>-0.45460283266971258</v>
      </c>
      <c r="G154" s="80"/>
    </row>
    <row r="155" spans="1:7">
      <c r="A155" s="2">
        <v>12</v>
      </c>
      <c r="B155" s="77">
        <v>0.71</v>
      </c>
      <c r="C155" s="75">
        <v>0.66220000000000001</v>
      </c>
      <c r="D155" s="75">
        <v>0.63470000000000004</v>
      </c>
      <c r="E155" s="79">
        <v>10.91</v>
      </c>
      <c r="F155" s="79">
        <f t="shared" si="2"/>
        <v>-0.45460283266971258</v>
      </c>
      <c r="G155" s="80"/>
    </row>
    <row r="156" spans="1:7">
      <c r="A156" s="2">
        <v>12</v>
      </c>
      <c r="B156" s="77">
        <v>0.71</v>
      </c>
      <c r="C156" s="75">
        <v>0.66220000000000001</v>
      </c>
      <c r="D156" s="75">
        <v>0.63470000000000004</v>
      </c>
      <c r="E156" s="79">
        <v>9.9499999999999993</v>
      </c>
      <c r="F156" s="79">
        <f t="shared" si="2"/>
        <v>-0.45460283266971258</v>
      </c>
      <c r="G156" s="80"/>
    </row>
    <row r="157" spans="1:7">
      <c r="A157" s="2">
        <v>12</v>
      </c>
      <c r="B157" s="77">
        <v>0.71</v>
      </c>
      <c r="C157" s="75">
        <v>0.66220000000000001</v>
      </c>
      <c r="D157" s="75">
        <v>0.63470000000000004</v>
      </c>
      <c r="E157" s="79">
        <v>10.52</v>
      </c>
      <c r="F157" s="79">
        <f t="shared" si="2"/>
        <v>-0.45460283266971258</v>
      </c>
      <c r="G157" s="80"/>
    </row>
    <row r="158" spans="1:7">
      <c r="A158" s="2">
        <v>13</v>
      </c>
      <c r="B158" s="77">
        <v>0.71</v>
      </c>
      <c r="C158" s="75">
        <v>0.60360000000000003</v>
      </c>
      <c r="D158" s="75">
        <v>0.59379999999999999</v>
      </c>
      <c r="E158" s="79">
        <v>12.35</v>
      </c>
      <c r="F158" s="79">
        <f t="shared" si="2"/>
        <v>-0.52121271665247759</v>
      </c>
      <c r="G158" s="80"/>
    </row>
    <row r="159" spans="1:7">
      <c r="A159" s="2">
        <v>13</v>
      </c>
      <c r="B159" s="77">
        <v>0.71</v>
      </c>
      <c r="C159" s="75">
        <v>0.60360000000000003</v>
      </c>
      <c r="D159" s="75">
        <v>0.59379999999999999</v>
      </c>
      <c r="E159" s="79">
        <v>11.17</v>
      </c>
      <c r="F159" s="79">
        <f t="shared" si="2"/>
        <v>-0.52121271665247759</v>
      </c>
      <c r="G159" s="80"/>
    </row>
    <row r="160" spans="1:7">
      <c r="A160" s="2">
        <v>13</v>
      </c>
      <c r="B160" s="77">
        <v>0.71</v>
      </c>
      <c r="C160" s="75">
        <v>0.60360000000000003</v>
      </c>
      <c r="D160" s="75">
        <v>0.59379999999999999</v>
      </c>
      <c r="E160" s="79">
        <v>10.19</v>
      </c>
      <c r="F160" s="79">
        <f t="shared" si="2"/>
        <v>-0.52121271665247759</v>
      </c>
      <c r="G160" s="80"/>
    </row>
    <row r="161" spans="1:7">
      <c r="A161" s="2">
        <v>13</v>
      </c>
      <c r="B161" s="77">
        <v>0.71</v>
      </c>
      <c r="C161" s="75">
        <v>0.60360000000000003</v>
      </c>
      <c r="D161" s="75">
        <v>0.59379999999999999</v>
      </c>
      <c r="E161" s="79">
        <v>10.61</v>
      </c>
      <c r="F161" s="79">
        <f t="shared" si="2"/>
        <v>-0.52121271665247759</v>
      </c>
      <c r="G161" s="80"/>
    </row>
    <row r="162" spans="1:7">
      <c r="A162" s="2">
        <v>13</v>
      </c>
      <c r="B162" s="77">
        <v>0.71</v>
      </c>
      <c r="C162" s="75">
        <v>0.60360000000000003</v>
      </c>
      <c r="D162" s="75">
        <v>0.59379999999999999</v>
      </c>
      <c r="E162" s="79">
        <v>9.6199999999999992</v>
      </c>
      <c r="F162" s="79">
        <f t="shared" si="2"/>
        <v>-0.52121271665247759</v>
      </c>
      <c r="G162" s="80"/>
    </row>
    <row r="163" spans="1:7">
      <c r="A163" s="2">
        <v>13</v>
      </c>
      <c r="B163" s="77">
        <v>0.71</v>
      </c>
      <c r="C163" s="75">
        <v>0.60360000000000003</v>
      </c>
      <c r="D163" s="75">
        <v>0.59379999999999999</v>
      </c>
      <c r="E163" s="79">
        <v>10.16</v>
      </c>
      <c r="F163" s="79">
        <f t="shared" si="2"/>
        <v>-0.52121271665247759</v>
      </c>
      <c r="G163" s="80"/>
    </row>
    <row r="164" spans="1:7">
      <c r="A164" s="2">
        <v>13</v>
      </c>
      <c r="B164" s="77">
        <v>0.71</v>
      </c>
      <c r="C164" s="75">
        <v>0.60360000000000003</v>
      </c>
      <c r="D164" s="75">
        <v>0.59379999999999999</v>
      </c>
      <c r="E164" s="79">
        <v>10.51</v>
      </c>
      <c r="F164" s="79">
        <f t="shared" si="2"/>
        <v>-0.52121271665247759</v>
      </c>
      <c r="G164" s="80"/>
    </row>
    <row r="165" spans="1:7">
      <c r="A165" s="2">
        <v>13</v>
      </c>
      <c r="B165" s="77">
        <v>0.71</v>
      </c>
      <c r="C165" s="75">
        <v>0.60360000000000003</v>
      </c>
      <c r="D165" s="75">
        <v>0.59379999999999999</v>
      </c>
      <c r="E165" s="79">
        <v>10.89</v>
      </c>
      <c r="F165" s="79">
        <f t="shared" si="2"/>
        <v>-0.52121271665247759</v>
      </c>
      <c r="G165" s="80"/>
    </row>
    <row r="166" spans="1:7">
      <c r="A166" s="2">
        <v>13</v>
      </c>
      <c r="B166" s="77">
        <v>0.71</v>
      </c>
      <c r="C166" s="75">
        <v>0.60360000000000003</v>
      </c>
      <c r="D166" s="75">
        <v>0.59379999999999999</v>
      </c>
      <c r="E166" s="79">
        <v>9.93</v>
      </c>
      <c r="F166" s="79">
        <f t="shared" si="2"/>
        <v>-0.52121271665247759</v>
      </c>
      <c r="G166" s="80"/>
    </row>
    <row r="167" spans="1:7">
      <c r="A167" s="2">
        <v>13</v>
      </c>
      <c r="B167" s="77">
        <v>0.71</v>
      </c>
      <c r="C167" s="75">
        <v>0.60360000000000003</v>
      </c>
      <c r="D167" s="75">
        <v>0.59379999999999999</v>
      </c>
      <c r="E167" s="79">
        <v>10.18</v>
      </c>
      <c r="F167" s="79">
        <f t="shared" si="2"/>
        <v>-0.52121271665247759</v>
      </c>
      <c r="G167" s="80"/>
    </row>
    <row r="168" spans="1:7">
      <c r="A168" s="2">
        <v>13</v>
      </c>
      <c r="B168" s="77">
        <v>0.71</v>
      </c>
      <c r="C168" s="75">
        <v>0.60360000000000003</v>
      </c>
      <c r="D168" s="75">
        <v>0.59379999999999999</v>
      </c>
      <c r="E168" s="79">
        <v>10.16</v>
      </c>
      <c r="F168" s="79">
        <f t="shared" si="2"/>
        <v>-0.52121271665247759</v>
      </c>
      <c r="G168" s="80"/>
    </row>
    <row r="169" spans="1:7">
      <c r="A169" s="2">
        <v>13</v>
      </c>
      <c r="B169" s="77">
        <v>0.71</v>
      </c>
      <c r="C169" s="75">
        <v>0.60360000000000003</v>
      </c>
      <c r="D169" s="75">
        <v>0.59379999999999999</v>
      </c>
      <c r="E169" s="79">
        <v>9.26</v>
      </c>
      <c r="F169" s="79">
        <f t="shared" si="2"/>
        <v>-0.52121271665247759</v>
      </c>
      <c r="G169" s="80"/>
    </row>
    <row r="170" spans="1:7">
      <c r="A170" s="2">
        <v>14</v>
      </c>
      <c r="B170" s="77">
        <v>0.71</v>
      </c>
      <c r="C170" s="75">
        <v>0.67249999999999999</v>
      </c>
      <c r="D170" s="75">
        <v>0.47120000000000001</v>
      </c>
      <c r="E170" s="79">
        <v>11.08</v>
      </c>
      <c r="F170" s="79">
        <f t="shared" si="2"/>
        <v>-0.7524726466447601</v>
      </c>
      <c r="G170" s="80"/>
    </row>
    <row r="171" spans="1:7">
      <c r="A171" s="2">
        <v>14</v>
      </c>
      <c r="B171" s="77">
        <v>0.71</v>
      </c>
      <c r="C171" s="75">
        <v>0.67249999999999999</v>
      </c>
      <c r="D171" s="75">
        <v>0.47120000000000001</v>
      </c>
      <c r="E171" s="79">
        <v>10.24</v>
      </c>
      <c r="F171" s="79">
        <f t="shared" si="2"/>
        <v>-0.7524726466447601</v>
      </c>
      <c r="G171" s="80"/>
    </row>
    <row r="172" spans="1:7">
      <c r="A172" s="2">
        <v>14</v>
      </c>
      <c r="B172" s="77">
        <v>0.71</v>
      </c>
      <c r="C172" s="75">
        <v>0.67249999999999999</v>
      </c>
      <c r="D172" s="75">
        <v>0.47120000000000001</v>
      </c>
      <c r="E172" s="79">
        <v>8.9600000000000009</v>
      </c>
      <c r="F172" s="79">
        <f t="shared" si="2"/>
        <v>-0.7524726466447601</v>
      </c>
      <c r="G172" s="80"/>
    </row>
    <row r="173" spans="1:7">
      <c r="A173" s="2">
        <v>14</v>
      </c>
      <c r="B173" s="77">
        <v>0.71</v>
      </c>
      <c r="C173" s="75">
        <v>0.67249999999999999</v>
      </c>
      <c r="D173" s="75">
        <v>0.47120000000000001</v>
      </c>
      <c r="E173" s="79">
        <v>8.6199999999999992</v>
      </c>
      <c r="F173" s="79">
        <f t="shared" si="2"/>
        <v>-0.7524726466447601</v>
      </c>
      <c r="G173" s="80"/>
    </row>
    <row r="174" spans="1:7">
      <c r="A174" s="2">
        <v>14</v>
      </c>
      <c r="B174" s="77">
        <v>0.71</v>
      </c>
      <c r="C174" s="75">
        <v>0.67249999999999999</v>
      </c>
      <c r="D174" s="75">
        <v>0.47120000000000001</v>
      </c>
      <c r="E174" s="79">
        <v>11.57</v>
      </c>
      <c r="F174" s="79">
        <f t="shared" si="2"/>
        <v>-0.7524726466447601</v>
      </c>
      <c r="G174" s="80"/>
    </row>
    <row r="175" spans="1:7">
      <c r="A175" s="2">
        <v>14</v>
      </c>
      <c r="B175" s="77">
        <v>0.71</v>
      </c>
      <c r="C175" s="75">
        <v>0.67249999999999999</v>
      </c>
      <c r="D175" s="75">
        <v>0.47120000000000001</v>
      </c>
      <c r="E175" s="79">
        <v>15.48</v>
      </c>
      <c r="F175" s="79">
        <f t="shared" si="2"/>
        <v>-0.7524726466447601</v>
      </c>
      <c r="G175" s="80"/>
    </row>
    <row r="176" spans="1:7">
      <c r="A176" s="2">
        <v>14</v>
      </c>
      <c r="B176" s="77">
        <v>0.71</v>
      </c>
      <c r="C176" s="75">
        <v>0.67249999999999999</v>
      </c>
      <c r="D176" s="75">
        <v>0.47120000000000001</v>
      </c>
      <c r="E176" s="79">
        <v>12.7</v>
      </c>
      <c r="F176" s="79">
        <f t="shared" si="2"/>
        <v>-0.7524726466447601</v>
      </c>
      <c r="G176" s="80"/>
    </row>
    <row r="177" spans="1:7">
      <c r="A177" s="2">
        <v>14</v>
      </c>
      <c r="B177" s="77">
        <v>0.71</v>
      </c>
      <c r="C177" s="75">
        <v>0.67249999999999999</v>
      </c>
      <c r="D177" s="75">
        <v>0.47120000000000001</v>
      </c>
      <c r="E177" s="79">
        <v>11.8</v>
      </c>
      <c r="F177" s="79">
        <f t="shared" si="2"/>
        <v>-0.7524726466447601</v>
      </c>
      <c r="G177" s="80"/>
    </row>
    <row r="178" spans="1:7">
      <c r="A178" s="2">
        <v>14</v>
      </c>
      <c r="B178" s="77">
        <v>0.71</v>
      </c>
      <c r="C178" s="75">
        <v>0.67249999999999999</v>
      </c>
      <c r="D178" s="75">
        <v>0.47120000000000001</v>
      </c>
      <c r="E178" s="79">
        <v>12.51</v>
      </c>
      <c r="F178" s="79">
        <f t="shared" si="2"/>
        <v>-0.7524726466447601</v>
      </c>
      <c r="G178" s="80"/>
    </row>
    <row r="179" spans="1:7">
      <c r="A179" s="2">
        <v>14</v>
      </c>
      <c r="B179" s="77">
        <v>0.71</v>
      </c>
      <c r="C179" s="75">
        <v>0.67249999999999999</v>
      </c>
      <c r="D179" s="75">
        <v>0.47120000000000001</v>
      </c>
      <c r="E179" s="79">
        <v>11.93</v>
      </c>
      <c r="F179" s="79">
        <f t="shared" si="2"/>
        <v>-0.7524726466447601</v>
      </c>
      <c r="G179" s="80"/>
    </row>
    <row r="180" spans="1:7">
      <c r="A180" s="2">
        <v>14</v>
      </c>
      <c r="B180" s="77">
        <v>0.71</v>
      </c>
      <c r="C180" s="75">
        <v>0.67249999999999999</v>
      </c>
      <c r="D180" s="75">
        <v>0.47120000000000001</v>
      </c>
      <c r="E180" s="79">
        <v>11.03</v>
      </c>
      <c r="F180" s="79">
        <f t="shared" si="2"/>
        <v>-0.7524726466447601</v>
      </c>
      <c r="G180" s="80"/>
    </row>
    <row r="181" spans="1:7">
      <c r="A181" s="2">
        <v>14</v>
      </c>
      <c r="B181" s="77">
        <v>0.71</v>
      </c>
      <c r="C181" s="75">
        <v>0.67249999999999999</v>
      </c>
      <c r="D181" s="75">
        <v>0.47120000000000001</v>
      </c>
      <c r="E181" s="79">
        <v>12.45</v>
      </c>
      <c r="F181" s="79">
        <f t="shared" si="2"/>
        <v>-0.7524726466447601</v>
      </c>
      <c r="G181" s="80"/>
    </row>
    <row r="182" spans="1:7">
      <c r="A182" s="2">
        <v>15</v>
      </c>
      <c r="B182" s="77">
        <v>0.71</v>
      </c>
      <c r="C182" s="75">
        <v>0.6714</v>
      </c>
      <c r="D182" s="75">
        <v>0.53800000000000003</v>
      </c>
      <c r="E182" s="79">
        <v>13.28</v>
      </c>
      <c r="F182" s="79">
        <f t="shared" si="2"/>
        <v>-0.61989671882035258</v>
      </c>
      <c r="G182" s="80"/>
    </row>
    <row r="183" spans="1:7">
      <c r="A183" s="2">
        <v>15</v>
      </c>
      <c r="B183" s="77">
        <v>0.71</v>
      </c>
      <c r="C183" s="75">
        <v>0.6714</v>
      </c>
      <c r="D183" s="75">
        <v>0.53800000000000003</v>
      </c>
      <c r="E183" s="79">
        <v>11.83</v>
      </c>
      <c r="F183" s="79">
        <f t="shared" si="2"/>
        <v>-0.61989671882035258</v>
      </c>
      <c r="G183" s="80"/>
    </row>
    <row r="184" spans="1:7">
      <c r="A184" s="2">
        <v>15</v>
      </c>
      <c r="B184" s="77">
        <v>0.71</v>
      </c>
      <c r="C184" s="75">
        <v>0.6714</v>
      </c>
      <c r="D184" s="75">
        <v>0.53800000000000003</v>
      </c>
      <c r="E184" s="79">
        <v>12.51</v>
      </c>
      <c r="F184" s="79">
        <f t="shared" si="2"/>
        <v>-0.61989671882035258</v>
      </c>
      <c r="G184" s="80"/>
    </row>
    <row r="185" spans="1:7">
      <c r="A185" s="2">
        <v>15</v>
      </c>
      <c r="B185" s="77">
        <v>0.71</v>
      </c>
      <c r="C185" s="75">
        <v>0.6714</v>
      </c>
      <c r="D185" s="75">
        <v>0.53800000000000003</v>
      </c>
      <c r="E185" s="79">
        <v>11.19</v>
      </c>
      <c r="F185" s="79">
        <f t="shared" si="2"/>
        <v>-0.61989671882035258</v>
      </c>
      <c r="G185" s="80"/>
    </row>
    <row r="186" spans="1:7">
      <c r="A186" s="2">
        <v>15</v>
      </c>
      <c r="B186" s="77">
        <v>0.71</v>
      </c>
      <c r="C186" s="75">
        <v>0.6714</v>
      </c>
      <c r="D186" s="75">
        <v>0.53800000000000003</v>
      </c>
      <c r="E186" s="79">
        <v>11.12</v>
      </c>
      <c r="F186" s="79">
        <f t="shared" si="2"/>
        <v>-0.61989671882035258</v>
      </c>
      <c r="G186" s="80"/>
    </row>
    <row r="187" spans="1:7">
      <c r="A187" s="2">
        <v>15</v>
      </c>
      <c r="B187" s="77">
        <v>0.71</v>
      </c>
      <c r="C187" s="75">
        <v>0.6714</v>
      </c>
      <c r="D187" s="75">
        <v>0.53800000000000003</v>
      </c>
      <c r="E187" s="79">
        <v>12</v>
      </c>
      <c r="F187" s="79">
        <f t="shared" si="2"/>
        <v>-0.61989671882035258</v>
      </c>
      <c r="G187" s="80"/>
    </row>
    <row r="188" spans="1:7">
      <c r="A188" s="2">
        <v>15</v>
      </c>
      <c r="B188" s="77">
        <v>0.71</v>
      </c>
      <c r="C188" s="75">
        <v>0.6714</v>
      </c>
      <c r="D188" s="75">
        <v>0.53800000000000003</v>
      </c>
      <c r="E188" s="79">
        <v>11.54</v>
      </c>
      <c r="F188" s="79">
        <f t="shared" si="2"/>
        <v>-0.61989671882035258</v>
      </c>
      <c r="G188" s="80"/>
    </row>
    <row r="189" spans="1:7">
      <c r="A189" s="2">
        <v>15</v>
      </c>
      <c r="B189" s="77">
        <v>0.71</v>
      </c>
      <c r="C189" s="75">
        <v>0.6714</v>
      </c>
      <c r="D189" s="75">
        <v>0.53800000000000003</v>
      </c>
      <c r="E189" s="79">
        <v>12.52</v>
      </c>
      <c r="F189" s="79">
        <f t="shared" si="2"/>
        <v>-0.61989671882035258</v>
      </c>
      <c r="G189" s="80"/>
    </row>
    <row r="190" spans="1:7">
      <c r="A190" s="2">
        <v>15</v>
      </c>
      <c r="B190" s="77">
        <v>0.71</v>
      </c>
      <c r="C190" s="75">
        <v>0.6714</v>
      </c>
      <c r="D190" s="75">
        <v>0.53800000000000003</v>
      </c>
      <c r="E190" s="79">
        <v>12.01</v>
      </c>
      <c r="F190" s="79">
        <f t="shared" si="2"/>
        <v>-0.61989671882035258</v>
      </c>
      <c r="G190" s="80"/>
    </row>
    <row r="191" spans="1:7">
      <c r="A191" s="2">
        <v>15</v>
      </c>
      <c r="B191" s="77">
        <v>0.71</v>
      </c>
      <c r="C191" s="75">
        <v>0.6714</v>
      </c>
      <c r="D191" s="75">
        <v>0.53800000000000003</v>
      </c>
      <c r="E191" s="79">
        <v>12.09</v>
      </c>
      <c r="F191" s="79">
        <f t="shared" si="2"/>
        <v>-0.61989671882035258</v>
      </c>
      <c r="G191" s="80"/>
    </row>
    <row r="192" spans="1:7">
      <c r="A192" s="2">
        <v>15</v>
      </c>
      <c r="B192" s="77">
        <v>0.71</v>
      </c>
      <c r="C192" s="75">
        <v>0.6714</v>
      </c>
      <c r="D192" s="75">
        <v>0.53800000000000003</v>
      </c>
      <c r="E192" s="79">
        <v>12.51</v>
      </c>
      <c r="F192" s="79">
        <f t="shared" si="2"/>
        <v>-0.61989671882035258</v>
      </c>
      <c r="G192" s="80"/>
    </row>
    <row r="193" spans="1:7">
      <c r="A193" s="2">
        <v>15</v>
      </c>
      <c r="B193" s="77">
        <v>0.71</v>
      </c>
      <c r="C193" s="75">
        <v>0.6714</v>
      </c>
      <c r="D193" s="75">
        <v>0.53800000000000003</v>
      </c>
      <c r="E193" s="79">
        <v>14.01</v>
      </c>
      <c r="F193" s="79">
        <f t="shared" si="2"/>
        <v>-0.61989671882035258</v>
      </c>
      <c r="G193" s="80"/>
    </row>
    <row r="194" spans="1:7">
      <c r="A194" s="2">
        <v>16</v>
      </c>
      <c r="B194" s="77">
        <v>0.71</v>
      </c>
      <c r="C194" s="75">
        <v>0.67069999999999996</v>
      </c>
      <c r="D194" s="75">
        <v>0.58320000000000005</v>
      </c>
      <c r="E194" s="79">
        <v>14.5</v>
      </c>
      <c r="F194" s="79">
        <f t="shared" si="2"/>
        <v>-0.53922509828768861</v>
      </c>
      <c r="G194" s="80"/>
    </row>
    <row r="195" spans="1:7">
      <c r="A195" s="2">
        <v>16</v>
      </c>
      <c r="B195" s="77">
        <v>0.71</v>
      </c>
      <c r="C195" s="75">
        <v>0.67069999999999996</v>
      </c>
      <c r="D195" s="75">
        <v>0.58320000000000005</v>
      </c>
      <c r="E195" s="79">
        <v>12.76</v>
      </c>
      <c r="F195" s="79">
        <f t="shared" ref="F195:F258" si="3">LN(D195)</f>
        <v>-0.53922509828768861</v>
      </c>
      <c r="G195" s="80"/>
    </row>
    <row r="196" spans="1:7">
      <c r="A196" s="2">
        <v>16</v>
      </c>
      <c r="B196" s="77">
        <v>0.71</v>
      </c>
      <c r="C196" s="75">
        <v>0.67069999999999996</v>
      </c>
      <c r="D196" s="75">
        <v>0.58320000000000005</v>
      </c>
      <c r="E196" s="79">
        <v>14.26</v>
      </c>
      <c r="F196" s="79">
        <f t="shared" si="3"/>
        <v>-0.53922509828768861</v>
      </c>
      <c r="G196" s="80"/>
    </row>
    <row r="197" spans="1:7">
      <c r="A197" s="2">
        <v>16</v>
      </c>
      <c r="B197" s="77">
        <v>0.71</v>
      </c>
      <c r="C197" s="75">
        <v>0.67069999999999996</v>
      </c>
      <c r="D197" s="75">
        <v>0.58320000000000005</v>
      </c>
      <c r="E197" s="79">
        <v>13.2</v>
      </c>
      <c r="F197" s="79">
        <f t="shared" si="3"/>
        <v>-0.53922509828768861</v>
      </c>
      <c r="G197" s="80"/>
    </row>
    <row r="198" spans="1:7">
      <c r="A198" s="2">
        <v>16</v>
      </c>
      <c r="B198" s="77">
        <v>0.71</v>
      </c>
      <c r="C198" s="75">
        <v>0.67069999999999996</v>
      </c>
      <c r="D198" s="75">
        <v>0.58320000000000005</v>
      </c>
      <c r="E198" s="79">
        <v>12.34</v>
      </c>
      <c r="F198" s="79">
        <f t="shared" si="3"/>
        <v>-0.53922509828768861</v>
      </c>
      <c r="G198" s="80"/>
    </row>
    <row r="199" spans="1:7">
      <c r="A199" s="2">
        <v>16</v>
      </c>
      <c r="B199" s="77">
        <v>0.71</v>
      </c>
      <c r="C199" s="75">
        <v>0.67069999999999996</v>
      </c>
      <c r="D199" s="75">
        <v>0.58320000000000005</v>
      </c>
      <c r="E199" s="79">
        <v>13.93</v>
      </c>
      <c r="F199" s="79">
        <f t="shared" si="3"/>
        <v>-0.53922509828768861</v>
      </c>
      <c r="G199" s="80"/>
    </row>
    <row r="200" spans="1:7">
      <c r="A200" s="2">
        <v>16</v>
      </c>
      <c r="B200" s="77">
        <v>0.71</v>
      </c>
      <c r="C200" s="75">
        <v>0.67069999999999996</v>
      </c>
      <c r="D200" s="75">
        <v>0.58320000000000005</v>
      </c>
      <c r="E200" s="79">
        <v>12.4</v>
      </c>
      <c r="F200" s="79">
        <f t="shared" si="3"/>
        <v>-0.53922509828768861</v>
      </c>
      <c r="G200" s="80"/>
    </row>
    <row r="201" spans="1:7">
      <c r="A201" s="2">
        <v>16</v>
      </c>
      <c r="B201" s="77">
        <v>0.71</v>
      </c>
      <c r="C201" s="75">
        <v>0.67069999999999996</v>
      </c>
      <c r="D201" s="75">
        <v>0.58320000000000005</v>
      </c>
      <c r="E201" s="79">
        <v>14.12</v>
      </c>
      <c r="F201" s="79">
        <f t="shared" si="3"/>
        <v>-0.53922509828768861</v>
      </c>
      <c r="G201" s="80"/>
    </row>
    <row r="202" spans="1:7">
      <c r="A202" s="2">
        <v>16</v>
      </c>
      <c r="B202" s="77">
        <v>0.71</v>
      </c>
      <c r="C202" s="75">
        <v>0.67069999999999996</v>
      </c>
      <c r="D202" s="75">
        <v>0.58320000000000005</v>
      </c>
      <c r="E202" s="79">
        <v>12.82</v>
      </c>
      <c r="F202" s="79">
        <f t="shared" si="3"/>
        <v>-0.53922509828768861</v>
      </c>
      <c r="G202" s="80"/>
    </row>
    <row r="203" spans="1:7">
      <c r="A203" s="2">
        <v>16</v>
      </c>
      <c r="B203" s="77">
        <v>0.71</v>
      </c>
      <c r="C203" s="75">
        <v>0.67069999999999996</v>
      </c>
      <c r="D203" s="75">
        <v>0.58320000000000005</v>
      </c>
      <c r="E203" s="79">
        <v>12.73</v>
      </c>
      <c r="F203" s="79">
        <f t="shared" si="3"/>
        <v>-0.53922509828768861</v>
      </c>
      <c r="G203" s="80"/>
    </row>
    <row r="204" spans="1:7">
      <c r="A204" s="2">
        <v>16</v>
      </c>
      <c r="B204" s="77">
        <v>0.71</v>
      </c>
      <c r="C204" s="75">
        <v>0.67069999999999996</v>
      </c>
      <c r="D204" s="75">
        <v>0.58320000000000005</v>
      </c>
      <c r="E204" s="79">
        <v>11.9</v>
      </c>
      <c r="F204" s="79">
        <f t="shared" si="3"/>
        <v>-0.53922509828768861</v>
      </c>
      <c r="G204" s="80"/>
    </row>
    <row r="205" spans="1:7">
      <c r="A205" s="2">
        <v>16</v>
      </c>
      <c r="B205" s="77">
        <v>0.71</v>
      </c>
      <c r="C205" s="75">
        <v>0.67069999999999996</v>
      </c>
      <c r="D205" s="75">
        <v>0.58320000000000005</v>
      </c>
      <c r="E205" s="79">
        <v>12.2</v>
      </c>
      <c r="F205" s="79">
        <f t="shared" si="3"/>
        <v>-0.53922509828768861</v>
      </c>
      <c r="G205" s="80"/>
    </row>
    <row r="206" spans="1:7">
      <c r="A206" s="2">
        <v>0</v>
      </c>
      <c r="B206" s="77">
        <v>1.2</v>
      </c>
      <c r="C206" s="75">
        <v>0.67900000000000005</v>
      </c>
      <c r="D206" s="75">
        <v>0.35880000000000001</v>
      </c>
      <c r="E206" s="79">
        <v>24.16</v>
      </c>
      <c r="F206" s="79">
        <f t="shared" si="3"/>
        <v>-1.0249901487974959</v>
      </c>
      <c r="G206" s="80"/>
    </row>
    <row r="207" spans="1:7">
      <c r="A207" s="2">
        <v>0</v>
      </c>
      <c r="B207" s="77">
        <v>1.2</v>
      </c>
      <c r="C207" s="75">
        <v>0.67900000000000005</v>
      </c>
      <c r="D207" s="75">
        <v>0.35880000000000001</v>
      </c>
      <c r="E207" s="79">
        <v>6.75</v>
      </c>
      <c r="F207" s="79">
        <f t="shared" si="3"/>
        <v>-1.0249901487974959</v>
      </c>
      <c r="G207" s="80"/>
    </row>
    <row r="208" spans="1:7">
      <c r="A208" s="2">
        <v>0</v>
      </c>
      <c r="B208" s="77">
        <v>1.2</v>
      </c>
      <c r="C208" s="75">
        <v>0.67900000000000005</v>
      </c>
      <c r="D208" s="75">
        <v>0.35880000000000001</v>
      </c>
      <c r="E208" s="79">
        <v>9.16</v>
      </c>
      <c r="F208" s="79">
        <f t="shared" si="3"/>
        <v>-1.0249901487974959</v>
      </c>
      <c r="G208" s="80"/>
    </row>
    <row r="209" spans="1:7">
      <c r="A209" s="2">
        <v>0</v>
      </c>
      <c r="B209" s="77">
        <v>1.2</v>
      </c>
      <c r="C209" s="75">
        <v>0.67900000000000005</v>
      </c>
      <c r="D209" s="75">
        <v>0.35880000000000001</v>
      </c>
      <c r="E209" s="79">
        <v>12.3</v>
      </c>
      <c r="F209" s="79">
        <f t="shared" si="3"/>
        <v>-1.0249901487974959</v>
      </c>
      <c r="G209" s="80"/>
    </row>
    <row r="210" spans="1:7">
      <c r="A210" s="2">
        <v>0</v>
      </c>
      <c r="B210" s="77">
        <v>1.2</v>
      </c>
      <c r="C210" s="75">
        <v>0.67900000000000005</v>
      </c>
      <c r="D210" s="75">
        <v>0.35880000000000001</v>
      </c>
      <c r="E210" s="79">
        <v>12.07</v>
      </c>
      <c r="F210" s="79">
        <f t="shared" si="3"/>
        <v>-1.0249901487974959</v>
      </c>
      <c r="G210" s="80"/>
    </row>
    <row r="211" spans="1:7">
      <c r="A211" s="2">
        <v>0</v>
      </c>
      <c r="B211" s="77">
        <v>1.2</v>
      </c>
      <c r="C211" s="75">
        <v>0.67900000000000005</v>
      </c>
      <c r="D211" s="75">
        <v>0.35880000000000001</v>
      </c>
      <c r="E211" s="79">
        <v>12.55</v>
      </c>
      <c r="F211" s="79">
        <f t="shared" si="3"/>
        <v>-1.0249901487974959</v>
      </c>
      <c r="G211" s="80"/>
    </row>
    <row r="212" spans="1:7">
      <c r="A212" s="2">
        <v>0</v>
      </c>
      <c r="B212" s="77">
        <v>1.2</v>
      </c>
      <c r="C212" s="75">
        <v>0.67900000000000005</v>
      </c>
      <c r="D212" s="75">
        <v>0.35880000000000001</v>
      </c>
      <c r="E212" s="79">
        <v>13.54</v>
      </c>
      <c r="F212" s="79">
        <f t="shared" si="3"/>
        <v>-1.0249901487974959</v>
      </c>
      <c r="G212" s="80"/>
    </row>
    <row r="213" spans="1:7">
      <c r="A213" s="2">
        <v>0</v>
      </c>
      <c r="B213" s="77">
        <v>1.2</v>
      </c>
      <c r="C213" s="75">
        <v>0.67900000000000005</v>
      </c>
      <c r="D213" s="75">
        <v>0.35880000000000001</v>
      </c>
      <c r="E213" s="79">
        <v>13.69</v>
      </c>
      <c r="F213" s="79">
        <f t="shared" si="3"/>
        <v>-1.0249901487974959</v>
      </c>
      <c r="G213" s="80"/>
    </row>
    <row r="214" spans="1:7">
      <c r="A214" s="2">
        <v>0</v>
      </c>
      <c r="B214" s="77">
        <v>1.2</v>
      </c>
      <c r="C214" s="75">
        <v>0.67900000000000005</v>
      </c>
      <c r="D214" s="75">
        <v>0.35880000000000001</v>
      </c>
      <c r="E214" s="79">
        <v>12.92</v>
      </c>
      <c r="F214" s="79">
        <f t="shared" si="3"/>
        <v>-1.0249901487974959</v>
      </c>
      <c r="G214" s="80"/>
    </row>
    <row r="215" spans="1:7">
      <c r="A215" s="2">
        <v>0</v>
      </c>
      <c r="B215" s="77">
        <v>1.2</v>
      </c>
      <c r="C215" s="75">
        <v>0.67900000000000005</v>
      </c>
      <c r="D215" s="75">
        <v>0.35880000000000001</v>
      </c>
      <c r="E215" s="79">
        <v>12.68</v>
      </c>
      <c r="F215" s="79">
        <f t="shared" si="3"/>
        <v>-1.0249901487974959</v>
      </c>
      <c r="G215" s="80"/>
    </row>
    <row r="216" spans="1:7">
      <c r="A216" s="2">
        <v>0</v>
      </c>
      <c r="B216" s="77">
        <v>1.2</v>
      </c>
      <c r="C216" s="75">
        <v>0.67900000000000005</v>
      </c>
      <c r="D216" s="75">
        <v>0.35880000000000001</v>
      </c>
      <c r="E216" s="79">
        <v>13.03</v>
      </c>
      <c r="F216" s="79">
        <f t="shared" si="3"/>
        <v>-1.0249901487974959</v>
      </c>
      <c r="G216" s="80"/>
    </row>
    <row r="217" spans="1:7">
      <c r="A217" s="2">
        <v>0</v>
      </c>
      <c r="B217" s="77">
        <v>1.2</v>
      </c>
      <c r="C217" s="75">
        <v>0.67900000000000005</v>
      </c>
      <c r="D217" s="75">
        <v>0.35880000000000001</v>
      </c>
      <c r="E217" s="79">
        <v>13.85</v>
      </c>
      <c r="F217" s="79">
        <f t="shared" si="3"/>
        <v>-1.0249901487974959</v>
      </c>
      <c r="G217" s="80"/>
    </row>
    <row r="218" spans="1:7">
      <c r="A218" s="2">
        <v>0</v>
      </c>
      <c r="B218" s="77">
        <v>1</v>
      </c>
      <c r="C218" s="75">
        <v>0.65439999999999998</v>
      </c>
      <c r="D218" s="75">
        <v>0.56340000000000001</v>
      </c>
      <c r="E218" s="79">
        <v>13.62</v>
      </c>
      <c r="F218" s="79">
        <f t="shared" si="3"/>
        <v>-0.57376542353986482</v>
      </c>
      <c r="G218" s="80"/>
    </row>
    <row r="219" spans="1:7">
      <c r="A219" s="2">
        <v>0</v>
      </c>
      <c r="B219" s="77">
        <v>1</v>
      </c>
      <c r="C219" s="75">
        <v>0.65439999999999998</v>
      </c>
      <c r="D219" s="75">
        <v>0.56340000000000001</v>
      </c>
      <c r="E219" s="79">
        <v>10.71</v>
      </c>
      <c r="F219" s="79">
        <f t="shared" si="3"/>
        <v>-0.57376542353986482</v>
      </c>
      <c r="G219" s="80"/>
    </row>
    <row r="220" spans="1:7">
      <c r="A220" s="2">
        <v>0</v>
      </c>
      <c r="B220" s="77">
        <v>1</v>
      </c>
      <c r="C220" s="75">
        <v>0.65439999999999998</v>
      </c>
      <c r="D220" s="75">
        <v>0.56340000000000001</v>
      </c>
      <c r="E220" s="79">
        <v>5.8</v>
      </c>
      <c r="F220" s="79">
        <f t="shared" si="3"/>
        <v>-0.57376542353986482</v>
      </c>
      <c r="G220" s="80"/>
    </row>
    <row r="221" spans="1:7">
      <c r="A221" s="2">
        <v>0</v>
      </c>
      <c r="B221" s="77">
        <v>1</v>
      </c>
      <c r="C221" s="75">
        <v>0.65439999999999998</v>
      </c>
      <c r="D221" s="75">
        <v>0.56340000000000001</v>
      </c>
      <c r="E221" s="79">
        <v>11.21</v>
      </c>
      <c r="F221" s="79">
        <f t="shared" si="3"/>
        <v>-0.57376542353986482</v>
      </c>
      <c r="G221" s="80"/>
    </row>
    <row r="222" spans="1:7">
      <c r="A222" s="2">
        <v>0</v>
      </c>
      <c r="B222" s="77">
        <v>1</v>
      </c>
      <c r="C222" s="75">
        <v>0.65439999999999998</v>
      </c>
      <c r="D222" s="75">
        <v>0.56340000000000001</v>
      </c>
      <c r="E222" s="79">
        <v>14.41</v>
      </c>
      <c r="F222" s="79">
        <f t="shared" si="3"/>
        <v>-0.57376542353986482</v>
      </c>
      <c r="G222" s="80"/>
    </row>
    <row r="223" spans="1:7">
      <c r="A223" s="2">
        <v>0</v>
      </c>
      <c r="B223" s="77">
        <v>1</v>
      </c>
      <c r="C223" s="75">
        <v>0.65439999999999998</v>
      </c>
      <c r="D223" s="75">
        <v>0.56340000000000001</v>
      </c>
      <c r="E223" s="79">
        <v>16.61</v>
      </c>
      <c r="F223" s="79">
        <f t="shared" si="3"/>
        <v>-0.57376542353986482</v>
      </c>
      <c r="G223" s="80"/>
    </row>
    <row r="224" spans="1:7">
      <c r="A224" s="2">
        <v>0</v>
      </c>
      <c r="B224" s="77">
        <v>1</v>
      </c>
      <c r="C224" s="75">
        <v>0.65439999999999998</v>
      </c>
      <c r="D224" s="75">
        <v>0.56340000000000001</v>
      </c>
      <c r="E224" s="79">
        <v>18.190000000000001</v>
      </c>
      <c r="F224" s="79">
        <f t="shared" si="3"/>
        <v>-0.57376542353986482</v>
      </c>
      <c r="G224" s="80"/>
    </row>
    <row r="225" spans="1:7">
      <c r="A225" s="2">
        <v>0</v>
      </c>
      <c r="B225" s="77">
        <v>1</v>
      </c>
      <c r="C225" s="75">
        <v>0.65439999999999998</v>
      </c>
      <c r="D225" s="75">
        <v>0.56340000000000001</v>
      </c>
      <c r="E225" s="79">
        <v>19.190000000000001</v>
      </c>
      <c r="F225" s="79">
        <f t="shared" si="3"/>
        <v>-0.57376542353986482</v>
      </c>
      <c r="G225" s="80"/>
    </row>
    <row r="226" spans="1:7">
      <c r="A226" s="2">
        <v>0</v>
      </c>
      <c r="B226" s="77">
        <v>1</v>
      </c>
      <c r="C226" s="75">
        <v>0.65439999999999998</v>
      </c>
      <c r="D226" s="75">
        <v>0.56340000000000001</v>
      </c>
      <c r="E226" s="79">
        <v>16.190000000000001</v>
      </c>
      <c r="F226" s="79">
        <f t="shared" si="3"/>
        <v>-0.57376542353986482</v>
      </c>
      <c r="G226" s="80"/>
    </row>
    <row r="227" spans="1:7">
      <c r="A227" s="2">
        <v>0</v>
      </c>
      <c r="B227" s="77">
        <v>1</v>
      </c>
      <c r="C227" s="75">
        <v>0.65439999999999998</v>
      </c>
      <c r="D227" s="75">
        <v>0.56340000000000001</v>
      </c>
      <c r="E227" s="79">
        <v>15.46</v>
      </c>
      <c r="F227" s="79">
        <f t="shared" si="3"/>
        <v>-0.57376542353986482</v>
      </c>
      <c r="G227" s="80"/>
    </row>
    <row r="228" spans="1:7">
      <c r="A228" s="2">
        <v>0</v>
      </c>
      <c r="B228" s="77">
        <v>1</v>
      </c>
      <c r="C228" s="75">
        <v>0.65439999999999998</v>
      </c>
      <c r="D228" s="75">
        <v>0.56340000000000001</v>
      </c>
      <c r="E228" s="79">
        <v>26.69</v>
      </c>
      <c r="F228" s="79">
        <f t="shared" si="3"/>
        <v>-0.57376542353986482</v>
      </c>
      <c r="G228" s="80"/>
    </row>
    <row r="229" spans="1:7">
      <c r="A229" s="2">
        <v>0</v>
      </c>
      <c r="B229" s="77">
        <v>1</v>
      </c>
      <c r="C229" s="75">
        <v>0.65439999999999998</v>
      </c>
      <c r="D229" s="75">
        <v>0.56340000000000001</v>
      </c>
      <c r="E229" s="79">
        <v>18.149999999999999</v>
      </c>
      <c r="F229" s="79">
        <f t="shared" si="3"/>
        <v>-0.57376542353986482</v>
      </c>
      <c r="G229" s="80"/>
    </row>
    <row r="230" spans="1:7">
      <c r="A230" s="2">
        <v>1</v>
      </c>
      <c r="B230" s="77">
        <v>1</v>
      </c>
      <c r="C230" s="75">
        <v>0.65439999999999998</v>
      </c>
      <c r="D230" s="75">
        <v>0.56340000000000001</v>
      </c>
      <c r="E230" s="79">
        <v>20.61</v>
      </c>
      <c r="F230" s="79">
        <f t="shared" si="3"/>
        <v>-0.57376542353986482</v>
      </c>
      <c r="G230" s="80"/>
    </row>
    <row r="231" spans="1:7">
      <c r="A231" s="2">
        <v>1</v>
      </c>
      <c r="B231" s="77">
        <v>1</v>
      </c>
      <c r="C231" s="75">
        <v>0.67930000000000001</v>
      </c>
      <c r="D231" s="75">
        <v>0.65529999999999999</v>
      </c>
      <c r="E231" s="79">
        <v>18.36</v>
      </c>
      <c r="F231" s="79">
        <f t="shared" si="3"/>
        <v>-0.42266213293668586</v>
      </c>
      <c r="G231" s="80"/>
    </row>
    <row r="232" spans="1:7">
      <c r="A232" s="2">
        <v>1</v>
      </c>
      <c r="B232" s="77">
        <v>1</v>
      </c>
      <c r="C232" s="75">
        <v>0.67930000000000001</v>
      </c>
      <c r="D232" s="75">
        <v>0.65529999999999999</v>
      </c>
      <c r="E232" s="79">
        <v>45.2</v>
      </c>
      <c r="F232" s="79">
        <f t="shared" si="3"/>
        <v>-0.42266213293668586</v>
      </c>
      <c r="G232" s="80"/>
    </row>
    <row r="233" spans="1:7">
      <c r="A233" s="2">
        <v>1</v>
      </c>
      <c r="B233" s="77">
        <v>1</v>
      </c>
      <c r="C233" s="75">
        <v>0.67930000000000001</v>
      </c>
      <c r="D233" s="75">
        <v>0.65529999999999999</v>
      </c>
      <c r="E233" s="79">
        <v>18.899999999999999</v>
      </c>
      <c r="F233" s="79">
        <f t="shared" si="3"/>
        <v>-0.42266213293668586</v>
      </c>
      <c r="G233" s="80"/>
    </row>
    <row r="234" spans="1:7">
      <c r="A234" s="2">
        <v>1</v>
      </c>
      <c r="B234" s="77">
        <v>1</v>
      </c>
      <c r="C234" s="75">
        <v>0.67930000000000001</v>
      </c>
      <c r="D234" s="75">
        <v>0.65529999999999999</v>
      </c>
      <c r="E234" s="79">
        <v>17.420000000000002</v>
      </c>
      <c r="F234" s="79">
        <f t="shared" si="3"/>
        <v>-0.42266213293668586</v>
      </c>
      <c r="G234" s="80"/>
    </row>
    <row r="235" spans="1:7">
      <c r="A235" s="2">
        <v>1</v>
      </c>
      <c r="B235" s="77">
        <v>1</v>
      </c>
      <c r="C235" s="75">
        <v>0.67930000000000001</v>
      </c>
      <c r="D235" s="75">
        <v>0.65529999999999999</v>
      </c>
      <c r="E235" s="79">
        <v>18.239999999999998</v>
      </c>
      <c r="F235" s="79">
        <f t="shared" si="3"/>
        <v>-0.42266213293668586</v>
      </c>
      <c r="G235" s="80"/>
    </row>
    <row r="236" spans="1:7">
      <c r="A236" s="2">
        <v>1</v>
      </c>
      <c r="B236" s="77">
        <v>1</v>
      </c>
      <c r="C236" s="75">
        <v>0.67930000000000001</v>
      </c>
      <c r="D236" s="75">
        <v>0.65529999999999999</v>
      </c>
      <c r="E236" s="79">
        <v>49.18</v>
      </c>
      <c r="F236" s="79">
        <f t="shared" si="3"/>
        <v>-0.42266213293668586</v>
      </c>
      <c r="G236" s="80"/>
    </row>
    <row r="237" spans="1:7">
      <c r="A237" s="2">
        <v>1</v>
      </c>
      <c r="B237" s="77">
        <v>1</v>
      </c>
      <c r="C237" s="75">
        <v>0.67930000000000001</v>
      </c>
      <c r="D237" s="75">
        <v>0.65529999999999999</v>
      </c>
      <c r="E237" s="79">
        <v>18.91</v>
      </c>
      <c r="F237" s="79">
        <f t="shared" si="3"/>
        <v>-0.42266213293668586</v>
      </c>
      <c r="G237" s="80"/>
    </row>
    <row r="238" spans="1:7">
      <c r="A238" s="2">
        <v>1</v>
      </c>
      <c r="B238" s="77">
        <v>1</v>
      </c>
      <c r="C238" s="75">
        <v>0.67930000000000001</v>
      </c>
      <c r="D238" s="75">
        <v>0.65529999999999999</v>
      </c>
      <c r="E238" s="79">
        <v>18.14</v>
      </c>
      <c r="F238" s="79">
        <f t="shared" si="3"/>
        <v>-0.42266213293668586</v>
      </c>
      <c r="G238" s="80"/>
    </row>
    <row r="239" spans="1:7">
      <c r="A239" s="2">
        <v>1</v>
      </c>
      <c r="B239" s="77">
        <v>1</v>
      </c>
      <c r="C239" s="75">
        <v>0.67930000000000001</v>
      </c>
      <c r="D239" s="75">
        <v>0.65529999999999999</v>
      </c>
      <c r="E239" s="79">
        <v>18.760000000000002</v>
      </c>
      <c r="F239" s="79">
        <f t="shared" si="3"/>
        <v>-0.42266213293668586</v>
      </c>
      <c r="G239" s="80"/>
    </row>
    <row r="240" spans="1:7">
      <c r="A240" s="2">
        <v>1</v>
      </c>
      <c r="B240" s="77">
        <v>1</v>
      </c>
      <c r="C240" s="75">
        <v>0.67930000000000001</v>
      </c>
      <c r="D240" s="75">
        <v>0.65529999999999999</v>
      </c>
      <c r="E240" s="79">
        <v>54.16</v>
      </c>
      <c r="F240" s="79">
        <f t="shared" si="3"/>
        <v>-0.42266213293668586</v>
      </c>
      <c r="G240" s="80"/>
    </row>
    <row r="241" spans="1:7">
      <c r="A241" s="2">
        <v>1</v>
      </c>
      <c r="B241" s="77">
        <v>1</v>
      </c>
      <c r="C241" s="75">
        <v>0.67930000000000001</v>
      </c>
      <c r="D241" s="75">
        <v>0.65529999999999999</v>
      </c>
      <c r="E241" s="79">
        <v>17.64</v>
      </c>
      <c r="F241" s="79">
        <f t="shared" si="3"/>
        <v>-0.42266213293668586</v>
      </c>
      <c r="G241" s="80"/>
    </row>
    <row r="242" spans="1:7">
      <c r="A242" s="2">
        <v>2</v>
      </c>
      <c r="B242" s="77">
        <v>1</v>
      </c>
      <c r="C242" s="75">
        <v>0.67930000000000001</v>
      </c>
      <c r="D242" s="75">
        <v>0.65529999999999999</v>
      </c>
      <c r="E242" s="79">
        <v>20.21</v>
      </c>
      <c r="F242" s="79">
        <f t="shared" si="3"/>
        <v>-0.42266213293668586</v>
      </c>
      <c r="G242" s="80"/>
    </row>
    <row r="243" spans="1:7">
      <c r="A243" s="2">
        <v>2</v>
      </c>
      <c r="B243" s="77">
        <v>1</v>
      </c>
      <c r="C243" s="75">
        <v>0.67610000000000003</v>
      </c>
      <c r="D243" s="75">
        <v>0.65969999999999995</v>
      </c>
      <c r="E243" s="79">
        <v>18.75</v>
      </c>
      <c r="F243" s="79">
        <f t="shared" si="3"/>
        <v>-0.41597009275331193</v>
      </c>
      <c r="G243" s="80"/>
    </row>
    <row r="244" spans="1:7">
      <c r="A244" s="2">
        <v>2</v>
      </c>
      <c r="B244" s="77">
        <v>1</v>
      </c>
      <c r="C244" s="75">
        <v>0.67610000000000003</v>
      </c>
      <c r="D244" s="75">
        <v>0.65969999999999995</v>
      </c>
      <c r="E244" s="79">
        <v>55.16</v>
      </c>
      <c r="F244" s="79">
        <f t="shared" si="3"/>
        <v>-0.41597009275331193</v>
      </c>
      <c r="G244" s="80"/>
    </row>
    <row r="245" spans="1:7">
      <c r="A245" s="2">
        <v>2</v>
      </c>
      <c r="B245" s="77">
        <v>1</v>
      </c>
      <c r="C245" s="75">
        <v>0.67610000000000003</v>
      </c>
      <c r="D245" s="75">
        <v>0.65969999999999995</v>
      </c>
      <c r="E245" s="79">
        <v>19.93</v>
      </c>
      <c r="F245" s="79">
        <f t="shared" si="3"/>
        <v>-0.41597009275331193</v>
      </c>
      <c r="G245" s="80"/>
    </row>
    <row r="246" spans="1:7">
      <c r="A246" s="2">
        <v>2</v>
      </c>
      <c r="B246" s="77">
        <v>1</v>
      </c>
      <c r="C246" s="75">
        <v>0.67610000000000003</v>
      </c>
      <c r="D246" s="75">
        <v>0.65969999999999995</v>
      </c>
      <c r="E246" s="79">
        <v>17.760000000000002</v>
      </c>
      <c r="F246" s="79">
        <f t="shared" si="3"/>
        <v>-0.41597009275331193</v>
      </c>
      <c r="G246" s="80"/>
    </row>
    <row r="247" spans="1:7">
      <c r="A247" s="2">
        <v>2</v>
      </c>
      <c r="B247" s="77">
        <v>1</v>
      </c>
      <c r="C247" s="75">
        <v>0.67610000000000003</v>
      </c>
      <c r="D247" s="75">
        <v>0.65969999999999995</v>
      </c>
      <c r="E247" s="79">
        <v>22.83</v>
      </c>
      <c r="F247" s="79">
        <f t="shared" si="3"/>
        <v>-0.41597009275331193</v>
      </c>
      <c r="G247" s="80"/>
    </row>
    <row r="248" spans="1:7">
      <c r="A248" s="2">
        <v>2</v>
      </c>
      <c r="B248" s="77">
        <v>1</v>
      </c>
      <c r="C248" s="75">
        <v>0.67610000000000003</v>
      </c>
      <c r="D248" s="75">
        <v>0.65969999999999995</v>
      </c>
      <c r="E248" s="79">
        <v>45.78</v>
      </c>
      <c r="F248" s="79">
        <f t="shared" si="3"/>
        <v>-0.41597009275331193</v>
      </c>
      <c r="G248" s="80"/>
    </row>
    <row r="249" spans="1:7">
      <c r="A249" s="2">
        <v>2</v>
      </c>
      <c r="B249" s="77">
        <v>1</v>
      </c>
      <c r="C249" s="75">
        <v>0.67610000000000003</v>
      </c>
      <c r="D249" s="75">
        <v>0.65969999999999995</v>
      </c>
      <c r="E249" s="79">
        <v>19.37</v>
      </c>
      <c r="F249" s="79">
        <f t="shared" si="3"/>
        <v>-0.41597009275331193</v>
      </c>
      <c r="G249" s="80"/>
    </row>
    <row r="250" spans="1:7">
      <c r="A250" s="2">
        <v>2</v>
      </c>
      <c r="B250" s="77">
        <v>1</v>
      </c>
      <c r="C250" s="75">
        <v>0.67610000000000003</v>
      </c>
      <c r="D250" s="75">
        <v>0.65969999999999995</v>
      </c>
      <c r="E250" s="79">
        <v>20.190000000000001</v>
      </c>
      <c r="F250" s="79">
        <f t="shared" si="3"/>
        <v>-0.41597009275331193</v>
      </c>
      <c r="G250" s="80"/>
    </row>
    <row r="251" spans="1:7">
      <c r="A251" s="2">
        <v>2</v>
      </c>
      <c r="B251" s="77">
        <v>1</v>
      </c>
      <c r="C251" s="75">
        <v>0.67610000000000003</v>
      </c>
      <c r="D251" s="75">
        <v>0.65969999999999995</v>
      </c>
      <c r="E251" s="79">
        <v>19.16</v>
      </c>
      <c r="F251" s="79">
        <f t="shared" si="3"/>
        <v>-0.41597009275331193</v>
      </c>
      <c r="G251" s="80"/>
    </row>
    <row r="252" spans="1:7">
      <c r="A252" s="2">
        <v>2</v>
      </c>
      <c r="B252" s="77">
        <v>1</v>
      </c>
      <c r="C252" s="75">
        <v>0.67610000000000003</v>
      </c>
      <c r="D252" s="75">
        <v>0.65969999999999995</v>
      </c>
      <c r="E252" s="79">
        <v>21.46</v>
      </c>
      <c r="F252" s="79">
        <f t="shared" si="3"/>
        <v>-0.41597009275331193</v>
      </c>
      <c r="G252" s="80"/>
    </row>
    <row r="253" spans="1:7">
      <c r="A253" s="2">
        <v>2</v>
      </c>
      <c r="B253" s="77">
        <v>1</v>
      </c>
      <c r="C253" s="75">
        <v>0.67610000000000003</v>
      </c>
      <c r="D253" s="75">
        <v>0.65969999999999995</v>
      </c>
      <c r="E253" s="79">
        <v>16.649999999999999</v>
      </c>
      <c r="F253" s="79">
        <f t="shared" si="3"/>
        <v>-0.41597009275331193</v>
      </c>
      <c r="G253" s="80"/>
    </row>
    <row r="254" spans="1:7">
      <c r="A254" s="2">
        <v>3</v>
      </c>
      <c r="B254" s="77">
        <v>1</v>
      </c>
      <c r="C254" s="75">
        <v>0.67610000000000003</v>
      </c>
      <c r="D254" s="75">
        <v>0.65969999999999995</v>
      </c>
      <c r="E254" s="79">
        <v>19.04</v>
      </c>
      <c r="F254" s="79">
        <f t="shared" si="3"/>
        <v>-0.41597009275331193</v>
      </c>
      <c r="G254" s="80"/>
    </row>
    <row r="255" spans="1:7">
      <c r="A255" s="2">
        <v>3</v>
      </c>
      <c r="B255" s="77">
        <v>1</v>
      </c>
      <c r="C255" s="75">
        <v>0.68510000000000004</v>
      </c>
      <c r="D255" s="75">
        <v>0.63819999999999999</v>
      </c>
      <c r="E255" s="79">
        <v>20.55</v>
      </c>
      <c r="F255" s="79">
        <f t="shared" si="3"/>
        <v>-0.44910356513799393</v>
      </c>
      <c r="G255" s="80"/>
    </row>
    <row r="256" spans="1:7">
      <c r="A256" s="2">
        <v>3</v>
      </c>
      <c r="B256" s="77">
        <v>1</v>
      </c>
      <c r="C256" s="75">
        <v>0.68510000000000004</v>
      </c>
      <c r="D256" s="75">
        <v>0.63819999999999999</v>
      </c>
      <c r="E256" s="79">
        <v>20.13</v>
      </c>
      <c r="F256" s="79">
        <f t="shared" si="3"/>
        <v>-0.44910356513799393</v>
      </c>
      <c r="G256" s="80"/>
    </row>
    <row r="257" spans="1:7">
      <c r="A257" s="2">
        <v>3</v>
      </c>
      <c r="B257" s="77">
        <v>1</v>
      </c>
      <c r="C257" s="75">
        <v>0.68510000000000004</v>
      </c>
      <c r="D257" s="75">
        <v>0.63819999999999999</v>
      </c>
      <c r="E257" s="79">
        <v>20.93</v>
      </c>
      <c r="F257" s="79">
        <f t="shared" si="3"/>
        <v>-0.44910356513799393</v>
      </c>
      <c r="G257" s="80"/>
    </row>
    <row r="258" spans="1:7">
      <c r="A258" s="2">
        <v>3</v>
      </c>
      <c r="B258" s="77">
        <v>1</v>
      </c>
      <c r="C258" s="75">
        <v>0.68510000000000004</v>
      </c>
      <c r="D258" s="75">
        <v>0.63819999999999999</v>
      </c>
      <c r="E258" s="79">
        <v>27.83</v>
      </c>
      <c r="F258" s="79">
        <f t="shared" si="3"/>
        <v>-0.44910356513799393</v>
      </c>
      <c r="G258" s="80"/>
    </row>
    <row r="259" spans="1:7">
      <c r="A259" s="2">
        <v>3</v>
      </c>
      <c r="B259" s="77">
        <v>1</v>
      </c>
      <c r="C259" s="75">
        <v>0.68510000000000004</v>
      </c>
      <c r="D259" s="75">
        <v>0.63819999999999999</v>
      </c>
      <c r="E259" s="79">
        <v>35.93</v>
      </c>
      <c r="F259" s="79">
        <f t="shared" ref="F259:F277" si="4">LN(D259)</f>
        <v>-0.44910356513799393</v>
      </c>
      <c r="G259" s="80"/>
    </row>
    <row r="260" spans="1:7">
      <c r="A260" s="2">
        <v>3</v>
      </c>
      <c r="B260" s="77">
        <v>1</v>
      </c>
      <c r="C260" s="75">
        <v>0.68510000000000004</v>
      </c>
      <c r="D260" s="75">
        <v>0.63819999999999999</v>
      </c>
      <c r="E260" s="79">
        <v>21.5</v>
      </c>
      <c r="F260" s="79">
        <f t="shared" si="4"/>
        <v>-0.44910356513799393</v>
      </c>
      <c r="G260" s="80"/>
    </row>
    <row r="261" spans="1:7">
      <c r="A261" s="2">
        <v>3</v>
      </c>
      <c r="B261" s="77">
        <v>1</v>
      </c>
      <c r="C261" s="75">
        <v>0.68510000000000004</v>
      </c>
      <c r="D261" s="75">
        <v>0.63819999999999999</v>
      </c>
      <c r="E261" s="79">
        <v>20.89</v>
      </c>
      <c r="F261" s="79">
        <f t="shared" si="4"/>
        <v>-0.44910356513799393</v>
      </c>
      <c r="G261" s="80"/>
    </row>
    <row r="262" spans="1:7">
      <c r="A262" s="2">
        <v>3</v>
      </c>
      <c r="B262" s="77">
        <v>1</v>
      </c>
      <c r="C262" s="75">
        <v>0.68510000000000004</v>
      </c>
      <c r="D262" s="75">
        <v>0.63819999999999999</v>
      </c>
      <c r="E262" s="79">
        <v>35.979999999999997</v>
      </c>
      <c r="F262" s="79">
        <f t="shared" si="4"/>
        <v>-0.44910356513799393</v>
      </c>
      <c r="G262" s="80"/>
    </row>
    <row r="263" spans="1:7">
      <c r="A263" s="2">
        <v>3</v>
      </c>
      <c r="B263" s="77">
        <v>1</v>
      </c>
      <c r="C263" s="75">
        <v>0.68510000000000004</v>
      </c>
      <c r="D263" s="75">
        <v>0.63819999999999999</v>
      </c>
      <c r="E263" s="79">
        <v>19.760000000000002</v>
      </c>
      <c r="F263" s="79">
        <f t="shared" si="4"/>
        <v>-0.44910356513799393</v>
      </c>
      <c r="G263" s="80"/>
    </row>
    <row r="264" spans="1:7">
      <c r="A264" s="2">
        <v>3</v>
      </c>
      <c r="B264" s="77">
        <v>1</v>
      </c>
      <c r="C264" s="75">
        <v>0.68510000000000004</v>
      </c>
      <c r="D264" s="75">
        <v>0.63819999999999999</v>
      </c>
      <c r="E264" s="79">
        <v>18.93</v>
      </c>
      <c r="F264" s="79">
        <f t="shared" si="4"/>
        <v>-0.44910356513799393</v>
      </c>
      <c r="G264" s="80"/>
    </row>
    <row r="265" spans="1:7">
      <c r="A265" s="2">
        <v>3</v>
      </c>
      <c r="B265" s="77">
        <v>1</v>
      </c>
      <c r="C265" s="75">
        <v>0.68510000000000004</v>
      </c>
      <c r="D265" s="75">
        <v>0.63819999999999999</v>
      </c>
      <c r="E265" s="79">
        <v>20.91</v>
      </c>
      <c r="F265" s="79">
        <f t="shared" si="4"/>
        <v>-0.44910356513799393</v>
      </c>
      <c r="G265" s="80"/>
    </row>
    <row r="266" spans="1:7">
      <c r="A266" s="2">
        <v>0</v>
      </c>
      <c r="B266" s="77">
        <v>0.7</v>
      </c>
      <c r="C266" s="75">
        <v>0.6401</v>
      </c>
      <c r="D266" s="75">
        <v>0.5353</v>
      </c>
      <c r="E266" s="79">
        <v>12.16</v>
      </c>
      <c r="F266" s="79">
        <f t="shared" si="4"/>
        <v>-0.62492794158280141</v>
      </c>
      <c r="G266" s="80"/>
    </row>
    <row r="267" spans="1:7">
      <c r="A267" s="2">
        <v>0</v>
      </c>
      <c r="B267" s="77">
        <v>0.7</v>
      </c>
      <c r="C267" s="75">
        <v>0.6401</v>
      </c>
      <c r="D267" s="75">
        <v>0.5353</v>
      </c>
      <c r="E267" s="79">
        <v>9.8000000000000007</v>
      </c>
      <c r="F267" s="79">
        <f t="shared" si="4"/>
        <v>-0.62492794158280141</v>
      </c>
      <c r="G267" s="80"/>
    </row>
    <row r="268" spans="1:7">
      <c r="A268" s="2">
        <v>0</v>
      </c>
      <c r="B268" s="77">
        <v>0.7</v>
      </c>
      <c r="C268" s="75">
        <v>0.6401</v>
      </c>
      <c r="D268" s="75">
        <v>0.5353</v>
      </c>
      <c r="E268" s="79">
        <v>10.25</v>
      </c>
      <c r="F268" s="79">
        <f t="shared" si="4"/>
        <v>-0.62492794158280141</v>
      </c>
      <c r="G268" s="80"/>
    </row>
    <row r="269" spans="1:7">
      <c r="A269" s="2">
        <v>0</v>
      </c>
      <c r="B269" s="77">
        <v>0.7</v>
      </c>
      <c r="C269" s="75">
        <v>0.6401</v>
      </c>
      <c r="D269" s="75">
        <v>0.5353</v>
      </c>
      <c r="E269" s="79">
        <v>9.51</v>
      </c>
      <c r="F269" s="79">
        <f t="shared" si="4"/>
        <v>-0.62492794158280141</v>
      </c>
      <c r="G269" s="80"/>
    </row>
    <row r="270" spans="1:7">
      <c r="A270" s="2">
        <v>0</v>
      </c>
      <c r="B270" s="77">
        <v>0.7</v>
      </c>
      <c r="C270" s="75">
        <v>0.6401</v>
      </c>
      <c r="D270" s="75">
        <v>0.5353</v>
      </c>
      <c r="E270" s="79">
        <v>9.6199999999999992</v>
      </c>
      <c r="F270" s="79">
        <f t="shared" si="4"/>
        <v>-0.62492794158280141</v>
      </c>
      <c r="G270" s="80"/>
    </row>
    <row r="271" spans="1:7">
      <c r="A271" s="2">
        <v>0</v>
      </c>
      <c r="B271" s="77">
        <v>0.7</v>
      </c>
      <c r="C271" s="75">
        <v>0.6401</v>
      </c>
      <c r="D271" s="75">
        <v>0.5353</v>
      </c>
      <c r="E271" s="79">
        <v>10.050000000000001</v>
      </c>
      <c r="F271" s="79">
        <f t="shared" si="4"/>
        <v>-0.62492794158280141</v>
      </c>
      <c r="G271" s="80"/>
    </row>
    <row r="272" spans="1:7">
      <c r="A272" s="2">
        <v>0</v>
      </c>
      <c r="B272" s="77">
        <v>0.7</v>
      </c>
      <c r="C272" s="75">
        <v>0.6401</v>
      </c>
      <c r="D272" s="75">
        <v>0.5353</v>
      </c>
      <c r="E272" s="79">
        <v>11.08</v>
      </c>
      <c r="F272" s="79">
        <f t="shared" si="4"/>
        <v>-0.62492794158280141</v>
      </c>
      <c r="G272" s="80"/>
    </row>
    <row r="273" spans="1:7">
      <c r="A273" s="2">
        <v>0</v>
      </c>
      <c r="B273" s="77">
        <v>0.7</v>
      </c>
      <c r="C273" s="75">
        <v>0.6401</v>
      </c>
      <c r="D273" s="75">
        <v>0.5353</v>
      </c>
      <c r="E273" s="79">
        <v>8.91</v>
      </c>
      <c r="F273" s="79">
        <f t="shared" si="4"/>
        <v>-0.62492794158280141</v>
      </c>
      <c r="G273" s="80"/>
    </row>
    <row r="274" spans="1:7">
      <c r="A274" s="2">
        <v>0</v>
      </c>
      <c r="B274" s="77">
        <v>0.7</v>
      </c>
      <c r="C274" s="75">
        <v>0.6401</v>
      </c>
      <c r="D274" s="75">
        <v>0.5353</v>
      </c>
      <c r="E274" s="79">
        <v>10.210000000000001</v>
      </c>
      <c r="F274" s="79">
        <f t="shared" si="4"/>
        <v>-0.62492794158280141</v>
      </c>
      <c r="G274" s="80"/>
    </row>
    <row r="275" spans="1:7">
      <c r="A275" s="2">
        <v>0</v>
      </c>
      <c r="B275" s="77">
        <v>0.7</v>
      </c>
      <c r="C275" s="75">
        <v>0.6401</v>
      </c>
      <c r="D275" s="75">
        <v>0.5353</v>
      </c>
      <c r="E275" s="79">
        <v>10.68</v>
      </c>
      <c r="F275" s="79">
        <f t="shared" si="4"/>
        <v>-0.62492794158280141</v>
      </c>
      <c r="G275" s="80"/>
    </row>
    <row r="276" spans="1:7">
      <c r="A276" s="2">
        <v>0</v>
      </c>
      <c r="B276" s="77">
        <v>0.7</v>
      </c>
      <c r="C276" s="75">
        <v>0.6401</v>
      </c>
      <c r="D276" s="75">
        <v>0.5353</v>
      </c>
      <c r="E276" s="79">
        <v>9.8000000000000007</v>
      </c>
      <c r="F276" s="79">
        <f t="shared" si="4"/>
        <v>-0.62492794158280141</v>
      </c>
      <c r="G276" s="80"/>
    </row>
    <row r="277" spans="1:7">
      <c r="A277" s="2">
        <v>0</v>
      </c>
      <c r="B277" s="77">
        <v>0.7</v>
      </c>
      <c r="C277" s="75">
        <v>0.6401</v>
      </c>
      <c r="D277" s="75">
        <v>0.5353</v>
      </c>
      <c r="E277" s="79">
        <v>11.3</v>
      </c>
      <c r="F277" s="79">
        <f t="shared" si="4"/>
        <v>-0.62492794158280141</v>
      </c>
      <c r="G277" s="8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3:J9"/>
  <sheetViews>
    <sheetView workbookViewId="0">
      <selection activeCell="C4" sqref="C4"/>
    </sheetView>
  </sheetViews>
  <sheetFormatPr defaultRowHeight="15"/>
  <cols>
    <col min="1" max="1" width="13" bestFit="1" customWidth="1"/>
    <col min="2" max="2" width="19.7109375" bestFit="1" customWidth="1"/>
    <col min="3" max="3" width="19.42578125" customWidth="1"/>
    <col min="4" max="4" width="19.42578125" bestFit="1" customWidth="1"/>
    <col min="5" max="5" width="23" bestFit="1" customWidth="1"/>
    <col min="6" max="6" width="22" bestFit="1" customWidth="1"/>
    <col min="7" max="7" width="23" bestFit="1" customWidth="1"/>
    <col min="8" max="8" width="22" bestFit="1" customWidth="1"/>
    <col min="9" max="9" width="23.28515625" bestFit="1" customWidth="1"/>
    <col min="10" max="10" width="22.28515625" bestFit="1" customWidth="1"/>
  </cols>
  <sheetData>
    <row r="3" spans="1:10">
      <c r="B3" s="81" t="s">
        <v>381</v>
      </c>
    </row>
    <row r="4" spans="1:10">
      <c r="A4" s="81" t="s">
        <v>378</v>
      </c>
      <c r="B4" s="46" t="s">
        <v>389</v>
      </c>
      <c r="C4" s="46" t="s">
        <v>388</v>
      </c>
      <c r="D4" s="46" t="s">
        <v>387</v>
      </c>
      <c r="E4" s="46" t="s">
        <v>380</v>
      </c>
      <c r="F4" s="46" t="s">
        <v>382</v>
      </c>
      <c r="G4" s="46" t="s">
        <v>383</v>
      </c>
      <c r="H4" s="46" t="s">
        <v>384</v>
      </c>
      <c r="I4" s="46" t="s">
        <v>385</v>
      </c>
      <c r="J4" s="46" t="s">
        <v>386</v>
      </c>
    </row>
    <row r="5" spans="1:10">
      <c r="A5" s="82">
        <v>0.7</v>
      </c>
      <c r="B5" s="83">
        <v>0.6401</v>
      </c>
      <c r="C5" s="76">
        <v>0.5353</v>
      </c>
      <c r="D5" s="83">
        <v>12.16</v>
      </c>
      <c r="E5" s="83">
        <v>10.280833333333334</v>
      </c>
      <c r="F5" s="83">
        <v>0.89441152144690306</v>
      </c>
      <c r="G5" s="83">
        <v>0.53530000000000011</v>
      </c>
      <c r="H5" s="83">
        <v>0</v>
      </c>
      <c r="I5" s="83">
        <v>0.64010000000000011</v>
      </c>
      <c r="J5" s="83">
        <v>0</v>
      </c>
    </row>
    <row r="6" spans="1:10">
      <c r="A6" s="82">
        <v>0.71</v>
      </c>
      <c r="B6" s="83">
        <v>0.69269999999999998</v>
      </c>
      <c r="C6" s="76">
        <v>0.65280000000000005</v>
      </c>
      <c r="D6" s="83">
        <v>23</v>
      </c>
      <c r="E6" s="83">
        <v>12.090784313725495</v>
      </c>
      <c r="F6" s="83">
        <v>2.3806347980990439</v>
      </c>
      <c r="G6" s="83">
        <v>0.56864705882352862</v>
      </c>
      <c r="H6" s="83">
        <v>0.11384671113663461</v>
      </c>
      <c r="I6" s="83">
        <v>0.65774705882353035</v>
      </c>
      <c r="J6" s="83">
        <v>2.9700815884625975E-2</v>
      </c>
    </row>
    <row r="7" spans="1:10">
      <c r="A7" s="82">
        <v>1</v>
      </c>
      <c r="B7" s="83">
        <v>0.68510000000000004</v>
      </c>
      <c r="C7" s="76">
        <v>0.65969999999999995</v>
      </c>
      <c r="D7" s="83">
        <v>55.16</v>
      </c>
      <c r="E7" s="83">
        <v>22.528750000000002</v>
      </c>
      <c r="F7" s="83">
        <v>10.734442205726626</v>
      </c>
      <c r="G7" s="83">
        <v>0.62759166666666721</v>
      </c>
      <c r="H7" s="83">
        <v>4.0315161781924541E-2</v>
      </c>
      <c r="I7" s="83">
        <v>0.67308541666666677</v>
      </c>
      <c r="J7" s="83">
        <v>1.1938886750634033E-2</v>
      </c>
    </row>
    <row r="8" spans="1:10">
      <c r="A8" s="82">
        <v>1.2</v>
      </c>
      <c r="B8" s="83">
        <v>0.67900000000000005</v>
      </c>
      <c r="C8" s="76">
        <v>0.35880000000000001</v>
      </c>
      <c r="D8" s="83">
        <v>24.16</v>
      </c>
      <c r="E8" s="83">
        <v>13.058333333333332</v>
      </c>
      <c r="F8" s="83">
        <v>4.0616853495547787</v>
      </c>
      <c r="G8" s="83">
        <v>0.35880000000000001</v>
      </c>
      <c r="H8" s="83">
        <v>4.4928691473270003E-9</v>
      </c>
      <c r="I8" s="83">
        <v>0.67900000000000016</v>
      </c>
      <c r="J8" s="83">
        <v>0</v>
      </c>
    </row>
    <row r="9" spans="1:10">
      <c r="A9" s="82" t="s">
        <v>379</v>
      </c>
      <c r="B9" s="83">
        <v>0.69269999999999998</v>
      </c>
      <c r="C9" s="76">
        <v>0.65969999999999995</v>
      </c>
      <c r="D9" s="83">
        <v>55.16</v>
      </c>
      <c r="E9" s="83">
        <v>13.869456521739133</v>
      </c>
      <c r="F9" s="83">
        <v>6.3713874665579535</v>
      </c>
      <c r="G9" s="83">
        <v>0.56832463768115926</v>
      </c>
      <c r="H9" s="83">
        <v>0.11145332675754063</v>
      </c>
      <c r="I9" s="83">
        <v>0.66057137681159628</v>
      </c>
      <c r="J9" s="83">
        <v>2.7237792186323592E-2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selection activeCell="F21" sqref="F21"/>
    </sheetView>
  </sheetViews>
  <sheetFormatPr defaultRowHeight="15"/>
  <cols>
    <col min="1" max="1" width="12.85546875" customWidth="1"/>
    <col min="2" max="2" width="29" customWidth="1"/>
    <col min="3" max="3" width="23.28515625" customWidth="1"/>
    <col min="4" max="4" width="24.140625" customWidth="1"/>
    <col min="5" max="5" width="23.140625" customWidth="1"/>
    <col min="6" max="6" width="24.42578125" customWidth="1"/>
    <col min="7" max="7" width="25.5703125" customWidth="1"/>
    <col min="8" max="8" width="24.5703125" customWidth="1"/>
    <col min="9" max="9" width="23.28515625" customWidth="1"/>
  </cols>
  <sheetData>
    <row r="1" spans="1:9">
      <c r="A1" s="2" t="s">
        <v>378</v>
      </c>
      <c r="B1" s="2" t="s">
        <v>380</v>
      </c>
      <c r="C1" s="2" t="s">
        <v>382</v>
      </c>
      <c r="D1" s="2" t="s">
        <v>383</v>
      </c>
      <c r="E1" s="2" t="s">
        <v>384</v>
      </c>
      <c r="F1" s="2" t="s">
        <v>385</v>
      </c>
      <c r="G1" s="2" t="s">
        <v>386</v>
      </c>
      <c r="H1" s="46" t="s">
        <v>388</v>
      </c>
      <c r="I1" s="46" t="s">
        <v>387</v>
      </c>
    </row>
    <row r="2" spans="1:9">
      <c r="A2" s="77">
        <v>0.7</v>
      </c>
      <c r="B2" s="75">
        <f>12.0907843137255/100</f>
        <v>0.120907843137255</v>
      </c>
      <c r="C2" s="75">
        <f>2.38063479809904/10</f>
        <v>0.238063479809904</v>
      </c>
      <c r="D2" s="75">
        <v>0.56864705882352862</v>
      </c>
      <c r="E2" s="75">
        <v>0.11384671113663461</v>
      </c>
      <c r="F2" s="75">
        <v>0.65774705882353035</v>
      </c>
      <c r="G2" s="75">
        <v>2.9700815884625975E-2</v>
      </c>
      <c r="H2" s="75">
        <v>0.65280000000000005</v>
      </c>
      <c r="I2" s="75">
        <f>23/100</f>
        <v>0.23</v>
      </c>
    </row>
    <row r="3" spans="1:9">
      <c r="A3" s="77">
        <v>1</v>
      </c>
      <c r="B3" s="75">
        <f>22.52875/100</f>
        <v>0.22528749999999997</v>
      </c>
      <c r="C3" s="75">
        <f>10.7344422057266/10</f>
        <v>1.07344422057266</v>
      </c>
      <c r="D3" s="75">
        <v>0.62759166666666721</v>
      </c>
      <c r="E3" s="75">
        <v>4.0315161781924541E-2</v>
      </c>
      <c r="F3" s="75">
        <v>0.67308541666666677</v>
      </c>
      <c r="G3" s="75">
        <v>1.1938886750634033E-2</v>
      </c>
      <c r="H3" s="75">
        <v>0.65969999999999995</v>
      </c>
      <c r="I3" s="75">
        <f>55.16/100</f>
        <v>0.55159999999999998</v>
      </c>
    </row>
    <row r="4" spans="1:9">
      <c r="A4" s="77">
        <v>1.2</v>
      </c>
      <c r="B4" s="75">
        <f>13.0583333333333/100</f>
        <v>0.130583333333333</v>
      </c>
      <c r="C4" s="75">
        <f>4.06168534955478/10</f>
        <v>0.40616853495547794</v>
      </c>
      <c r="D4" s="75">
        <v>0.35880000000000001</v>
      </c>
      <c r="E4" s="75">
        <v>4.4928691473270003E-9</v>
      </c>
      <c r="F4" s="75">
        <v>0.67900000000000016</v>
      </c>
      <c r="G4" s="75">
        <v>0</v>
      </c>
      <c r="H4" s="75">
        <v>0.35880000000000001</v>
      </c>
      <c r="I4" s="75">
        <f>24.16/100</f>
        <v>0.24160000000000001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topLeftCell="B1" workbookViewId="0">
      <selection activeCell="G22" sqref="G22"/>
    </sheetView>
  </sheetViews>
  <sheetFormatPr defaultRowHeight="15"/>
  <cols>
    <col min="1" max="1" width="12.85546875" style="46" customWidth="1"/>
    <col min="2" max="2" width="29" style="46" customWidth="1"/>
    <col min="3" max="3" width="27.85546875" style="46" customWidth="1"/>
    <col min="4" max="4" width="24.140625" style="46" customWidth="1"/>
    <col min="5" max="5" width="23.140625" style="46" customWidth="1"/>
    <col min="6" max="6" width="27.85546875" style="46" customWidth="1"/>
    <col min="7" max="9" width="28.140625" style="46" customWidth="1"/>
    <col min="10" max="10" width="24.5703125" style="46" customWidth="1"/>
    <col min="11" max="11" width="23.28515625" style="46" customWidth="1"/>
    <col min="12" max="16384" width="9.140625" style="46"/>
  </cols>
  <sheetData>
    <row r="1" spans="1:13">
      <c r="A1" s="2" t="s">
        <v>378</v>
      </c>
      <c r="B1" s="2" t="s">
        <v>380</v>
      </c>
      <c r="C1" s="2" t="s">
        <v>382</v>
      </c>
      <c r="D1" s="2" t="s">
        <v>390</v>
      </c>
      <c r="E1" s="2" t="s">
        <v>373</v>
      </c>
      <c r="F1" s="2" t="s">
        <v>383</v>
      </c>
      <c r="G1" s="2" t="s">
        <v>384</v>
      </c>
      <c r="H1" s="2" t="s">
        <v>391</v>
      </c>
      <c r="I1" s="2" t="s">
        <v>392</v>
      </c>
      <c r="J1" s="2" t="s">
        <v>385</v>
      </c>
      <c r="K1" s="2" t="s">
        <v>386</v>
      </c>
      <c r="L1" s="46" t="s">
        <v>388</v>
      </c>
      <c r="M1" s="46" t="s">
        <v>387</v>
      </c>
    </row>
    <row r="2" spans="1:13">
      <c r="A2" s="77">
        <v>0.7</v>
      </c>
      <c r="B2" s="75">
        <f>12.0907843137255/100</f>
        <v>0.120907843137255</v>
      </c>
      <c r="C2" s="75">
        <f>2.38063479809904/10</f>
        <v>0.238063479809904</v>
      </c>
      <c r="D2" s="75">
        <f>B2+3*C2</f>
        <v>0.83509828256696705</v>
      </c>
      <c r="E2" s="75">
        <f>B2-3*C2</f>
        <v>-0.59328259629245705</v>
      </c>
      <c r="F2" s="75">
        <v>0.56864705882352862</v>
      </c>
      <c r="G2" s="75">
        <v>0.11384671113663461</v>
      </c>
      <c r="H2" s="75">
        <f>F2+3*G2</f>
        <v>0.91018719223343247</v>
      </c>
      <c r="I2" s="75">
        <f>F2-3*G2</f>
        <v>0.22710692541362476</v>
      </c>
      <c r="J2" s="75">
        <v>0.65774705882353035</v>
      </c>
      <c r="K2" s="75">
        <v>2.9700815884625975E-2</v>
      </c>
      <c r="L2" s="75">
        <v>0.65280000000000005</v>
      </c>
      <c r="M2" s="75">
        <f>23/100</f>
        <v>0.23</v>
      </c>
    </row>
    <row r="3" spans="1:13">
      <c r="A3" s="77">
        <v>1</v>
      </c>
      <c r="B3" s="75">
        <f>22.52875/100</f>
        <v>0.22528749999999997</v>
      </c>
      <c r="C3" s="75">
        <f>10.7344422057266/10</f>
        <v>1.07344422057266</v>
      </c>
      <c r="D3" s="75">
        <f>B3+3*C3</f>
        <v>3.4456201617179798</v>
      </c>
      <c r="E3" s="75">
        <f>B3-3*C3</f>
        <v>-2.9950451617179801</v>
      </c>
      <c r="F3" s="75">
        <v>0.62759166666666721</v>
      </c>
      <c r="G3" s="75">
        <v>4.0315161781924541E-2</v>
      </c>
      <c r="H3" s="75">
        <f>F3+3*G3</f>
        <v>0.74853715201244087</v>
      </c>
      <c r="I3" s="75">
        <f>F3-3*G3</f>
        <v>0.50664618132089356</v>
      </c>
      <c r="J3" s="75">
        <v>0.67308541666666677</v>
      </c>
      <c r="K3" s="75">
        <v>1.1938886750634033E-2</v>
      </c>
      <c r="L3" s="75">
        <v>0.65969999999999995</v>
      </c>
      <c r="M3" s="75">
        <f>55.16/100</f>
        <v>0.55159999999999998</v>
      </c>
    </row>
    <row r="4" spans="1:13" hidden="1">
      <c r="A4" s="77">
        <v>1.2</v>
      </c>
      <c r="B4" s="75">
        <f>13.0583333333333/100</f>
        <v>0.130583333333333</v>
      </c>
      <c r="C4" s="75">
        <f>4.06168534955478/10</f>
        <v>0.40616853495547794</v>
      </c>
      <c r="D4" s="75"/>
      <c r="E4" s="75"/>
      <c r="F4" s="75">
        <v>0.35880000000000001</v>
      </c>
      <c r="G4" s="75">
        <v>4.4928691473270003E-9</v>
      </c>
      <c r="H4" s="75"/>
      <c r="I4" s="75"/>
      <c r="J4" s="75">
        <v>0.67900000000000016</v>
      </c>
      <c r="K4" s="75">
        <v>0</v>
      </c>
      <c r="L4" s="75">
        <v>0.35880000000000001</v>
      </c>
      <c r="M4" s="75">
        <f>24.16/100</f>
        <v>0.24160000000000001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activeCell="H19" sqref="H19"/>
    </sheetView>
  </sheetViews>
  <sheetFormatPr defaultRowHeight="15"/>
  <cols>
    <col min="1" max="1" width="12.85546875" customWidth="1"/>
    <col min="2" max="2" width="27.5703125" customWidth="1"/>
    <col min="3" max="3" width="32.42578125" customWidth="1"/>
    <col min="4" max="4" width="30.5703125" customWidth="1"/>
    <col min="5" max="5" width="20.5703125" customWidth="1"/>
    <col min="6" max="6" width="18.85546875" customWidth="1"/>
  </cols>
  <sheetData>
    <row r="1" spans="1:7">
      <c r="A1" s="46" t="s">
        <v>321</v>
      </c>
      <c r="B1" s="46" t="s">
        <v>397</v>
      </c>
      <c r="C1" s="46" t="s">
        <v>398</v>
      </c>
      <c r="D1" s="46" t="s">
        <v>372</v>
      </c>
      <c r="E1" s="46" t="s">
        <v>399</v>
      </c>
      <c r="F1" s="46" t="s">
        <v>400</v>
      </c>
      <c r="G1" s="46" t="s">
        <v>401</v>
      </c>
    </row>
    <row r="2" spans="1:7">
      <c r="A2" s="77">
        <v>0.7</v>
      </c>
      <c r="B2" s="79">
        <v>-0.59209250325557483</v>
      </c>
      <c r="C2" s="79">
        <v>0.2565907348622557</v>
      </c>
      <c r="D2" s="75">
        <f>EXP(B2+((C2*C2)/2))</f>
        <v>0.5716815915936585</v>
      </c>
      <c r="E2" s="75">
        <f>(EXP(C2*C2)-1)*EXP(2*B2+C2*C2)</f>
        <v>2.2241573521456743E-2</v>
      </c>
      <c r="F2" s="76">
        <f>D2+3*E2</f>
        <v>0.63840631215802879</v>
      </c>
      <c r="G2" s="76">
        <f>D2-3*E2</f>
        <v>0.50495687102928821</v>
      </c>
    </row>
    <row r="3" spans="1:7">
      <c r="A3" s="77">
        <v>1</v>
      </c>
      <c r="B3" s="79">
        <v>-0.46797242564200286</v>
      </c>
      <c r="C3" s="79">
        <v>6.6284624052166993E-2</v>
      </c>
      <c r="D3" s="75">
        <f>EXP(B3+((C3*C3)/2))</f>
        <v>0.62764811251416619</v>
      </c>
      <c r="E3" s="75">
        <f>(EXP(C3*C3)-1)*EXP(2*B3+C3*C3)</f>
        <v>1.7346524255703547E-3</v>
      </c>
      <c r="F3" s="76">
        <f>D3+3*E3</f>
        <v>0.63285206979087727</v>
      </c>
      <c r="G3" s="76">
        <f>D3-3*E3</f>
        <v>0.62244415523745511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CMCPU</vt:lpstr>
      <vt:lpstr>Load</vt:lpstr>
      <vt:lpstr>CMALL</vt:lpstr>
      <vt:lpstr>Sheet2</vt:lpstr>
      <vt:lpstr>CMVALS</vt:lpstr>
      <vt:lpstr>PivotByLoad</vt:lpstr>
      <vt:lpstr>PivotByVal</vt:lpstr>
      <vt:lpstr>2points</vt:lpstr>
      <vt:lpstr>2points log-normal</vt:lpstr>
    </vt:vector>
  </TitlesOfParts>
  <Company>Amdocs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Amdocs</dc:creator>
  <cp:lastModifiedBy>Amdocs</cp:lastModifiedBy>
  <dcterms:created xsi:type="dcterms:W3CDTF">2010-12-30T12:25:50Z</dcterms:created>
  <dcterms:modified xsi:type="dcterms:W3CDTF">2011-01-05T17:40:44Z</dcterms:modified>
</cp:coreProperties>
</file>